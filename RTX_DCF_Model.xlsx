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F Model" sheetId="1" state="visible" r:id="rId3"/>
    <sheet name="Loglinear reveiw" sheetId="2" state="visible" r:id="rId4"/>
    <sheet name="Revenue" sheetId="3" state="visible" r:id="rId5"/>
    <sheet name="Payables_Chart" sheetId="4" state="visible" r:id="rId6"/>
    <sheet name="Inventories_Chart" sheetId="5" state="visible" r:id="rId7"/>
    <sheet name="ar_Chart" sheetId="6" state="visible" r:id="rId8"/>
  </sheets>
  <definedNames>
    <definedName function="false" hidden="true" name="IQ_ACCOUNTS_PAY" vbProcedure="false">"c1343"</definedName>
    <definedName function="false" hidden="true" name="IQ_ACCOUNT_CHANGE" vbProcedure="false">"c1449"</definedName>
    <definedName function="false" hidden="true" name="IQ_ACCRUED_EXP" vbProcedure="false">"c1341"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"c2108"</definedName>
    <definedName function="false" hidden="true" name="IQ_ACCUM_DEP" vbProcedure="false">"c1340"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_PAID_IN" vbProcedure="false">"c1344"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"c1591"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"c1346"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SH" vbProcedure="false">"c1458"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UE_BANKS" vbProcedure="false">"c1351"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NET_WORKING_CAPITAL" vbProcedure="false">"c1909"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Q" vbProcedure="false">5000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MULATIVE_SPLIT_FACTOR" vbProcedure="false">"c2094"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Y" vbProcedure="false">10000</definedName>
    <definedName function="false" hidden="true" name="IQ_DA" vbProcedure="false">"c247"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SCRIPTION_LONG" vbProcedure="false">"c1520"</definedName>
    <definedName function="false" hidden="true" name="IQ_DEVELOP_LAND" vbProcedure="false">"c323"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PAYMENT_DATE" vbProcedure="false">"c2106"</definedName>
    <definedName function="false" hidden="true" name="IQ_DIV_RECORD_DATE" vbProcedure="false">"c2105"</definedName>
    <definedName function="false" hidden="true" name="IQ_DIV_SHARE" vbProcedure="false">"c330"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EARNINGS_ANNOUNCE_DATE" vbProcedure="false">"c1649"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INT" vbProcedure="false">"c373"</definedName>
    <definedName function="false" hidden="true" name="IQ_EBITDA_MARGIN" vbProcedure="false">"c372"</definedName>
    <definedName function="false" hidden="true" name="IQ_EBITDA_OVER_TOTAL_IE" vbProcedure="false">"c1371"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"c1369"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"c1348"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HIGH_EST" vbProcedure="false">"c400"</definedName>
    <definedName function="false" hidden="true" name="IQ_EPS_LOW_EST" vbProcedure="false">"c401"</definedName>
    <definedName function="false" hidden="true" name="IQ_EPS_NORM" vbProcedure="false">"c1902"</definedName>
    <definedName function="false" hidden="true" name="IQ_EPS_NUM_EST" vbProcedure="false">"c402"</definedName>
    <definedName function="false" hidden="true" name="IQ_EPS_STDDEV_EST" vbProcedure="false">"c403"</definedName>
    <definedName function="false" hidden="true" name="IQ_EQUITY_AFFIL" vbProcedure="false">"c1451"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T_ACT_EPS" vbProcedure="false">"c1648"</definedName>
    <definedName function="false" hidden="true" name="IQ_EST_CURRENCY" vbProcedure="false">"c2140"</definedName>
    <definedName function="false" hidden="true" name="IQ_EST_DATE" vbProcedure="false">"c1634"</definedName>
    <definedName function="false" hidden="true" name="IQ_EST_EPS_GROWTH_1YR" vbProcedure="false">"c1636"</definedName>
    <definedName function="false" hidden="true" name="IQ_EST_EPS_GROWTH_5YR" vbProcedure="false">"c1655"</definedName>
    <definedName function="false" hidden="true" name="IQ_EST_EPS_GROWTH_5YR_HIGH" vbProcedure="false">"c1657"</definedName>
    <definedName function="false" hidden="true" name="IQ_EST_EPS_GROWTH_5YR_LOW" vbProcedure="false">"c1658"</definedName>
    <definedName function="false" hidden="true" name="IQ_EST_EPS_GROWTH_5YR_MEDIAN" vbProcedure="false">"c1656"</definedName>
    <definedName function="false" hidden="true" name="IQ_EST_EPS_GROWTH_5YR_NUM" vbProcedure="false">"c1659"</definedName>
    <definedName function="false" hidden="true" name="IQ_EST_EPS_GROWTH_5YR_STDDEV" vbProcedure="false">"c1660"</definedName>
    <definedName function="false" hidden="true" name="IQ_EST_EPS_GROWTH_Q_1YR" vbProcedure="false">"c1641"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"c1459"</definedName>
    <definedName function="false" hidden="true" name="IQ_FDIC" vbProcedure="false">"c417"</definedName>
    <definedName function="false" hidden="true" name="IQ_FFO" vbProcedure="false">"c1574"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X" vbProcedure="false">"c451"</definedName>
    <definedName function="false" hidden="true" name="IQ_FY" vbProcedure="false">1000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"c1377"</definedName>
    <definedName function="false" hidden="true" name="IQ_GOODWILL_NET" vbProcedure="false">"c1380"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"c1446"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"c1378"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ICENSED_POPS" vbProcedure="false">"c2123"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SERVICE_REV" vbProcedure="false">"c658"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_REVENUE_OVER_EMPLOYEES" vbProcedure="false">"c1437"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INT_REPAIR" vbProcedure="false">"c2087"</definedName>
    <definedName function="false" hidden="true" name="IQ_MARKETCAP" vbProcedure="false">"c712"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NET_CHANGE" vbProcedure="false">"c749"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INC" vbProcedure="false">"c1394"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"c1423"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CCUPY_EXP" vbProcedure="false">"c839"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CLOSE_BALANCE_GAS" vbProcedure="false">"c2049"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OIL" vbProcedure="false">"c2032"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"c1448"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ISSUED" vbProcedure="false">"c857"</definedName>
    <definedName function="false" hidden="true" name="IQ_ORDER_BACKLOG" vbProcedure="false">"c2090"</definedName>
    <definedName function="false" hidden="true" name="IQ_OTHER_ADJUST_GROSS_LOANS" vbProcedure="false">"c859"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"c1453"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"c2128"</definedName>
    <definedName function="false" hidden="true" name="IQ_OUTSTANDING_FILING_DATE" vbProcedure="false">"c2127"</definedName>
    <definedName function="false" hidden="true" name="IQ_PART_TIME" vbProcedure="false">"c1024"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IODDATE" vbProcedure="false">"c1414"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RATIO" vbProcedure="false">"c1610"</definedName>
    <definedName function="false" hidden="true" name="IQ_PLL" vbProcedure="false">"c2114"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TOT" vbProcedure="false">"c1415"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_OPEN_COST" vbProcedure="false">"c1040"</definedName>
    <definedName function="false" hidden="true" name="IQ_PRICEDATE" vbProcedure="false">"c1069"</definedName>
    <definedName function="false" hidden="true" name="IQ_PRICE_OVER_BVPS" vbProcedure="false">"c1412"</definedName>
    <definedName function="false" hidden="true" name="IQ_PRICE_OVER_LTM_EPS" vbProcedure="false">"c1413"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"c1417"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CLOSED_STORES" vbProcedure="false">"c2063"</definedName>
    <definedName function="false" hidden="true" name="IQ_RETAIL_OPENED_STORES" vbProcedure="false">"c2062"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Q_FOOTAGE" vbProcedure="false">"c2064"</definedName>
    <definedName function="false" hidden="true" name="IQ_RETAIL_STORE_SELLING_AREA" vbProcedure="false">"c2065"</definedName>
    <definedName function="false" hidden="true" name="IQ_RETAIL_TOTAL_STORES" vbProcedure="false">"c2061"</definedName>
    <definedName function="false" hidden="true" name="IQ_RETAINED_EARN" vbProcedure="false">"c1420"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ENUE" vbProcedure="false">"c1422"</definedName>
    <definedName function="false" hidden="true" name="IQ_REV_BEFORE_LL" vbProcedure="false">"c1123"</definedName>
    <definedName function="false" hidden="true" name="IQ_REV_UTI" vbProcedure="false">"c1125"</definedName>
    <definedName function="false" hidden="true" name="IQ_SALARY" vbProcedure="false">"c1130"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"c1425"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"c1382"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UNUSUAL" vbProcedure="false">"c1508"</definedName>
    <definedName function="false" hidden="true" name="IQ_TOT_ADJ_INC" vbProcedure="false">"c1616"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NUSUAL_EXP" vbProcedure="false">"c1456"</definedName>
    <definedName function="false" hidden="true" name="IQ_US_GAAP" vbProcedure="false">"c1331"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XDIV_DATE" vbProcedure="false">"c2104"</definedName>
    <definedName function="false" hidden="true" name="IQ_YEARHIGH" vbProcedure="false">"c1337"</definedName>
    <definedName function="false" hidden="true" name="IQ_YEARLOW" vbProcedure="false">"c1338"</definedName>
    <definedName function="false" hidden="true" name="IQ_YTD" vbProcedure="false">3000</definedName>
    <definedName function="false" hidden="true" name="IQ_Z_SCORE" vbProcedure="false">"c1339"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0" authorId="0">
      <text>
        <r>
          <rPr>
            <sz val="10"/>
            <rFont val="Arial"/>
            <family val="2"/>
          </rPr>
          <t xml:space="preserve">AR held at base-year % of revenue (~14.9%). Original assumption grew AR ~13%/yr vs 5.8% revenue, ballooning WC unrealistically. Corrected.</t>
        </r>
      </text>
    </comment>
    <comment ref="B31" authorId="0">
      <text>
        <r>
          <rPr>
            <sz val="10"/>
            <rFont val="Arial"/>
            <family val="2"/>
          </rPr>
          <t xml:space="preserve">Inventory held at base-year % of revenue (~16.1%). Corrected from runaway ~18%/yr growth.</t>
        </r>
      </text>
    </comment>
    <comment ref="B46" authorId="0">
      <text>
        <r>
          <rPr>
            <sz val="10"/>
            <rFont val="Arial"/>
            <family val="2"/>
          </rPr>
          <t xml:space="preserve">Increase in AR is a use of cash -&gt; subtracted. Sign corrected.</t>
        </r>
      </text>
    </comment>
    <comment ref="B50" authorId="0">
      <text>
        <r>
          <rPr>
            <sz val="10"/>
            <rFont val="Arial"/>
            <family val="2"/>
          </rPr>
          <t xml:space="preserve">Capex is a cash outflow -&gt; subtracted. Sign corrected.</t>
        </r>
      </text>
    </comment>
    <comment ref="C69" authorId="0">
      <text>
        <r>
          <rPr>
            <sz val="10"/>
            <rFont val="Arial"/>
            <family val="2"/>
          </rPr>
          <t xml:space="preserve">Diluted shares in millions (~1,340mm). Source: RTX 10-K FY2024. Corrected from 1.34077 (billions) for unit consistency.</t>
        </r>
      </text>
    </comment>
    <comment ref="C79" authorId="0">
      <text>
        <r>
          <rPr>
            <sz val="10"/>
            <rFont val="Arial"/>
            <family val="2"/>
          </rPr>
          <t xml:space="preserve">Total debt in $mm (~$43,500mm). Source: RTX 10-K FY2024 balance sheet. Corrected from 100 for unit consistency.</t>
        </r>
      </text>
    </comment>
    <comment ref="F89" authorId="0">
      <text>
        <r>
          <rPr>
            <sz val="10"/>
            <rFont val="Arial"/>
            <family val="2"/>
          </rPr>
          <t xml:space="preserve">EV = PV of explicit FCFs + PV of terminal value (Gordon Growth). Removed H-model add-on to avoid double-counting terminal value.</t>
        </r>
      </text>
    </comment>
    <comment ref="F90" authorId="0">
      <text>
        <r>
          <rPr>
            <sz val="10"/>
            <rFont val="Arial"/>
            <family val="2"/>
          </rPr>
          <t xml:space="preserve">Net debt in $mm. Corrected: removed x1000 multiplier now that C79 is in millions.</t>
        </r>
      </text>
    </comment>
  </commentList>
</comments>
</file>

<file path=xl/sharedStrings.xml><?xml version="1.0" encoding="utf-8"?>
<sst xmlns="http://schemas.openxmlformats.org/spreadsheetml/2006/main" count="120" uniqueCount="110">
  <si>
    <t xml:space="preserve">WALL STREET PREP - FINANCIAL MODELING QUICK LESSON - BUILDING A SIMPLE DISCOUNTED CASH FLOW MODEL</t>
  </si>
  <si>
    <t xml:space="preserve">Valuation Date:</t>
  </si>
  <si>
    <t xml:space="preserve">absolute numbers are in millions of $</t>
  </si>
  <si>
    <t xml:space="preserve">Share Price on Valuation Date:</t>
  </si>
  <si>
    <t xml:space="preserve">Diluted Shares Outstanding</t>
  </si>
  <si>
    <t xml:space="preserve">Select Operating Data</t>
  </si>
  <si>
    <t xml:space="preserve">Projected Annual Forecast</t>
  </si>
  <si>
    <t xml:space="preserve">arithmetic</t>
  </si>
  <si>
    <t xml:space="preserve">geometric</t>
  </si>
  <si>
    <t xml:space="preserve">Revenue</t>
  </si>
  <si>
    <t xml:space="preserve">loglinear</t>
  </si>
  <si>
    <t xml:space="preserve">Revenue Growth Rate (%)</t>
  </si>
  <si>
    <t xml:space="preserve">other operating exp</t>
  </si>
  <si>
    <t xml:space="preserve">In Revenue</t>
  </si>
  <si>
    <t xml:space="preserve">EBIT</t>
  </si>
  <si>
    <t xml:space="preserve">sum</t>
  </si>
  <si>
    <t xml:space="preserve">EBIT Margin (%)</t>
  </si>
  <si>
    <t xml:space="preserve">Depreciation &amp; Amortization </t>
  </si>
  <si>
    <t xml:space="preserve">D&amp;A as a % of revenue</t>
  </si>
  <si>
    <t xml:space="preserve">D&amp;A as growth rate</t>
  </si>
  <si>
    <t xml:space="preserve">Select Balance Sheet And Other Data</t>
  </si>
  <si>
    <t xml:space="preserve">Accounts Receivable</t>
  </si>
  <si>
    <t xml:space="preserve">Inventories</t>
  </si>
  <si>
    <t xml:space="preserve">pp&amp;e</t>
  </si>
  <si>
    <t xml:space="preserve">Accounts Payable and accured</t>
  </si>
  <si>
    <t xml:space="preserve">Capital Expenditures</t>
  </si>
  <si>
    <t xml:space="preserve">Capital Expenditures Growth (%)</t>
  </si>
  <si>
    <t xml:space="preserve">Accounts Receivable Growth (%)</t>
  </si>
  <si>
    <t xml:space="preserve">Inventories Growth (%)</t>
  </si>
  <si>
    <t xml:space="preserve">payables and accurals as a % of revenue</t>
  </si>
  <si>
    <t xml:space="preserve">pp&amp;e growth</t>
  </si>
  <si>
    <t xml:space="preserve">Accrued Expenses Growth (%)</t>
  </si>
  <si>
    <t xml:space="preserve">Free Cash Flow Buildup</t>
  </si>
  <si>
    <t xml:space="preserve">$mm</t>
  </si>
  <si>
    <t xml:space="preserve">Period</t>
  </si>
  <si>
    <t xml:space="preserve">Total Revenues</t>
  </si>
  <si>
    <t xml:space="preserve">Tax rate</t>
  </si>
  <si>
    <t xml:space="preserve">EBIAT</t>
  </si>
  <si>
    <t xml:space="preserve">Depreciation &amp; Amortization</t>
  </si>
  <si>
    <t xml:space="preserve">Chg in Accounts receivable</t>
  </si>
  <si>
    <t xml:space="preserve">Chg in Inventories</t>
  </si>
  <si>
    <t xml:space="preserve">Chg in Accounts payable and accurals</t>
  </si>
  <si>
    <t xml:space="preserve">Capital expenditures</t>
  </si>
  <si>
    <t xml:space="preserve">year 5 fcf growth rate</t>
  </si>
  <si>
    <t xml:space="preserve">Unlevered free cash flows</t>
  </si>
  <si>
    <t xml:space="preserve">Discount Rate (WACC)</t>
  </si>
  <si>
    <t xml:space="preserve">Present value of free cash flows</t>
  </si>
  <si>
    <t xml:space="preserve">Sum of present values of FCFs</t>
  </si>
  <si>
    <t xml:space="preserve">Terminal Value</t>
  </si>
  <si>
    <t xml:space="preserve">Growth in perpetuity method:</t>
  </si>
  <si>
    <t xml:space="preserve">Long term growth rate</t>
  </si>
  <si>
    <t xml:space="preserve">WACC</t>
  </si>
  <si>
    <t xml:space="preserve">Free cash flow (t+1)</t>
  </si>
  <si>
    <t xml:space="preserve">Present Value of Terminal Value</t>
  </si>
  <si>
    <t xml:space="preserve">Terminal Value plus (H-model)</t>
  </si>
  <si>
    <t xml:space="preserve">Present Value of Terminal Value plus (H-model)</t>
  </si>
  <si>
    <t xml:space="preserve">years of extraordinary growth</t>
  </si>
  <si>
    <t xml:space="preserve">Share Price</t>
  </si>
  <si>
    <t xml:space="preserve">Cost of Debt</t>
  </si>
  <si>
    <t xml:space="preserve">Tax Rate</t>
  </si>
  <si>
    <t xml:space="preserve">After-tax Cost of Debt</t>
  </si>
  <si>
    <t xml:space="preserve">Cost of Equity</t>
  </si>
  <si>
    <t xml:space="preserve">risk-free rate</t>
  </si>
  <si>
    <t xml:space="preserve">market risk premium</t>
  </si>
  <si>
    <t xml:space="preserve">beta</t>
  </si>
  <si>
    <t xml:space="preserve">adjusted beta</t>
  </si>
  <si>
    <t xml:space="preserve">Total Debt ($)</t>
  </si>
  <si>
    <t xml:space="preserve">Total Equity ($)</t>
  </si>
  <si>
    <t xml:space="preserve">Total Capital</t>
  </si>
  <si>
    <t xml:space="preserve">Debt Weighting</t>
  </si>
  <si>
    <t xml:space="preserve">Equity Weighting</t>
  </si>
  <si>
    <t xml:space="preserve">WACC =</t>
  </si>
  <si>
    <t xml:space="preserve">Enterprise Value to Equity Value</t>
  </si>
  <si>
    <t xml:space="preserve">Enterprise Value</t>
  </si>
  <si>
    <t xml:space="preserve">Less: Net debt</t>
  </si>
  <si>
    <t xml:space="preserve">Plus: Cash</t>
  </si>
  <si>
    <t xml:space="preserve">Equity Value</t>
  </si>
  <si>
    <t xml:space="preserve">Equity Value Per Share</t>
  </si>
  <si>
    <t xml:space="preserve">SENSITIVITY ANALYSIS — Implied Value per Share ($)</t>
  </si>
  <si>
    <t xml:space="preserve">Rows: EBIT Margin  |  Columns: Revenue Growth (annual)</t>
  </si>
  <si>
    <t xml:space="preserve">EBIT Mgn \ Rev Gr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</si>
  <si>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</si>
  <si>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</si>
  <si>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</si>
  <si>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</si>
  <si>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</si>
  <si>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</si>
  <si>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</si>
  <si>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</si>
  <si>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</si>
  <si>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</si>
  <si>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</si>
  <si>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</si>
  <si>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</si>
  <si>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</si>
  <si>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</si>
  <si>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</si>
  <si>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</si>
  <si>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</si>
  <si>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</si>
  <si>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</si>
  <si>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</si>
  <si>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</si>
  <si>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</si>
  <si>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</si>
  <si>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</si>
  <si>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X Variable 2</t>
  </si>
  <si>
    <t xml:space="preserve">X Variable 3</t>
  </si>
  <si>
    <t xml:space="preserve">X Variable 4</t>
  </si>
  <si>
    <t xml:space="preserve">X Variable 5</t>
  </si>
</sst>
</file>

<file path=xl/styles.xml><?xml version="1.0" encoding="utf-8"?>
<styleSheet xmlns="http://schemas.openxmlformats.org/spreadsheetml/2006/main">
  <numFmts count="52">
    <numFmt numFmtId="164" formatCode="General"/>
    <numFmt numFmtId="165" formatCode="[&gt;1]&quot;10Q: &quot;0&quot; qtrs&quot;;&quot;10Q: &quot;0&quot; qtr&quot;"/>
    <numFmt numFmtId="166" formatCode="_(#,##0&quot; bp&quot;_);_(\(#,##0&quot; bp)&quot;;\-?;_(@_)"/>
    <numFmt numFmtId="167" formatCode="#,##0.0"/>
    <numFmt numFmtId="168" formatCode="#,##0.0_);\(#,##0.0\);\-?"/>
    <numFmt numFmtId="169" formatCode="#,##0.00_);\(#,##0.00\);\-?"/>
    <numFmt numFmtId="170" formatCode="[$-409]h:mm:ss\ AM/PM"/>
    <numFmt numFmtId="171" formatCode="\$#,##0.0_);&quot;($&quot;#,##0.0\);&quot;$-&quot;?"/>
    <numFmt numFmtId="172" formatCode="\$#,##0.00_);&quot;($&quot;#,##0.00\);&quot;$-&quot;?"/>
    <numFmt numFmtId="173" formatCode="_(\$* #,##0.00_);_(\$* \(#,##0.00\);_(\$* \-??_);_(@_)"/>
    <numFmt numFmtId="174" formatCode="\$#,##0.00_);[RED]&quot;($&quot;#,##0.00\);&quot;--  &quot;;_(@_)"/>
    <numFmt numFmtId="175" formatCode="d\-mmm\-yy"/>
    <numFmt numFmtId="176" formatCode="mm/dd/yy;@"/>
    <numFmt numFmtId="177" formatCode="mmm\-yy"/>
    <numFmt numFmtId="178" formatCode="mmm\-d\-yyyy"/>
    <numFmt numFmtId="179" formatCode="mmm\-dd\-yy"/>
    <numFmt numFmtId="180" formatCode="mmm\-dd\-yyyy"/>
    <numFmt numFmtId="181" formatCode="mmm\-yyyy"/>
    <numFmt numFmtId="182" formatCode="m/d/yyyy"/>
    <numFmt numFmtId="183" formatCode="#,##0_);\(#,##0\)"/>
    <numFmt numFmtId="184" formatCode="#,##0.0_);[RED]\(#,##0.0\)"/>
    <numFmt numFmtId="185" formatCode="#,##0.000_);[RED]\(#,##0.000\)"/>
    <numFmt numFmtId="186" formatCode="#,##0.0_);[RED]\(#,##0.0\);&quot;--  &quot;"/>
    <numFmt numFmtId="187" formatCode="#,##0.00\x_);[RED]\(#,##0.00&quot;x)&quot;"/>
    <numFmt numFmtId="188" formatCode="\$#,##0.00"/>
    <numFmt numFmtId="189" formatCode="#,##0.0%_);\(#,##0.0%\)"/>
    <numFmt numFmtId="190" formatCode="#,##0.00%_);\(#,##0.00%\)"/>
    <numFmt numFmtId="191" formatCode="0%"/>
    <numFmt numFmtId="192" formatCode="#,##0.0%_);[RED]\(#,##0.0%\)"/>
    <numFmt numFmtId="193" formatCode="#,##0.00%_);[RED]\(#,##0.00%\)"/>
    <numFmt numFmtId="194" formatCode="0.00\x"/>
    <numFmt numFmtId="195" formatCode="0.0"/>
    <numFmt numFmtId="196" formatCode="#,##0.00\x_);\(#,##0.00&quot;x)&quot;;\-?"/>
    <numFmt numFmtId="197" formatCode="0.0&quot; years&quot;"/>
    <numFmt numFmtId="198" formatCode="#,##0.0_);\(#,##0.0\);@_)"/>
    <numFmt numFmtId="199" formatCode="_(* #,##0.00_);_(* \(#,##0.00\);_(* \-??_);_(@_)"/>
    <numFmt numFmtId="200" formatCode="0.00%"/>
    <numFmt numFmtId="201" formatCode="yyyy\A"/>
    <numFmt numFmtId="202" formatCode="yyyy\P"/>
    <numFmt numFmtId="203" formatCode="\$#,##0.0_);&quot;($&quot;#,##0.0\)"/>
    <numFmt numFmtId="204" formatCode="\$#,##0.0_);&quot;($&quot;#,##0.0\);@_)"/>
    <numFmt numFmtId="205" formatCode="0.00%_);\(0.00%\);@_)"/>
    <numFmt numFmtId="206" formatCode="0.0%_);\(0.0%\);@_)"/>
    <numFmt numFmtId="207" formatCode="#,##0.00"/>
    <numFmt numFmtId="208" formatCode="#,##0.0_);\(#,##0.0\);\-_);@_)"/>
    <numFmt numFmtId="209" formatCode="#,##0.0_);\(#,##0.0\)"/>
    <numFmt numFmtId="210" formatCode="0.0%"/>
    <numFmt numFmtId="211" formatCode="\$#,##0.00_);&quot;($&quot;#,##0.00\);@_)"/>
    <numFmt numFmtId="212" formatCode="_(* #,##0.0_);_(* \(#,##0.0\);_(* \-?_);_(@_)"/>
    <numFmt numFmtId="213" formatCode="\$#,##0.00_);[RED]&quot;($&quot;#,##0.00\)"/>
    <numFmt numFmtId="214" formatCode="0.00"/>
    <numFmt numFmtId="215" formatCode="\$#,##0"/>
  </numFmts>
  <fonts count="3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i val="true"/>
      <sz val="8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15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rgb="FF0000FF"/>
      <name val="Calibri"/>
      <family val="2"/>
      <charset val="1"/>
    </font>
    <font>
      <sz val="10"/>
      <color rgb="FF000000"/>
      <name val="Arial"/>
      <family val="2"/>
      <charset val="1"/>
    </font>
    <font>
      <i val="true"/>
      <sz val="11"/>
      <name val="Calibri"/>
      <family val="2"/>
      <charset val="1"/>
    </font>
    <font>
      <i val="true"/>
      <sz val="11"/>
      <color rgb="FF008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i val="true"/>
      <sz val="11"/>
      <name val="Calibri"/>
      <family val="2"/>
      <charset val="1"/>
    </font>
    <font>
      <sz val="11"/>
      <name val="Arial"/>
      <family val="2"/>
      <charset val="1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2"/>
      <charset val="1"/>
    </font>
    <font>
      <sz val="14"/>
      <color rgb="FF333333"/>
      <name val="Calibri"/>
      <family val="2"/>
    </font>
    <font>
      <sz val="9"/>
      <color rgb="FF333333"/>
      <name val="Calibri"/>
      <family val="2"/>
    </font>
    <font>
      <sz val="8.25"/>
      <color rgb="FF333333"/>
      <name val="Calibri"/>
      <family val="2"/>
    </font>
    <font>
      <sz val="10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99"/>
        <bgColor rgb="FFF7E883"/>
      </patternFill>
    </fill>
    <fill>
      <patternFill patternType="solid">
        <fgColor rgb="FFFFFF00"/>
        <bgColor rgb="FFF7E883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  <bgColor rgb="FFFDCF7E"/>
      </patternFill>
    </fill>
    <fill>
      <patternFill patternType="solid">
        <fgColor rgb="FFFFFFFF"/>
        <bgColor rgb="FFD9E1F2"/>
      </patternFill>
    </fill>
    <fill>
      <patternFill patternType="solid">
        <fgColor rgb="FFFF0000"/>
        <bgColor rgb="FF800000"/>
      </patternFill>
    </fill>
    <fill>
      <patternFill patternType="solid">
        <fgColor rgb="FFD9E1F2"/>
        <bgColor rgb="FFD9D9D9"/>
      </patternFill>
    </fill>
    <fill>
      <patternFill patternType="solid">
        <fgColor rgb="FFF8696B"/>
        <bgColor rgb="FFF97C6E"/>
      </patternFill>
    </fill>
    <fill>
      <patternFill patternType="solid">
        <fgColor rgb="FFF97C6E"/>
        <bgColor rgb="FFFA8E72"/>
      </patternFill>
    </fill>
    <fill>
      <patternFill patternType="solid">
        <fgColor rgb="FFFA9072"/>
        <bgColor rgb="FFFA8E72"/>
      </patternFill>
    </fill>
    <fill>
      <patternFill patternType="solid">
        <fgColor rgb="FFFBA576"/>
        <bgColor rgb="FFFBA376"/>
      </patternFill>
    </fill>
    <fill>
      <patternFill patternType="solid">
        <fgColor rgb="FFFCBA7A"/>
        <bgColor rgb="FFFCB97A"/>
      </patternFill>
    </fill>
    <fill>
      <patternFill patternType="solid">
        <fgColor rgb="FFFA8E72"/>
        <bgColor rgb="FFFA9072"/>
      </patternFill>
    </fill>
    <fill>
      <patternFill patternType="solid">
        <fgColor rgb="FFFBA376"/>
        <bgColor rgb="FFFBA576"/>
      </patternFill>
    </fill>
    <fill>
      <patternFill patternType="solid">
        <fgColor rgb="FFFCB97A"/>
        <bgColor rgb="FFFCBA7A"/>
      </patternFill>
    </fill>
    <fill>
      <patternFill patternType="solid">
        <fgColor rgb="FFFDCF7E"/>
        <bgColor rgb="FFFDCA7D"/>
      </patternFill>
    </fill>
    <fill>
      <patternFill patternType="solid">
        <fgColor rgb="FFFEE783"/>
        <bgColor rgb="FFF7E883"/>
      </patternFill>
    </fill>
    <fill>
      <patternFill patternType="solid">
        <fgColor rgb="FFFCB379"/>
        <bgColor rgb="FFFCB97A"/>
      </patternFill>
    </fill>
    <fill>
      <patternFill patternType="solid">
        <fgColor rgb="FFFDCA7D"/>
        <bgColor rgb="FFFDCF7E"/>
      </patternFill>
    </fill>
    <fill>
      <patternFill patternType="solid">
        <fgColor rgb="FFC6EFCE"/>
        <bgColor rgb="FFD9E1F2"/>
      </patternFill>
    </fill>
    <fill>
      <patternFill patternType="solid">
        <fgColor rgb="FFECE582"/>
        <bgColor rgb="FFE7E482"/>
      </patternFill>
    </fill>
    <fill>
      <patternFill patternType="solid">
        <fgColor rgb="FFCDDC81"/>
        <bgColor rgb="FFC8DB80"/>
      </patternFill>
    </fill>
    <fill>
      <patternFill patternType="solid">
        <fgColor rgb="FFFED980"/>
        <bgColor rgb="FFFDCF7E"/>
      </patternFill>
    </fill>
    <fill>
      <patternFill patternType="solid">
        <fgColor rgb="FFF7E883"/>
        <bgColor rgb="FFFEE783"/>
      </patternFill>
    </fill>
    <fill>
      <patternFill patternType="solid">
        <fgColor rgb="FFD8E081"/>
        <bgColor rgb="FFCDDC81"/>
      </patternFill>
    </fill>
    <fill>
      <patternFill patternType="solid">
        <fgColor rgb="FFB9D67F"/>
        <bgColor rgb="FFC8DB80"/>
      </patternFill>
    </fill>
    <fill>
      <patternFill patternType="solid">
        <fgColor rgb="FF98CD7E"/>
        <bgColor rgb="FFA8D17E"/>
      </patternFill>
    </fill>
    <fill>
      <patternFill patternType="solid">
        <fgColor rgb="FFE7E482"/>
        <bgColor rgb="FFECE582"/>
      </patternFill>
    </fill>
    <fill>
      <patternFill patternType="solid">
        <fgColor rgb="FFC8DB80"/>
        <bgColor rgb="FFCDDC81"/>
      </patternFill>
    </fill>
    <fill>
      <patternFill patternType="solid">
        <fgColor rgb="FFA8D17E"/>
        <bgColor rgb="FF98CD7E"/>
      </patternFill>
    </fill>
    <fill>
      <patternFill patternType="solid">
        <fgColor rgb="FF86C87D"/>
        <bgColor rgb="FF98CD7E"/>
      </patternFill>
    </fill>
    <fill>
      <patternFill patternType="solid">
        <fgColor rgb="FF63BE7B"/>
        <bgColor rgb="FF86C87D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medium"/>
      <bottom style="thin"/>
      <diagonal/>
    </border>
  </borders>
  <cellStyleXfs count="5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 readingOrder="1"/>
      <protection locked="true" hidden="false"/>
    </xf>
    <xf numFmtId="175" fontId="13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182" fontId="14" fillId="2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8" fontId="14" fillId="2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199" fontId="13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199" fontId="15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199" fontId="12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00" fontId="12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201" fontId="1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1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4" fontId="12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false" indent="0" shrinkToFit="false" readingOrder="1"/>
      <protection locked="true" hidden="false"/>
    </xf>
    <xf numFmtId="200" fontId="13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205" fontId="19" fillId="2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206" fontId="19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207" fontId="20" fillId="6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9" fontId="19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203" fontId="12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207" fontId="12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82" fontId="15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207" fontId="20" fillId="3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6" fontId="19" fillId="2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20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12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200" fontId="18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198" fontId="12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200" fontId="22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200" fontId="21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75" fontId="18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182" fontId="22" fillId="0" borderId="0" xfId="0" applyFont="true" applyBorder="false" applyAlignment="true" applyProtection="true">
      <alignment horizontal="right" vertical="top" textRotation="0" wrapText="false" indent="0" shrinkToFit="false" readingOrder="1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6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6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4" fontId="2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9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98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21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1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0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26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210" fontId="14" fillId="2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210" fontId="14" fillId="6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210" fontId="14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210" fontId="13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209" fontId="12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204" fontId="23" fillId="0" borderId="2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204" fontId="23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204" fontId="12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1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12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10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15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98" fontId="12" fillId="7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12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3" fontId="23" fillId="0" borderId="12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12" fillId="0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95" fontId="12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213" fontId="23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210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1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21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10" fontId="30" fillId="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1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1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0" fillId="21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2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3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31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3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5" fontId="31" fillId="3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4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0Q" xfId="20"/>
    <cellStyle name="bp" xfId="21"/>
    <cellStyle name="Comma (0)" xfId="22"/>
    <cellStyle name="Comma (1)" xfId="23"/>
    <cellStyle name="Comma (2)" xfId="24"/>
    <cellStyle name="Currency (0)" xfId="25"/>
    <cellStyle name="Currency (1)" xfId="26"/>
    <cellStyle name="Currency (2)" xfId="27"/>
    <cellStyle name="Currency 2" xfId="28"/>
    <cellStyle name="Currency--" xfId="29"/>
    <cellStyle name="Date (dd-mmm-yy)" xfId="30"/>
    <cellStyle name="Date (mm-dd-yy)" xfId="31"/>
    <cellStyle name="Date (mmm-yy)" xfId="32"/>
    <cellStyle name="Date [mm-d-yyyy]" xfId="33"/>
    <cellStyle name="Date [mm-dd-yy]" xfId="34"/>
    <cellStyle name="Date [mm-dd-yyyy]" xfId="35"/>
    <cellStyle name="Date [mmm-yyyy]" xfId="36"/>
    <cellStyle name="m/d/yy" xfId="37"/>
    <cellStyle name="Normal 2" xfId="38"/>
    <cellStyle name="Normal 3" xfId="39"/>
    <cellStyle name="Normal 4" xfId="40"/>
    <cellStyle name="Normal [0]" xfId="41"/>
    <cellStyle name="Normal [1]" xfId="42"/>
    <cellStyle name="Normal [3]" xfId="43"/>
    <cellStyle name="Normal [3] 2" xfId="44"/>
    <cellStyle name="Normal--" xfId="45"/>
    <cellStyle name="Normalx" xfId="46"/>
    <cellStyle name="Percent (0)" xfId="47"/>
    <cellStyle name="Percent (1)" xfId="48"/>
    <cellStyle name="Percent (2)" xfId="49"/>
    <cellStyle name="Percent 2" xfId="50"/>
    <cellStyle name="Percent [1]" xfId="51"/>
    <cellStyle name="Percent [2]" xfId="52"/>
    <cellStyle name="Red font" xfId="53"/>
    <cellStyle name="Times" xfId="54"/>
    <cellStyle name="x (1)" xfId="55"/>
    <cellStyle name="x (2)" xfId="56"/>
    <cellStyle name="Years" xfId="57"/>
  </cellStyles>
  <colors>
    <indexedColors>
      <rgbColor rgb="FF000000"/>
      <rgbColor rgb="FFFFFFFF"/>
      <rgbColor rgb="FFFF0000"/>
      <rgbColor rgb="FFECE582"/>
      <rgbColor rgb="FF0000FF"/>
      <rgbColor rgb="FFFFFF00"/>
      <rgbColor rgb="FFFF00FF"/>
      <rgbColor rgb="FFCDDC81"/>
      <rgbColor rgb="FF800000"/>
      <rgbColor rgb="FF008000"/>
      <rgbColor rgb="FF000080"/>
      <rgbColor rgb="FFFA8E72"/>
      <rgbColor rgb="FF800080"/>
      <rgbColor rgb="FFFDCF7E"/>
      <rgbColor rgb="FFBFBFBF"/>
      <rgbColor rgb="FF4F81BD"/>
      <rgbColor rgb="FF86C87D"/>
      <rgbColor rgb="FFC0504D"/>
      <rgbColor rgb="FFF7E883"/>
      <rgbColor rgb="FFD9E1F2"/>
      <rgbColor rgb="FF660066"/>
      <rgbColor rgb="FFF97C6E"/>
      <rgbColor rgb="FF0066CC"/>
      <rgbColor rgb="FFD9D9D9"/>
      <rgbColor rgb="FF000080"/>
      <rgbColor rgb="FFFF00FF"/>
      <rgbColor rgb="FFFEE783"/>
      <rgbColor rgb="FFE7E482"/>
      <rgbColor rgb="FF800080"/>
      <rgbColor rgb="FF800000"/>
      <rgbColor rgb="FFFED980"/>
      <rgbColor rgb="FF0000FF"/>
      <rgbColor rgb="FFC8DB80"/>
      <rgbColor rgb="FFD8E081"/>
      <rgbColor rgb="FFC6EFCE"/>
      <rgbColor rgb="FFFFFF99"/>
      <rgbColor rgb="FFA8D17E"/>
      <rgbColor rgb="FFFBA376"/>
      <rgbColor rgb="FFFBA576"/>
      <rgbColor rgb="FFFFCC99"/>
      <rgbColor rgb="FFFCBA7A"/>
      <rgbColor rgb="FF63BE7B"/>
      <rgbColor rgb="FF98CD7E"/>
      <rgbColor rgb="FFFDCA7D"/>
      <rgbColor rgb="FFFA9072"/>
      <rgbColor rgb="FFF8696B"/>
      <rgbColor rgb="FF666666"/>
      <rgbColor rgb="FF999999"/>
      <rgbColor rgb="FF003366"/>
      <rgbColor rgb="FFB9D67F"/>
      <rgbColor rgb="FF003300"/>
      <rgbColor rgb="FF333300"/>
      <rgbColor rgb="FFFCB97A"/>
      <rgbColor rgb="FFFCB37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333333"/>
                </a:solidFill>
                <a:latin typeface="Calibri"/>
                <a:ea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Revenue!$A$1:$J$1</c:f>
              <c:numCache>
                <c:formatCode>_(* #,##0.00_);_(* \(#,##0.00\);_(* \-??_);_(@_)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Revenue!$A$2:$J$2</c:f>
              <c:numCache>
                <c:formatCode>\$#,##0.0_);"($"#,##0.0\)</c:formatCode>
                <c:ptCount val="10"/>
                <c:pt idx="0">
                  <c:v>63763</c:v>
                </c:pt>
                <c:pt idx="1">
                  <c:v>66025</c:v>
                </c:pt>
                <c:pt idx="2">
                  <c:v>72574</c:v>
                </c:pt>
                <c:pt idx="3">
                  <c:v>79042</c:v>
                </c:pt>
                <c:pt idx="4">
                  <c:v>85988</c:v>
                </c:pt>
                <c:pt idx="5">
                  <c:v>85988</c:v>
                </c:pt>
                <c:pt idx="6">
                  <c:v>85988</c:v>
                </c:pt>
                <c:pt idx="7">
                  <c:v>85988</c:v>
                </c:pt>
                <c:pt idx="8">
                  <c:v>85988</c:v>
                </c:pt>
                <c:pt idx="9">
                  <c:v>85988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64229"/>
        <c:axId val="24180077"/>
      </c:lineChart>
      <c:catAx>
        <c:axId val="57642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24180077"/>
        <c:crosses val="autoZero"/>
        <c:auto val="1"/>
        <c:lblAlgn val="ctr"/>
        <c:lblOffset val="100"/>
        <c:noMultiLvlLbl val="0"/>
      </c:catAx>
      <c:valAx>
        <c:axId val="241800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.00_);_(* \(#,##0.00\);_(* \-??_);_(@_)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57642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16037146379226"/>
          <c:y val="0.890488364012586"/>
          <c:w val="0.361185310147686"/>
          <c:h val="0.074207363667715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25" spc="-1" strike="noStrike">
              <a:solidFill>
                <a:srgbClr val="333333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333333"/>
                </a:solidFill>
                <a:latin typeface="Calibri"/>
                <a:ea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f81bd"/>
            </a:solidFill>
            <a:ln cap="rnd"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f81bd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Revenue!$A$1:$J$1</c:f>
              <c:numCache>
                <c:formatCode>_(* #,##0.00_);_(* \(#,##0.00\);_(* \-??_);_(@_)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Revenue!$A$2:$J$2</c:f>
              <c:numCache>
                <c:formatCode>\$#,##0.0_);"($"#,##0.0\)</c:formatCode>
                <c:ptCount val="10"/>
                <c:pt idx="0">
                  <c:v>63763</c:v>
                </c:pt>
                <c:pt idx="1">
                  <c:v>66025</c:v>
                </c:pt>
                <c:pt idx="2">
                  <c:v>72574</c:v>
                </c:pt>
                <c:pt idx="3">
                  <c:v>79042</c:v>
                </c:pt>
                <c:pt idx="4">
                  <c:v>85988</c:v>
                </c:pt>
                <c:pt idx="5">
                  <c:v>85988</c:v>
                </c:pt>
                <c:pt idx="6">
                  <c:v>85988</c:v>
                </c:pt>
                <c:pt idx="7">
                  <c:v>85988</c:v>
                </c:pt>
                <c:pt idx="8">
                  <c:v>85988</c:v>
                </c:pt>
                <c:pt idx="9">
                  <c:v>85988</c:v>
                </c:pt>
              </c:numCache>
            </c:numRef>
          </c:yVal>
          <c:smooth val="0"/>
        </c:ser>
        <c:axId val="60399077"/>
        <c:axId val="19102785"/>
      </c:scatterChart>
      <c:valAx>
        <c:axId val="6039907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.00_);_(* \(#,##0.00\);_(* \-??_);_(@_)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19102785"/>
        <c:crosses val="autoZero"/>
        <c:crossBetween val="midCat"/>
      </c:valAx>
      <c:valAx>
        <c:axId val="191027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.0_);&quot;($&quot;#,##0.0\)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6039907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333333"/>
                </a:solidFill>
                <a:latin typeface="Calibri"/>
                <a:ea typeface="Calibri"/>
              </a:rPr>
              <a:t>Chart Title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f81bd"/>
            </a:solidFill>
            <a:ln cap="rnd"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f81bd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Payables_Chart!$A$1:$E$1</c:f>
              <c:numCache>
                <c:formatCode>_(* #,##0.00_);_(* \(#,##0.00\);_(* \-??_);_(@_)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Payables_Chart!$A$2:$E$2</c:f>
              <c:numCache>
                <c:formatCode>0.00%</c:formatCode>
                <c:ptCount val="5"/>
                <c:pt idx="0">
                  <c:v>0.328952527327761</c:v>
                </c:pt>
                <c:pt idx="1">
                  <c:v>0.340325634229459</c:v>
                </c:pt>
                <c:pt idx="2">
                  <c:v>0.370945517678508</c:v>
                </c:pt>
                <c:pt idx="3">
                  <c:v>0.383960426102578</c:v>
                </c:pt>
                <c:pt idx="4">
                  <c:v>0.371935618923571</c:v>
                </c:pt>
              </c:numCache>
            </c:numRef>
          </c:yVal>
          <c:smooth val="0"/>
        </c:ser>
        <c:axId val="96763475"/>
        <c:axId val="43685456"/>
      </c:scatterChart>
      <c:valAx>
        <c:axId val="9676347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.00_);_(* \(#,##0.00\);_(* \-??_);_(@_)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3685456"/>
        <c:crosses val="autoZero"/>
        <c:crossBetween val="midCat"/>
      </c:valAx>
      <c:valAx>
        <c:axId val="436854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9676347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333333"/>
                </a:solidFill>
                <a:latin typeface="Calibri"/>
                <a:ea typeface="Calibri"/>
              </a:rPr>
              <a:t>Chart Title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f81bd"/>
            </a:solidFill>
            <a:ln cap="rnd"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f81bd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Inventories_Chart!$A$1:$E$1</c:f>
              <c:numCache>
                <c:formatCode>_(* #,##0.00_);_(* \(#,##0.00\);_(* \-??_);_(@_)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Inventories_Chart!$A$2:$E$2</c:f>
              <c:numCache>
                <c:formatCode>0.00%</c:formatCode>
                <c:ptCount val="5"/>
                <c:pt idx="0">
                  <c:v>0.147828678073491</c:v>
                </c:pt>
                <c:pt idx="1">
                  <c:v>0.158167360848164</c:v>
                </c:pt>
                <c:pt idx="2">
                  <c:v>0.166037423870808</c:v>
                </c:pt>
                <c:pt idx="3">
                  <c:v>0.170352470838289</c:v>
                </c:pt>
                <c:pt idx="4">
                  <c:v>0.160557287063311</c:v>
                </c:pt>
              </c:numCache>
            </c:numRef>
          </c:yVal>
          <c:smooth val="0"/>
        </c:ser>
        <c:axId val="91479473"/>
        <c:axId val="7050667"/>
      </c:scatterChart>
      <c:valAx>
        <c:axId val="9147947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.00_);_(* \(#,##0.00\);_(* \-??_);_(@_)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7050667"/>
        <c:crosses val="autoZero"/>
        <c:crossBetween val="midCat"/>
      </c:valAx>
      <c:valAx>
        <c:axId val="70506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9147947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333333"/>
                </a:solidFill>
                <a:latin typeface="Calibri"/>
                <a:ea typeface="Calibri"/>
              </a:rPr>
              <a:t>Chart Title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f81bd"/>
            </a:solidFill>
            <a:ln cap="rnd"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f81bd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ar_Chart!$A$1:$E$1</c:f>
              <c:numCache>
                <c:formatCode>_(* #,##0.00_);_(* \(#,##0.00\);_(* \-??_);_(@_)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ar_Chart!$A$2:$E$2</c:f>
              <c:numCache>
                <c:formatCode>0.00%</c:formatCode>
                <c:ptCount val="5"/>
                <c:pt idx="0">
                  <c:v>0.149585182629425</c:v>
                </c:pt>
                <c:pt idx="1">
                  <c:v>0.139840969329799</c:v>
                </c:pt>
                <c:pt idx="2">
                  <c:v>0.138589577534654</c:v>
                </c:pt>
                <c:pt idx="3">
                  <c:v>0.127742213000683</c:v>
                </c:pt>
                <c:pt idx="4">
                  <c:v>0.149288272782249</c:v>
                </c:pt>
              </c:numCache>
            </c:numRef>
          </c:yVal>
          <c:smooth val="0"/>
        </c:ser>
        <c:axId val="42780002"/>
        <c:axId val="41768473"/>
      </c:scatterChart>
      <c:valAx>
        <c:axId val="4278000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.00_);_(* \(#,##0.00\);_(* \-??_);_(@_)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1768473"/>
        <c:crosses val="autoZero"/>
        <c:crossBetween val="midCat"/>
      </c:valAx>
      <c:valAx>
        <c:axId val="417684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278000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104760</xdr:colOff>
      <xdr:row>15</xdr:row>
      <xdr:rowOff>154440</xdr:rowOff>
    </xdr:from>
    <xdr:to>
      <xdr:col>13</xdr:col>
      <xdr:colOff>511560</xdr:colOff>
      <xdr:row>32</xdr:row>
      <xdr:rowOff>94320</xdr:rowOff>
    </xdr:to>
    <xdr:graphicFrame>
      <xdr:nvGraphicFramePr>
        <xdr:cNvPr id="0" name="Chart 1"/>
        <xdr:cNvGraphicFramePr/>
      </xdr:nvGraphicFramePr>
      <xdr:xfrm>
        <a:off x="6591960" y="2602440"/>
        <a:ext cx="4461120" cy="26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247680</xdr:colOff>
      <xdr:row>5</xdr:row>
      <xdr:rowOff>116280</xdr:rowOff>
    </xdr:from>
    <xdr:to>
      <xdr:col>18</xdr:col>
      <xdr:colOff>740160</xdr:colOff>
      <xdr:row>44</xdr:row>
      <xdr:rowOff>160920</xdr:rowOff>
    </xdr:to>
    <xdr:graphicFrame>
      <xdr:nvGraphicFramePr>
        <xdr:cNvPr id="1" name="Chart 2"/>
        <xdr:cNvGraphicFramePr/>
      </xdr:nvGraphicFramePr>
      <xdr:xfrm>
        <a:off x="1869480" y="945000"/>
        <a:ext cx="13466880" cy="6359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257040</xdr:colOff>
      <xdr:row>2</xdr:row>
      <xdr:rowOff>68400</xdr:rowOff>
    </xdr:from>
    <xdr:to>
      <xdr:col>20</xdr:col>
      <xdr:colOff>435240</xdr:colOff>
      <xdr:row>44</xdr:row>
      <xdr:rowOff>123120</xdr:rowOff>
    </xdr:to>
    <xdr:graphicFrame>
      <xdr:nvGraphicFramePr>
        <xdr:cNvPr id="2" name="Chart 1"/>
        <xdr:cNvGraphicFramePr/>
      </xdr:nvGraphicFramePr>
      <xdr:xfrm>
        <a:off x="2124000" y="411480"/>
        <a:ext cx="10757160" cy="685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504720</xdr:colOff>
      <xdr:row>2</xdr:row>
      <xdr:rowOff>39600</xdr:rowOff>
    </xdr:from>
    <xdr:to>
      <xdr:col>22</xdr:col>
      <xdr:colOff>301680</xdr:colOff>
      <xdr:row>37</xdr:row>
      <xdr:rowOff>56160</xdr:rowOff>
    </xdr:to>
    <xdr:graphicFrame>
      <xdr:nvGraphicFramePr>
        <xdr:cNvPr id="3" name="Chart 1"/>
        <xdr:cNvGraphicFramePr/>
      </xdr:nvGraphicFramePr>
      <xdr:xfrm>
        <a:off x="3616200" y="382680"/>
        <a:ext cx="10375920" cy="568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76320</xdr:colOff>
      <xdr:row>4</xdr:row>
      <xdr:rowOff>97200</xdr:rowOff>
    </xdr:from>
    <xdr:to>
      <xdr:col>24</xdr:col>
      <xdr:colOff>130680</xdr:colOff>
      <xdr:row>37</xdr:row>
      <xdr:rowOff>122760</xdr:rowOff>
    </xdr:to>
    <xdr:graphicFrame>
      <xdr:nvGraphicFramePr>
        <xdr:cNvPr id="4" name="Chart 1"/>
        <xdr:cNvGraphicFramePr/>
      </xdr:nvGraphicFramePr>
      <xdr:xfrm>
        <a:off x="4432320" y="763920"/>
        <a:ext cx="10633680" cy="536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5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H20" activeCellId="0" sqref="H20"/>
    </sheetView>
  </sheetViews>
  <sheetFormatPr defaultColWidth="8.83203125" defaultRowHeight="12.75" zeroHeight="false" outlineLevelRow="0" outlineLevelCol="0"/>
  <cols>
    <col collapsed="false" customWidth="true" hidden="false" outlineLevel="0" max="1" min="1" style="1" width="1.67"/>
    <col collapsed="false" customWidth="true" hidden="false" outlineLevel="0" max="2" min="2" style="1" width="37.5"/>
    <col collapsed="false" customWidth="true" hidden="false" outlineLevel="0" max="3" min="3" style="1" width="12.33"/>
    <col collapsed="false" customWidth="true" hidden="false" outlineLevel="0" max="4" min="4" style="1" width="15"/>
    <col collapsed="false" customWidth="true" hidden="false" outlineLevel="0" max="12" min="5" style="1" width="12.33"/>
    <col collapsed="false" customWidth="true" hidden="false" outlineLevel="0" max="13" min="13" style="1" width="12.67"/>
    <col collapsed="false" customWidth="true" hidden="false" outlineLevel="0" max="14" min="14" style="1" width="17.5"/>
    <col collapsed="false" customWidth="true" hidden="false" outlineLevel="0" max="15" min="15" style="1" width="18.5"/>
  </cols>
  <sheetData>
    <row r="1" s="4" customFormat="true" ht="21.75" hidden="false" customHeight="true" outlineLevel="0" collapsed="false">
      <c r="A1" s="2" t="s">
        <v>0</v>
      </c>
      <c r="B1" s="3"/>
      <c r="G1" s="5"/>
      <c r="H1" s="5"/>
      <c r="I1" s="5"/>
      <c r="J1" s="5"/>
      <c r="K1" s="5"/>
      <c r="L1" s="5"/>
    </row>
    <row r="2" customFormat="false" ht="12.75" hidden="false" customHeight="true" outlineLevel="0" collapsed="false">
      <c r="B2" s="6"/>
      <c r="C2" s="6"/>
      <c r="D2" s="6"/>
      <c r="E2" s="6"/>
      <c r="F2" s="6"/>
    </row>
    <row r="3" s="7" customFormat="true" ht="13.5" hidden="false" customHeight="true" outlineLevel="0" collapsed="false">
      <c r="B3" s="8" t="s">
        <v>1</v>
      </c>
      <c r="C3" s="9"/>
      <c r="D3" s="9"/>
      <c r="E3" s="9"/>
      <c r="F3" s="10"/>
      <c r="J3" s="7" t="s">
        <v>2</v>
      </c>
    </row>
    <row r="4" s="7" customFormat="true" ht="13.5" hidden="false" customHeight="true" outlineLevel="0" collapsed="false">
      <c r="B4" s="8" t="s">
        <v>3</v>
      </c>
      <c r="C4" s="9"/>
      <c r="D4" s="9"/>
      <c r="E4" s="9"/>
      <c r="F4" s="11" t="n">
        <v>175.63</v>
      </c>
    </row>
    <row r="5" s="7" customFormat="true" ht="13.5" hidden="false" customHeight="true" outlineLevel="0" collapsed="false">
      <c r="B5" s="8" t="s">
        <v>4</v>
      </c>
      <c r="C5" s="9"/>
      <c r="D5" s="9"/>
      <c r="E5" s="9"/>
      <c r="F5" s="12" t="n">
        <v>1340</v>
      </c>
    </row>
    <row r="6" s="7" customFormat="true" ht="13.5" hidden="false" customHeight="true" outlineLevel="0" collapsed="false">
      <c r="B6" s="8"/>
      <c r="C6" s="13" t="n">
        <v>1</v>
      </c>
      <c r="D6" s="13" t="n">
        <v>2</v>
      </c>
      <c r="E6" s="13" t="n">
        <v>3</v>
      </c>
      <c r="F6" s="14" t="n">
        <v>4</v>
      </c>
      <c r="G6" s="15" t="n">
        <v>5</v>
      </c>
      <c r="H6" s="15" t="n">
        <v>6</v>
      </c>
      <c r="I6" s="15" t="n">
        <v>7</v>
      </c>
      <c r="J6" s="15" t="n">
        <v>8</v>
      </c>
      <c r="K6" s="15" t="n">
        <v>9</v>
      </c>
      <c r="L6" s="15" t="n">
        <v>10</v>
      </c>
    </row>
    <row r="7" s="7" customFormat="true" ht="17.25" hidden="false" customHeight="true" outlineLevel="0" collapsed="false">
      <c r="B7" s="16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</row>
    <row r="8" s="7" customFormat="true" ht="13.5" hidden="false" customHeight="true" outlineLevel="0" collapsed="false">
      <c r="B8" s="8"/>
      <c r="C8" s="17"/>
      <c r="D8" s="18"/>
      <c r="E8" s="18"/>
      <c r="F8" s="18"/>
      <c r="G8" s="19"/>
      <c r="H8" s="20" t="s">
        <v>6</v>
      </c>
      <c r="I8" s="20"/>
      <c r="J8" s="20"/>
      <c r="K8" s="20"/>
      <c r="L8" s="20"/>
      <c r="N8" s="7" t="s">
        <v>7</v>
      </c>
      <c r="O8" s="21" t="n">
        <f aca="false">AVERAGE(D11:G11)</f>
        <v>0.0779162442664816</v>
      </c>
    </row>
    <row r="9" s="7" customFormat="true" ht="13.5" hidden="false" customHeight="true" outlineLevel="0" collapsed="false">
      <c r="B9" s="8"/>
      <c r="C9" s="22" t="n">
        <f aca="false">D9-365</f>
        <v>44470</v>
      </c>
      <c r="D9" s="22" t="n">
        <f aca="false">E9-365</f>
        <v>44835</v>
      </c>
      <c r="E9" s="22" t="n">
        <f aca="false">F9-365</f>
        <v>45200</v>
      </c>
      <c r="F9" s="22" t="n">
        <f aca="false">G9-365</f>
        <v>45565</v>
      </c>
      <c r="G9" s="22" t="n">
        <v>45930</v>
      </c>
      <c r="H9" s="23" t="n">
        <f aca="false">G9+365</f>
        <v>46295</v>
      </c>
      <c r="I9" s="23" t="n">
        <f aca="false">H9+365</f>
        <v>46660</v>
      </c>
      <c r="J9" s="23" t="n">
        <f aca="false">I9+365</f>
        <v>47025</v>
      </c>
      <c r="K9" s="23" t="n">
        <f aca="false">J9+365</f>
        <v>47390</v>
      </c>
      <c r="L9" s="23" t="n">
        <f aca="false">K9+365</f>
        <v>47755</v>
      </c>
      <c r="N9" s="7" t="s">
        <v>8</v>
      </c>
      <c r="O9" s="21" t="n">
        <f aca="false">AVERAGE(D12:G12)-1</f>
        <v>0.0779162442664816</v>
      </c>
    </row>
    <row r="10" s="7" customFormat="true" ht="13.5" hidden="false" customHeight="true" outlineLevel="0" collapsed="false">
      <c r="B10" s="8" t="s">
        <v>9</v>
      </c>
      <c r="C10" s="24" t="n">
        <v>63763</v>
      </c>
      <c r="D10" s="24" t="n">
        <v>66025</v>
      </c>
      <c r="E10" s="24" t="n">
        <v>72574</v>
      </c>
      <c r="F10" s="24" t="n">
        <v>79042</v>
      </c>
      <c r="G10" s="25" t="n">
        <v>85988</v>
      </c>
      <c r="H10" s="26" t="n">
        <f aca="false">G10*(1+H11)</f>
        <v>90975.304</v>
      </c>
      <c r="I10" s="26" t="n">
        <f aca="false">H10*(1+I11)</f>
        <v>96251.871632</v>
      </c>
      <c r="J10" s="26" t="n">
        <f aca="false">I10*(1+J11)</f>
        <v>101834.480186656</v>
      </c>
      <c r="K10" s="26" t="n">
        <f aca="false">J10*(1+K11)</f>
        <v>107740.880037482</v>
      </c>
      <c r="L10" s="26" t="n">
        <f aca="false">K10*(1+L11)</f>
        <v>113989.851079656</v>
      </c>
      <c r="N10" s="7" t="s">
        <v>10</v>
      </c>
    </row>
    <row r="11" s="7" customFormat="true" ht="13.5" hidden="false" customHeight="true" outlineLevel="0" collapsed="false">
      <c r="B11" s="27" t="s">
        <v>11</v>
      </c>
      <c r="C11" s="9"/>
      <c r="D11" s="28" t="n">
        <f aca="false">D10/C10-1</f>
        <v>0.0354751187993037</v>
      </c>
      <c r="E11" s="28" t="n">
        <f aca="false">E10/D10-1</f>
        <v>0.0991897008708822</v>
      </c>
      <c r="F11" s="28" t="n">
        <f aca="false">F10/E10-1</f>
        <v>0.0891228263565465</v>
      </c>
      <c r="G11" s="28" t="n">
        <f aca="false">G10/F10-1</f>
        <v>0.0878773310391943</v>
      </c>
      <c r="H11" s="29" t="n">
        <v>0.058</v>
      </c>
      <c r="I11" s="29" t="n">
        <f aca="false">H11</f>
        <v>0.058</v>
      </c>
      <c r="J11" s="29" t="n">
        <f aca="false">I11</f>
        <v>0.058</v>
      </c>
      <c r="K11" s="29" t="n">
        <f aca="false">J11</f>
        <v>0.058</v>
      </c>
      <c r="L11" s="29" t="n">
        <f aca="false">K11</f>
        <v>0.058</v>
      </c>
    </row>
    <row r="12" s="7" customFormat="true" ht="13.5" hidden="false" customHeight="true" outlineLevel="0" collapsed="false">
      <c r="B12" s="8" t="s">
        <v>8</v>
      </c>
      <c r="C12" s="9"/>
      <c r="D12" s="28" t="n">
        <f aca="false">D11+1</f>
        <v>1.0354751187993</v>
      </c>
      <c r="E12" s="28" t="n">
        <f aca="false">E11+1</f>
        <v>1.09918970087088</v>
      </c>
      <c r="F12" s="28" t="n">
        <f aca="false">F11+1</f>
        <v>1.08912282635655</v>
      </c>
      <c r="G12" s="28" t="n">
        <f aca="false">G11+1</f>
        <v>1.08787733103919</v>
      </c>
      <c r="H12" s="30"/>
      <c r="I12" s="30"/>
      <c r="J12" s="30"/>
      <c r="K12" s="30"/>
      <c r="L12" s="30"/>
      <c r="N12" s="7" t="s">
        <v>12</v>
      </c>
      <c r="O12" s="31" t="n">
        <v>-1748</v>
      </c>
      <c r="P12" s="31" t="n">
        <v>-1894</v>
      </c>
      <c r="Q12" s="31" t="n">
        <v>-1801</v>
      </c>
      <c r="R12" s="31" t="n">
        <v>-1580</v>
      </c>
      <c r="S12" s="31" t="n">
        <v>-1465</v>
      </c>
    </row>
    <row r="13" s="7" customFormat="true" ht="13.5" hidden="false" customHeight="true" outlineLevel="0" collapsed="false">
      <c r="B13" s="7" t="s">
        <v>13</v>
      </c>
      <c r="C13" s="13" t="n">
        <f aca="false">LN(C10)</f>
        <v>11.0629283638001</v>
      </c>
      <c r="D13" s="13" t="n">
        <f aca="false">LN(D10)</f>
        <v>11.0977887371653</v>
      </c>
      <c r="E13" s="13" t="n">
        <f aca="false">LN(E10)</f>
        <v>11.1923620099484</v>
      </c>
      <c r="F13" s="13" t="n">
        <f aca="false">LN(F10)</f>
        <v>11.2777346357453</v>
      </c>
      <c r="G13" s="13" t="n">
        <f aca="false">LN(G10)</f>
        <v>11.361963030616</v>
      </c>
      <c r="H13" s="32"/>
      <c r="I13" s="32"/>
      <c r="J13" s="32"/>
      <c r="K13" s="32"/>
      <c r="L13" s="32"/>
      <c r="N13" s="7" t="s">
        <v>14</v>
      </c>
      <c r="O13" s="31" t="n">
        <v>6160</v>
      </c>
      <c r="P13" s="31" t="n">
        <v>7480</v>
      </c>
      <c r="Q13" s="31" t="n">
        <v>8611</v>
      </c>
      <c r="R13" s="31" t="n">
        <v>9849</v>
      </c>
      <c r="S13" s="31" t="n">
        <v>11196</v>
      </c>
    </row>
    <row r="14" s="7" customFormat="true" ht="13.5" hidden="false" customHeight="true" outlineLevel="0" collapsed="false">
      <c r="B14" s="8" t="s">
        <v>14</v>
      </c>
      <c r="C14" s="25" t="n">
        <v>4412</v>
      </c>
      <c r="D14" s="25" t="n">
        <v>5586</v>
      </c>
      <c r="E14" s="25" t="n">
        <v>6810</v>
      </c>
      <c r="F14" s="25" t="n">
        <v>8269</v>
      </c>
      <c r="G14" s="25" t="n">
        <v>9731</v>
      </c>
      <c r="H14" s="33" t="n">
        <f aca="false">H10*H15</f>
        <v>10352.9895952</v>
      </c>
      <c r="I14" s="33" t="n">
        <f aca="false">I15*I10</f>
        <v>10953.4629917216</v>
      </c>
      <c r="J14" s="33" t="n">
        <f aca="false">J15*J10</f>
        <v>11588.7638452415</v>
      </c>
      <c r="K14" s="33" t="n">
        <f aca="false">K15*K10</f>
        <v>12260.9121482655</v>
      </c>
      <c r="L14" s="33" t="n">
        <f aca="false">L15*L10</f>
        <v>12972.0450528649</v>
      </c>
      <c r="N14" s="7" t="s">
        <v>15</v>
      </c>
      <c r="O14" s="34" t="n">
        <f aca="false">SUM(O12:O13)</f>
        <v>4412</v>
      </c>
      <c r="P14" s="34" t="n">
        <f aca="false">SUM(P12:P13)</f>
        <v>5586</v>
      </c>
      <c r="Q14" s="34" t="n">
        <f aca="false">SUM(Q12:Q13)</f>
        <v>6810</v>
      </c>
      <c r="R14" s="34" t="n">
        <f aca="false">SUM(R12:R13)</f>
        <v>8269</v>
      </c>
      <c r="S14" s="34" t="n">
        <f aca="false">SUM(S12:S13)</f>
        <v>9731</v>
      </c>
    </row>
    <row r="15" s="7" customFormat="true" ht="13.5" hidden="false" customHeight="true" outlineLevel="0" collapsed="false">
      <c r="B15" s="27" t="s">
        <v>16</v>
      </c>
      <c r="C15" s="28" t="n">
        <f aca="false">C14/C10</f>
        <v>0.0691937330426737</v>
      </c>
      <c r="D15" s="28" t="n">
        <f aca="false">D14/D10</f>
        <v>0.0846043165467626</v>
      </c>
      <c r="E15" s="28" t="n">
        <f aca="false">E14/E10</f>
        <v>0.0938352578058258</v>
      </c>
      <c r="F15" s="28" t="n">
        <f aca="false">F14/F10</f>
        <v>0.104615267832292</v>
      </c>
      <c r="G15" s="28" t="n">
        <f aca="false">G14/G10</f>
        <v>0.113166953528399</v>
      </c>
      <c r="H15" s="29" t="n">
        <v>0.1138</v>
      </c>
      <c r="I15" s="29" t="n">
        <f aca="false">H15</f>
        <v>0.1138</v>
      </c>
      <c r="J15" s="29" t="n">
        <f aca="false">I15</f>
        <v>0.1138</v>
      </c>
      <c r="K15" s="29" t="n">
        <f aca="false">J15</f>
        <v>0.1138</v>
      </c>
      <c r="L15" s="29" t="n">
        <f aca="false">K15</f>
        <v>0.1138</v>
      </c>
    </row>
    <row r="16" s="7" customFormat="true" ht="13.5" hidden="false" customHeight="true" outlineLevel="0" collapsed="false">
      <c r="B16" s="8"/>
      <c r="C16" s="9"/>
      <c r="D16" s="9"/>
      <c r="E16" s="9"/>
      <c r="F16" s="35"/>
    </row>
    <row r="17" s="7" customFormat="true" ht="13.5" hidden="false" customHeight="true" outlineLevel="0" collapsed="false">
      <c r="B17" s="8" t="s">
        <v>17</v>
      </c>
      <c r="C17" s="36" t="n">
        <v>4566</v>
      </c>
      <c r="D17" s="36" t="n">
        <v>4204</v>
      </c>
      <c r="E17" s="36" t="n">
        <v>4200</v>
      </c>
      <c r="F17" s="36" t="n">
        <v>4284</v>
      </c>
      <c r="G17" s="36" t="n">
        <v>4358</v>
      </c>
      <c r="H17" s="33" t="n">
        <f aca="false">G17*(1+H19)</f>
        <v>4410.76390583805</v>
      </c>
      <c r="I17" s="33" t="n">
        <f aca="false">H17*(1+I19)</f>
        <v>4464.16664365391</v>
      </c>
      <c r="J17" s="33" t="n">
        <f aca="false">I17*(1+J19)</f>
        <v>4518.21594802085</v>
      </c>
      <c r="K17" s="33" t="n">
        <f aca="false">J17*(1+K19)</f>
        <v>4572.91964715746</v>
      </c>
      <c r="L17" s="33" t="n">
        <f aca="false">K17*(1+L19)</f>
        <v>4628.28566406145</v>
      </c>
    </row>
    <row r="18" s="7" customFormat="true" ht="13.5" hidden="false" customHeight="true" outlineLevel="0" collapsed="false">
      <c r="B18" s="27" t="s">
        <v>18</v>
      </c>
      <c r="C18" s="9"/>
      <c r="D18" s="9"/>
      <c r="E18" s="9"/>
      <c r="F18" s="35"/>
      <c r="H18" s="37" t="n">
        <v>0</v>
      </c>
      <c r="I18" s="37" t="n">
        <v>0</v>
      </c>
      <c r="J18" s="37" t="n">
        <v>0</v>
      </c>
      <c r="K18" s="37" t="n">
        <v>0</v>
      </c>
      <c r="L18" s="37" t="n">
        <v>0</v>
      </c>
    </row>
    <row r="19" s="7" customFormat="true" ht="13.5" hidden="false" customHeight="true" outlineLevel="0" collapsed="false">
      <c r="B19" s="8" t="s">
        <v>19</v>
      </c>
      <c r="C19" s="9"/>
      <c r="D19" s="28" t="n">
        <f aca="false">D17/C17-1</f>
        <v>-0.07928164695576</v>
      </c>
      <c r="E19" s="28" t="n">
        <f aca="false">E17/D17-1</f>
        <v>-0.000951474785918172</v>
      </c>
      <c r="F19" s="28" t="n">
        <f aca="false">F17/E17-1</f>
        <v>0.02</v>
      </c>
      <c r="G19" s="28" t="n">
        <f aca="false">G17/F17-1</f>
        <v>0.0172735760971054</v>
      </c>
      <c r="H19" s="21" t="n">
        <f aca="false">AVERAGE(E19:G19)</f>
        <v>0.0121073671037291</v>
      </c>
      <c r="I19" s="21" t="n">
        <f aca="false">H19</f>
        <v>0.0121073671037291</v>
      </c>
      <c r="J19" s="21" t="n">
        <f aca="false">I19</f>
        <v>0.0121073671037291</v>
      </c>
      <c r="K19" s="21" t="n">
        <f aca="false">J19</f>
        <v>0.0121073671037291</v>
      </c>
      <c r="L19" s="21" t="n">
        <f aca="false">K19</f>
        <v>0.0121073671037291</v>
      </c>
    </row>
    <row r="20" s="7" customFormat="true" ht="17.25" hidden="false" customHeight="true" outlineLevel="0" collapsed="false">
      <c r="B20" s="16" t="s">
        <v>20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N20" s="21"/>
    </row>
    <row r="21" s="7" customFormat="true" ht="13.5" hidden="false" customHeight="true" outlineLevel="0" collapsed="false">
      <c r="B21" s="8"/>
      <c r="C21" s="17"/>
      <c r="D21" s="18"/>
      <c r="E21" s="18"/>
      <c r="F21" s="18"/>
      <c r="G21" s="19"/>
      <c r="H21" s="20" t="s">
        <v>6</v>
      </c>
      <c r="I21" s="20"/>
      <c r="J21" s="20"/>
      <c r="K21" s="20"/>
      <c r="L21" s="20"/>
    </row>
    <row r="22" s="7" customFormat="true" ht="13.5" hidden="false" customHeight="true" outlineLevel="0" collapsed="false">
      <c r="B22" s="8"/>
      <c r="C22" s="22" t="n">
        <f aca="false">D22-365</f>
        <v>44470</v>
      </c>
      <c r="D22" s="22" t="n">
        <f aca="false">E22-365</f>
        <v>44835</v>
      </c>
      <c r="E22" s="22" t="n">
        <f aca="false">F22-365</f>
        <v>45200</v>
      </c>
      <c r="F22" s="22" t="n">
        <f aca="false">G22-365</f>
        <v>45565</v>
      </c>
      <c r="G22" s="22" t="n">
        <v>45930</v>
      </c>
      <c r="H22" s="23" t="n">
        <f aca="false">G22+365</f>
        <v>46295</v>
      </c>
      <c r="I22" s="23" t="n">
        <f aca="false">H22+365</f>
        <v>46660</v>
      </c>
      <c r="J22" s="23" t="n">
        <f aca="false">I22+365</f>
        <v>47025</v>
      </c>
      <c r="K22" s="23" t="n">
        <f aca="false">J22+365</f>
        <v>47390</v>
      </c>
      <c r="L22" s="23" t="n">
        <f aca="false">K22+365</f>
        <v>47755</v>
      </c>
      <c r="N22" s="33"/>
    </row>
    <row r="23" s="7" customFormat="true" ht="13.5" hidden="false" customHeight="true" outlineLevel="0" collapsed="false">
      <c r="B23" s="38" t="s">
        <v>21</v>
      </c>
      <c r="C23" s="39" t="n">
        <v>9538</v>
      </c>
      <c r="D23" s="39" t="n">
        <v>9233</v>
      </c>
      <c r="E23" s="39" t="n">
        <v>10058</v>
      </c>
      <c r="F23" s="39" t="n">
        <v>10097</v>
      </c>
      <c r="G23" s="39" t="n">
        <v>12837</v>
      </c>
      <c r="H23" s="40" t="n">
        <f aca="false">H10*H30</f>
        <v>13581.546</v>
      </c>
      <c r="I23" s="40" t="n">
        <f aca="false">I10*I30</f>
        <v>14369.275668</v>
      </c>
      <c r="J23" s="40" t="n">
        <f aca="false">J10*J30</f>
        <v>15202.693656744</v>
      </c>
      <c r="K23" s="40" t="n">
        <f aca="false">K10*K30</f>
        <v>16084.4498888352</v>
      </c>
      <c r="L23" s="40" t="n">
        <f aca="false">L10*L30</f>
        <v>17017.3479823876</v>
      </c>
    </row>
    <row r="24" s="7" customFormat="true" ht="13.5" hidden="false" customHeight="true" outlineLevel="0" collapsed="false">
      <c r="B24" s="38" t="s">
        <v>22</v>
      </c>
      <c r="C24" s="39" t="n">
        <v>9426</v>
      </c>
      <c r="D24" s="39" t="n">
        <v>10443</v>
      </c>
      <c r="E24" s="39" t="n">
        <v>12050</v>
      </c>
      <c r="F24" s="39" t="n">
        <v>13465</v>
      </c>
      <c r="G24" s="39" t="n">
        <v>13806</v>
      </c>
      <c r="H24" s="40" t="n">
        <f aca="false">H10*H31</f>
        <v>14606.748</v>
      </c>
      <c r="I24" s="40" t="n">
        <f aca="false">I10*I31</f>
        <v>15453.939384</v>
      </c>
      <c r="J24" s="40" t="n">
        <f aca="false">J10*J31</f>
        <v>16350.267868272</v>
      </c>
      <c r="K24" s="40" t="n">
        <f aca="false">K10*K31</f>
        <v>17298.5834046318</v>
      </c>
      <c r="L24" s="40" t="n">
        <f aca="false">L10*L31</f>
        <v>18301.9012421004</v>
      </c>
    </row>
    <row r="25" s="7" customFormat="true" ht="13.5" hidden="false" customHeight="true" outlineLevel="0" collapsed="false">
      <c r="B25" s="8" t="s">
        <v>23</v>
      </c>
      <c r="C25" s="13" t="n">
        <v>16393</v>
      </c>
      <c r="D25" s="13" t="n">
        <v>16470</v>
      </c>
      <c r="E25" s="13" t="n">
        <v>17102</v>
      </c>
      <c r="F25" s="14" t="n">
        <v>17732</v>
      </c>
      <c r="G25" s="15" t="n">
        <v>18224</v>
      </c>
      <c r="N25" s="13"/>
      <c r="O25" s="13"/>
      <c r="P25" s="13"/>
      <c r="Q25" s="14"/>
      <c r="R25" s="15"/>
    </row>
    <row r="26" s="7" customFormat="true" ht="13.5" hidden="false" customHeight="true" outlineLevel="0" collapsed="false">
      <c r="B26" s="38" t="s">
        <v>24</v>
      </c>
      <c r="C26" s="25" t="n">
        <v>20975</v>
      </c>
      <c r="D26" s="25" t="n">
        <v>22470</v>
      </c>
      <c r="E26" s="25" t="n">
        <v>26921</v>
      </c>
      <c r="F26" s="25" t="n">
        <v>30349</v>
      </c>
      <c r="G26" s="25" t="n">
        <v>31982</v>
      </c>
      <c r="H26" s="26" t="n">
        <f aca="false">H10*H32</f>
        <v>33836.956</v>
      </c>
      <c r="I26" s="26" t="n">
        <f aca="false">I10*I32</f>
        <v>35799.499448</v>
      </c>
      <c r="J26" s="26" t="n">
        <f aca="false">J10*J32</f>
        <v>37875.870415984</v>
      </c>
      <c r="K26" s="26" t="n">
        <f aca="false">K10*K32</f>
        <v>40072.6709001111</v>
      </c>
      <c r="L26" s="26" t="n">
        <f aca="false">L10*L32</f>
        <v>42396.8858123175</v>
      </c>
      <c r="N26" s="41"/>
      <c r="O26" s="41"/>
      <c r="P26" s="41"/>
      <c r="Q26" s="41"/>
      <c r="R26" s="41"/>
    </row>
    <row r="27" s="7" customFormat="true" ht="13.5" hidden="false" customHeight="true" outlineLevel="0" collapsed="false">
      <c r="B27" s="8"/>
      <c r="C27" s="9"/>
      <c r="D27" s="9"/>
      <c r="E27" s="9"/>
      <c r="F27" s="35"/>
      <c r="N27" s="30"/>
    </row>
    <row r="28" s="7" customFormat="true" ht="13.5" hidden="false" customHeight="true" outlineLevel="0" collapsed="false">
      <c r="B28" s="8" t="s">
        <v>25</v>
      </c>
      <c r="C28" s="39" t="n">
        <v>1977</v>
      </c>
      <c r="D28" s="39" t="n">
        <v>2702</v>
      </c>
      <c r="E28" s="39" t="n">
        <v>3170</v>
      </c>
      <c r="F28" s="39" t="n">
        <v>3023</v>
      </c>
      <c r="G28" s="39" t="n">
        <v>3237</v>
      </c>
      <c r="H28" s="42" t="n">
        <f aca="false">G28*(1+H29)</f>
        <v>3358.85617760618</v>
      </c>
      <c r="I28" s="42" t="n">
        <f aca="false">H28*(1+I29)</f>
        <v>3485.29960514155</v>
      </c>
      <c r="J28" s="42" t="n">
        <f aca="false">I28*(1+J29)</f>
        <v>3616.50296865556</v>
      </c>
      <c r="K28" s="42" t="n">
        <f aca="false">J28*(1+K29)</f>
        <v>3752.64545492734</v>
      </c>
      <c r="L28" s="42" t="n">
        <f aca="false">K28*(1+L29)</f>
        <v>3893.91299618426</v>
      </c>
      <c r="N28" s="21"/>
    </row>
    <row r="29" s="7" customFormat="true" ht="13.5" hidden="false" customHeight="true" outlineLevel="0" collapsed="false">
      <c r="B29" s="27" t="s">
        <v>26</v>
      </c>
      <c r="C29" s="41" t="n">
        <f aca="false">C28/C10</f>
        <v>0.0310054420275081</v>
      </c>
      <c r="D29" s="41" t="n">
        <f aca="false">D28/D10</f>
        <v>0.0409238924649754</v>
      </c>
      <c r="E29" s="41" t="n">
        <f aca="false">E28/E10</f>
        <v>0.043679554661449</v>
      </c>
      <c r="F29" s="41" t="n">
        <f aca="false">F28/F10</f>
        <v>0.0382454897396321</v>
      </c>
      <c r="G29" s="41" t="n">
        <f aca="false">G28/G10</f>
        <v>0.0376447876447876</v>
      </c>
      <c r="H29" s="37" t="n">
        <f aca="false">G29</f>
        <v>0.0376447876447876</v>
      </c>
      <c r="I29" s="37" t="n">
        <f aca="false">H29</f>
        <v>0.0376447876447876</v>
      </c>
      <c r="J29" s="37" t="n">
        <f aca="false">I29</f>
        <v>0.0376447876447876</v>
      </c>
      <c r="K29" s="37" t="n">
        <f aca="false">J29</f>
        <v>0.0376447876447876</v>
      </c>
      <c r="L29" s="37" t="n">
        <f aca="false">K29</f>
        <v>0.0376447876447876</v>
      </c>
    </row>
    <row r="30" s="7" customFormat="true" ht="13.5" hidden="false" customHeight="true" outlineLevel="0" collapsed="false">
      <c r="B30" s="43" t="s">
        <v>27</v>
      </c>
      <c r="C30" s="41" t="n">
        <f aca="false">C23/C10</f>
        <v>0.149585182629425</v>
      </c>
      <c r="D30" s="41" t="n">
        <f aca="false">D23/D10</f>
        <v>0.139840969329799</v>
      </c>
      <c r="E30" s="41" t="n">
        <f aca="false">E23/E10</f>
        <v>0.138589577534654</v>
      </c>
      <c r="F30" s="41" t="n">
        <f aca="false">F23/F10</f>
        <v>0.127742213000683</v>
      </c>
      <c r="G30" s="41" t="n">
        <f aca="false">G23/G10</f>
        <v>0.149288272782249</v>
      </c>
      <c r="H30" s="37" t="n">
        <f aca="false">$G$23/$G$10</f>
        <v>0.149288272782249</v>
      </c>
      <c r="I30" s="37" t="n">
        <f aca="false">H30</f>
        <v>0.149288272782249</v>
      </c>
      <c r="J30" s="37" t="n">
        <f aca="false">I30</f>
        <v>0.149288272782249</v>
      </c>
      <c r="K30" s="37" t="n">
        <f aca="false">J30</f>
        <v>0.149288272782249</v>
      </c>
      <c r="L30" s="37" t="n">
        <f aca="false">K30</f>
        <v>0.149288272782249</v>
      </c>
      <c r="N30" s="13"/>
      <c r="O30" s="13"/>
      <c r="P30" s="13"/>
      <c r="Q30" s="14"/>
      <c r="R30" s="15"/>
    </row>
    <row r="31" s="7" customFormat="true" ht="13.5" hidden="false" customHeight="true" outlineLevel="0" collapsed="false">
      <c r="B31" s="43" t="s">
        <v>28</v>
      </c>
      <c r="C31" s="41" t="n">
        <f aca="false">C24/C10</f>
        <v>0.147828678073491</v>
      </c>
      <c r="D31" s="41" t="n">
        <f aca="false">D24/D10</f>
        <v>0.158167360848164</v>
      </c>
      <c r="E31" s="41" t="n">
        <f aca="false">E24/E10</f>
        <v>0.166037423870808</v>
      </c>
      <c r="F31" s="41" t="n">
        <f aca="false">F24/F10</f>
        <v>0.170352470838289</v>
      </c>
      <c r="G31" s="41" t="n">
        <f aca="false">G24/G10</f>
        <v>0.160557287063311</v>
      </c>
      <c r="H31" s="37" t="n">
        <f aca="false">$G$24/$G$10</f>
        <v>0.160557287063311</v>
      </c>
      <c r="I31" s="37" t="n">
        <f aca="false">H31</f>
        <v>0.160557287063311</v>
      </c>
      <c r="J31" s="37" t="n">
        <f aca="false">I31</f>
        <v>0.160557287063311</v>
      </c>
      <c r="K31" s="37" t="n">
        <f aca="false">J31</f>
        <v>0.160557287063311</v>
      </c>
      <c r="L31" s="37" t="n">
        <f aca="false">K31</f>
        <v>0.160557287063311</v>
      </c>
      <c r="N31" s="41"/>
      <c r="O31" s="41"/>
      <c r="P31" s="41"/>
      <c r="Q31" s="41"/>
      <c r="R31" s="41"/>
    </row>
    <row r="32" s="7" customFormat="true" ht="13.5" hidden="false" customHeight="true" outlineLevel="0" collapsed="false">
      <c r="B32" s="43" t="s">
        <v>29</v>
      </c>
      <c r="C32" s="41" t="n">
        <f aca="false">C26/C10</f>
        <v>0.328952527327761</v>
      </c>
      <c r="D32" s="41" t="n">
        <f aca="false">D26/D10</f>
        <v>0.340325634229459</v>
      </c>
      <c r="E32" s="41" t="n">
        <f aca="false">E26/E10</f>
        <v>0.370945517678508</v>
      </c>
      <c r="F32" s="41" t="n">
        <f aca="false">F26/F10</f>
        <v>0.383960426102578</v>
      </c>
      <c r="G32" s="41" t="n">
        <f aca="false">G26/G10</f>
        <v>0.371935618923571</v>
      </c>
      <c r="H32" s="37" t="n">
        <f aca="false">$G$26/$G$10</f>
        <v>0.371935618923571</v>
      </c>
      <c r="I32" s="37" t="n">
        <f aca="false">H32</f>
        <v>0.371935618923571</v>
      </c>
      <c r="J32" s="37" t="n">
        <f aca="false">I32</f>
        <v>0.371935618923571</v>
      </c>
      <c r="K32" s="37" t="n">
        <f aca="false">J32</f>
        <v>0.371935618923571</v>
      </c>
      <c r="L32" s="37" t="n">
        <f aca="false">K32</f>
        <v>0.371935618923571</v>
      </c>
    </row>
    <row r="33" s="7" customFormat="true" ht="13.5" hidden="false" customHeight="true" outlineLevel="0" collapsed="false">
      <c r="B33" s="43" t="s">
        <v>30</v>
      </c>
      <c r="C33" s="41"/>
      <c r="D33" s="41" t="n">
        <f aca="false">D25/C25-1</f>
        <v>0.00469712682242429</v>
      </c>
      <c r="E33" s="41" t="n">
        <f aca="false">E25/D25-1</f>
        <v>0.0383727990285367</v>
      </c>
      <c r="F33" s="41" t="n">
        <f aca="false">F25/E25-1</f>
        <v>0.0368377967489182</v>
      </c>
      <c r="G33" s="41" t="n">
        <f aca="false">G25/F25-1</f>
        <v>0.0277464471012858</v>
      </c>
      <c r="H33" s="37" t="n">
        <v>0</v>
      </c>
      <c r="I33" s="37" t="n">
        <v>0</v>
      </c>
      <c r="J33" s="37" t="n">
        <v>0</v>
      </c>
      <c r="K33" s="37" t="n">
        <v>0</v>
      </c>
      <c r="L33" s="37" t="n">
        <v>0</v>
      </c>
    </row>
    <row r="34" s="7" customFormat="true" ht="13.5" hidden="false" customHeight="true" outlineLevel="0" collapsed="false">
      <c r="B34" s="43" t="s">
        <v>31</v>
      </c>
      <c r="C34" s="41"/>
      <c r="D34" s="41"/>
      <c r="E34" s="41"/>
      <c r="F34" s="44"/>
      <c r="G34" s="45"/>
      <c r="H34" s="37" t="n">
        <v>0</v>
      </c>
      <c r="I34" s="37" t="n">
        <v>0</v>
      </c>
      <c r="J34" s="37" t="n">
        <v>0</v>
      </c>
      <c r="K34" s="37" t="n">
        <v>0</v>
      </c>
      <c r="L34" s="37" t="n">
        <v>0</v>
      </c>
    </row>
    <row r="35" s="7" customFormat="true" ht="13.5" hidden="false" customHeight="true" outlineLevel="0" collapsed="false"/>
    <row r="36" s="7" customFormat="true" ht="13.5" hidden="false" customHeight="true" outlineLevel="0" collapsed="false">
      <c r="B36" s="27"/>
      <c r="C36" s="46"/>
      <c r="D36" s="46"/>
      <c r="E36" s="46"/>
      <c r="F36" s="47"/>
      <c r="G36" s="48"/>
      <c r="H36" s="48"/>
      <c r="I36" s="48"/>
      <c r="J36" s="48"/>
      <c r="K36" s="48"/>
      <c r="L36" s="48"/>
    </row>
    <row r="37" s="49" customFormat="true" ht="17.25" hidden="false" customHeight="true" outlineLevel="0" collapsed="false">
      <c r="B37" s="16" t="s">
        <v>32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="49" customFormat="true" ht="13.5" hidden="false" customHeight="true" outlineLevel="0" collapsed="false">
      <c r="B38" s="50" t="s">
        <v>33</v>
      </c>
      <c r="C38" s="51"/>
      <c r="D38" s="18"/>
      <c r="E38" s="18"/>
      <c r="F38" s="18"/>
      <c r="G38" s="52"/>
      <c r="H38" s="20" t="s">
        <v>6</v>
      </c>
      <c r="I38" s="20"/>
      <c r="J38" s="20"/>
      <c r="K38" s="20"/>
      <c r="L38" s="20"/>
    </row>
    <row r="39" s="49" customFormat="true" ht="13.5" hidden="false" customHeight="true" outlineLevel="0" collapsed="false">
      <c r="B39" s="53"/>
      <c r="C39" s="22" t="n">
        <f aca="false">D39-365</f>
        <v>44470</v>
      </c>
      <c r="D39" s="22" t="n">
        <f aca="false">E39-365</f>
        <v>44835</v>
      </c>
      <c r="E39" s="22" t="n">
        <f aca="false">F39-365</f>
        <v>45200</v>
      </c>
      <c r="F39" s="22" t="n">
        <f aca="false">G39-365</f>
        <v>45565</v>
      </c>
      <c r="G39" s="22" t="n">
        <v>45930</v>
      </c>
      <c r="H39" s="23" t="n">
        <f aca="false">G39+365</f>
        <v>46295</v>
      </c>
      <c r="I39" s="23" t="n">
        <f aca="false">H39+365</f>
        <v>46660</v>
      </c>
      <c r="J39" s="23" t="n">
        <f aca="false">I39+365</f>
        <v>47025</v>
      </c>
      <c r="K39" s="23" t="n">
        <f aca="false">J39+365</f>
        <v>47390</v>
      </c>
      <c r="L39" s="23" t="n">
        <f aca="false">K39+365</f>
        <v>47755</v>
      </c>
    </row>
    <row r="40" s="49" customFormat="true" ht="13.5" hidden="false" customHeight="true" outlineLevel="0" collapsed="false">
      <c r="B40" s="54" t="s">
        <v>34</v>
      </c>
      <c r="C40" s="55"/>
      <c r="D40" s="55"/>
      <c r="E40" s="55"/>
      <c r="F40" s="55"/>
      <c r="G40" s="55"/>
      <c r="H40" s="56" t="n">
        <v>1</v>
      </c>
      <c r="I40" s="56" t="n">
        <f aca="false">H40+1</f>
        <v>2</v>
      </c>
      <c r="J40" s="56" t="n">
        <f aca="false">I40+1</f>
        <v>3</v>
      </c>
      <c r="K40" s="56" t="n">
        <f aca="false">J40+1</f>
        <v>4</v>
      </c>
      <c r="L40" s="56" t="n">
        <f aca="false">K40+1</f>
        <v>5</v>
      </c>
    </row>
    <row r="41" s="49" customFormat="true" ht="13.5" hidden="false" customHeight="true" outlineLevel="0" collapsed="false">
      <c r="B41" s="49" t="s">
        <v>35</v>
      </c>
      <c r="C41" s="57"/>
      <c r="D41" s="57"/>
      <c r="E41" s="57"/>
      <c r="F41" s="57"/>
      <c r="G41" s="58"/>
      <c r="H41" s="58"/>
      <c r="I41" s="58"/>
      <c r="J41" s="58"/>
      <c r="K41" s="58"/>
      <c r="L41" s="58"/>
    </row>
    <row r="42" s="49" customFormat="true" ht="13.5" hidden="false" customHeight="true" outlineLevel="0" collapsed="false">
      <c r="B42" s="49" t="s">
        <v>14</v>
      </c>
      <c r="C42" s="59"/>
      <c r="D42" s="59"/>
      <c r="E42" s="59"/>
      <c r="F42" s="59"/>
      <c r="G42" s="59"/>
      <c r="H42" s="33" t="n">
        <f aca="false">H14</f>
        <v>10352.9895952</v>
      </c>
      <c r="I42" s="33" t="n">
        <f aca="false">I14</f>
        <v>10953.4629917216</v>
      </c>
      <c r="J42" s="33" t="n">
        <f aca="false">J14</f>
        <v>11588.7638452415</v>
      </c>
      <c r="K42" s="33" t="n">
        <f aca="false">K14</f>
        <v>12260.9121482655</v>
      </c>
      <c r="L42" s="33" t="n">
        <f aca="false">L14</f>
        <v>12972.0450528649</v>
      </c>
      <c r="N42" s="26"/>
      <c r="O42" s="26"/>
      <c r="P42" s="26"/>
      <c r="Q42" s="26"/>
      <c r="R42" s="26"/>
    </row>
    <row r="43" s="49" customFormat="true" ht="13.5" hidden="false" customHeight="true" outlineLevel="0" collapsed="false">
      <c r="B43" s="49" t="s">
        <v>36</v>
      </c>
      <c r="C43" s="60"/>
      <c r="D43" s="60"/>
      <c r="E43" s="60"/>
      <c r="F43" s="60"/>
      <c r="G43" s="60"/>
      <c r="H43" s="61" t="n">
        <v>0.21</v>
      </c>
      <c r="I43" s="61" t="n">
        <v>0.21</v>
      </c>
      <c r="J43" s="61" t="n">
        <v>0.21</v>
      </c>
      <c r="K43" s="61" t="n">
        <v>0.21</v>
      </c>
      <c r="L43" s="61" t="n">
        <v>0.21</v>
      </c>
      <c r="N43" s="33"/>
      <c r="O43" s="33"/>
      <c r="P43" s="33"/>
      <c r="Q43" s="33"/>
      <c r="R43" s="33"/>
    </row>
    <row r="44" s="49" customFormat="true" ht="13.5" hidden="false" customHeight="true" outlineLevel="0" collapsed="false">
      <c r="B44" s="53" t="s">
        <v>37</v>
      </c>
      <c r="C44" s="62"/>
      <c r="D44" s="62"/>
      <c r="E44" s="62"/>
      <c r="F44" s="62"/>
      <c r="G44" s="62"/>
      <c r="H44" s="63" t="n">
        <f aca="false">H42*(1-H43)</f>
        <v>8178.861780208</v>
      </c>
      <c r="I44" s="63" t="n">
        <f aca="false">I42*(1-I43)</f>
        <v>8653.23576346007</v>
      </c>
      <c r="J44" s="63" t="n">
        <f aca="false">J42*(1-J43)</f>
        <v>9155.12343774075</v>
      </c>
      <c r="K44" s="63" t="n">
        <f aca="false">K42*(1-K43)</f>
        <v>9686.12059712971</v>
      </c>
      <c r="L44" s="63" t="n">
        <f aca="false">L42*(1-L43)</f>
        <v>10247.9155917632</v>
      </c>
    </row>
    <row r="45" s="49" customFormat="true" ht="13.5" hidden="false" customHeight="true" outlineLevel="0" collapsed="false">
      <c r="B45" s="64" t="s">
        <v>38</v>
      </c>
      <c r="C45" s="65"/>
      <c r="D45" s="65"/>
      <c r="E45" s="65"/>
      <c r="F45" s="65"/>
      <c r="G45" s="65"/>
      <c r="H45" s="66" t="n">
        <v>4410.76390583805</v>
      </c>
      <c r="I45" s="66" t="n">
        <v>4464.16664365391</v>
      </c>
      <c r="J45" s="66" t="n">
        <v>4518.21594802085</v>
      </c>
      <c r="K45" s="66" t="n">
        <v>4572.91964715746</v>
      </c>
      <c r="L45" s="66" t="n">
        <v>4628.28566406145</v>
      </c>
    </row>
    <row r="46" s="49" customFormat="true" ht="13.5" hidden="false" customHeight="true" outlineLevel="0" collapsed="false">
      <c r="B46" s="38" t="s">
        <v>39</v>
      </c>
      <c r="C46" s="65"/>
      <c r="D46" s="65"/>
      <c r="E46" s="65"/>
      <c r="F46" s="65"/>
      <c r="G46" s="65"/>
      <c r="H46" s="65" t="n">
        <f aca="false">-(H23-G23)</f>
        <v>-744.546</v>
      </c>
      <c r="I46" s="65" t="n">
        <f aca="false">-(I23-H23)</f>
        <v>-787.729668</v>
      </c>
      <c r="J46" s="65" t="n">
        <f aca="false">-(J23-I23)</f>
        <v>-833.417988744002</v>
      </c>
      <c r="K46" s="65" t="n">
        <f aca="false">-(K23-J23)</f>
        <v>-881.756232091153</v>
      </c>
      <c r="L46" s="65" t="n">
        <f aca="false">-(L23-K23)</f>
        <v>-932.898093552441</v>
      </c>
    </row>
    <row r="47" s="49" customFormat="true" ht="13.5" hidden="false" customHeight="true" outlineLevel="0" collapsed="false">
      <c r="B47" s="38" t="s">
        <v>40</v>
      </c>
      <c r="C47" s="65"/>
      <c r="D47" s="65"/>
      <c r="E47" s="65"/>
      <c r="F47" s="65"/>
      <c r="G47" s="65"/>
      <c r="H47" s="65" t="n">
        <f aca="false">-(H24-G24)</f>
        <v>-800.748</v>
      </c>
      <c r="I47" s="65" t="n">
        <f aca="false">-(I24-H24)</f>
        <v>-847.191384000002</v>
      </c>
      <c r="J47" s="65" t="n">
        <f aca="false">-(J24-I24)</f>
        <v>-896.328484272</v>
      </c>
      <c r="K47" s="65" t="n">
        <f aca="false">-(K24-J24)</f>
        <v>-948.315536359778</v>
      </c>
      <c r="L47" s="65" t="n">
        <f aca="false">-(L24-K24)</f>
        <v>-1003.31783746864</v>
      </c>
    </row>
    <row r="48" s="49" customFormat="true" ht="13.5" hidden="false" customHeight="true" outlineLevel="0" collapsed="false">
      <c r="B48" s="38" t="s">
        <v>41</v>
      </c>
      <c r="C48" s="65"/>
      <c r="D48" s="65"/>
      <c r="E48" s="65"/>
      <c r="F48" s="65"/>
      <c r="G48" s="65"/>
      <c r="H48" s="65" t="n">
        <f aca="false">(H26-G26)</f>
        <v>1854.95600000001</v>
      </c>
      <c r="I48" s="65" t="n">
        <f aca="false">(I26-H26)</f>
        <v>1962.543448</v>
      </c>
      <c r="J48" s="65" t="n">
        <f aca="false">(J26-I26)</f>
        <v>2076.370967984</v>
      </c>
      <c r="K48" s="65" t="n">
        <f aca="false">(K26-J26)</f>
        <v>2196.80048412707</v>
      </c>
      <c r="L48" s="65" t="n">
        <f aca="false">(L26-K26)</f>
        <v>2324.21491220645</v>
      </c>
    </row>
    <row r="49" s="49" customFormat="true" ht="13.5" hidden="false" customHeight="true" outlineLevel="0" collapsed="false">
      <c r="B49" s="38"/>
      <c r="C49" s="65"/>
      <c r="D49" s="65"/>
      <c r="E49" s="65"/>
      <c r="F49" s="65"/>
      <c r="G49" s="65"/>
      <c r="H49" s="67" t="n">
        <v>0.0713402174828647</v>
      </c>
      <c r="I49" s="67" t="n">
        <v>0.0713402174828647</v>
      </c>
      <c r="J49" s="67" t="n">
        <v>0.0713402174828647</v>
      </c>
      <c r="K49" s="67" t="n">
        <v>0.0713402174828647</v>
      </c>
      <c r="L49" s="67" t="n">
        <v>0.0713402174828647</v>
      </c>
    </row>
    <row r="50" s="49" customFormat="true" ht="13.5" hidden="false" customHeight="true" outlineLevel="0" collapsed="false">
      <c r="B50" s="64" t="s">
        <v>42</v>
      </c>
      <c r="C50" s="65"/>
      <c r="D50" s="65"/>
      <c r="E50" s="65"/>
      <c r="F50" s="65"/>
      <c r="G50" s="65"/>
      <c r="H50" s="65" t="n">
        <f aca="false">-H28</f>
        <v>-3358.85617760618</v>
      </c>
      <c r="I50" s="65" t="n">
        <f aca="false">-I28</f>
        <v>-3485.29960514155</v>
      </c>
      <c r="J50" s="65" t="n">
        <f aca="false">-J28</f>
        <v>-3616.50296865556</v>
      </c>
      <c r="K50" s="65" t="n">
        <f aca="false">-K28</f>
        <v>-3752.64545492734</v>
      </c>
      <c r="L50" s="65" t="n">
        <f aca="false">-L28</f>
        <v>-3893.91299618426</v>
      </c>
      <c r="N50" s="49" t="s">
        <v>43</v>
      </c>
    </row>
    <row r="51" s="49" customFormat="true" ht="13.5" hidden="false" customHeight="true" outlineLevel="0" collapsed="false">
      <c r="B51" s="53" t="s">
        <v>44</v>
      </c>
      <c r="C51" s="62"/>
      <c r="D51" s="62"/>
      <c r="E51" s="62"/>
      <c r="F51" s="62"/>
      <c r="G51" s="62"/>
      <c r="H51" s="63" t="n">
        <f aca="false">SUM(H44:H50)</f>
        <v>9540.50284865736</v>
      </c>
      <c r="I51" s="63" t="n">
        <f aca="false">SUM(I44:I50)</f>
        <v>9959.79653818991</v>
      </c>
      <c r="J51" s="63" t="n">
        <f aca="false">SUM(J44:J50)</f>
        <v>10403.5322522915</v>
      </c>
      <c r="K51" s="63" t="n">
        <f aca="false">SUM(K44:K50)</f>
        <v>10873.1948452535</v>
      </c>
      <c r="L51" s="63" t="n">
        <f aca="false">SUM(L44:L50)</f>
        <v>11370.3585810433</v>
      </c>
      <c r="N51" s="49" t="n">
        <f aca="false">L51/K51-1</f>
        <v>0.045723795339403</v>
      </c>
    </row>
    <row r="52" s="49" customFormat="true" ht="14.25" hidden="false" customHeight="true" outlineLevel="0" collapsed="false">
      <c r="B52" s="68" t="s">
        <v>45</v>
      </c>
      <c r="C52" s="69"/>
      <c r="D52" s="69"/>
      <c r="E52" s="69"/>
      <c r="F52" s="70"/>
      <c r="G52" s="70"/>
      <c r="H52" s="71" t="n">
        <f aca="false">$C$86</f>
        <v>0.0766719029809478</v>
      </c>
      <c r="I52" s="71" t="n">
        <f aca="false">$C$86</f>
        <v>0.0766719029809478</v>
      </c>
      <c r="J52" s="71" t="n">
        <f aca="false">$C$86</f>
        <v>0.0766719029809478</v>
      </c>
      <c r="K52" s="71" t="n">
        <f aca="false">$C$86</f>
        <v>0.0766719029809478</v>
      </c>
      <c r="L52" s="71" t="n">
        <f aca="false">$C$86</f>
        <v>0.0766719029809478</v>
      </c>
    </row>
    <row r="53" s="49" customFormat="true" ht="13.5" hidden="false" customHeight="true" outlineLevel="0" collapsed="false">
      <c r="B53" s="68" t="s">
        <v>46</v>
      </c>
      <c r="C53" s="72"/>
      <c r="D53" s="72"/>
      <c r="E53" s="72"/>
      <c r="F53" s="72"/>
      <c r="G53" s="72"/>
      <c r="H53" s="72" t="n">
        <f aca="false">H51/(1+H52)^H40</f>
        <v>8861.1050611081</v>
      </c>
      <c r="I53" s="72" t="n">
        <f aca="false">I51/(1+I52)^I40</f>
        <v>8591.79105987805</v>
      </c>
      <c r="J53" s="72" t="n">
        <f aca="false">J51/(1+J52)^J40</f>
        <v>8335.48124270405</v>
      </c>
      <c r="K53" s="72" t="n">
        <f aca="false">K51/(1+K52)^K40</f>
        <v>8091.39963335798</v>
      </c>
      <c r="L53" s="72" t="n">
        <f aca="false">L51/(1+L52)^L40</f>
        <v>7858.81856002394</v>
      </c>
    </row>
    <row r="54" s="49" customFormat="true" ht="13.5" hidden="false" customHeight="true" outlineLevel="0" collapsed="false">
      <c r="B54" s="53" t="s">
        <v>47</v>
      </c>
      <c r="C54" s="63" t="n">
        <f aca="false">SUM(H53:L53)</f>
        <v>41738.5955570721</v>
      </c>
      <c r="D54" s="62"/>
      <c r="E54" s="62"/>
    </row>
    <row r="55" s="49" customFormat="true" ht="13.5" hidden="false" customHeight="true" outlineLevel="0" collapsed="false"/>
    <row r="56" s="49" customFormat="true" ht="17.25" hidden="false" customHeight="true" outlineLevel="0" collapsed="false">
      <c r="B56" s="16" t="s">
        <v>48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="49" customFormat="true" ht="13.5" hidden="false" customHeight="true" outlineLevel="0" collapsed="false">
      <c r="B57" s="73" t="s">
        <v>49</v>
      </c>
      <c r="C57" s="74"/>
      <c r="D57" s="74"/>
      <c r="E57" s="74"/>
      <c r="H57" s="75"/>
      <c r="I57" s="74"/>
    </row>
    <row r="58" s="49" customFormat="true" ht="13.5" hidden="false" customHeight="true" outlineLevel="0" collapsed="false">
      <c r="B58" s="49" t="s">
        <v>50</v>
      </c>
      <c r="C58" s="76" t="n">
        <v>0.035</v>
      </c>
      <c r="D58" s="77"/>
      <c r="E58" s="77"/>
      <c r="H58" s="68"/>
      <c r="I58" s="78"/>
    </row>
    <row r="59" s="49" customFormat="true" ht="13.5" hidden="false" customHeight="true" outlineLevel="0" collapsed="false">
      <c r="B59" s="49" t="s">
        <v>51</v>
      </c>
      <c r="C59" s="79" t="n">
        <f aca="false">C86</f>
        <v>0.0766719029809478</v>
      </c>
      <c r="D59" s="79"/>
      <c r="E59" s="79"/>
      <c r="H59" s="68"/>
      <c r="I59" s="78"/>
    </row>
    <row r="60" s="49" customFormat="true" ht="13.5" hidden="false" customHeight="true" outlineLevel="0" collapsed="false">
      <c r="B60" s="49" t="s">
        <v>52</v>
      </c>
      <c r="C60" s="80" t="n">
        <f aca="false">L51*(1+C58)</f>
        <v>11768.3211313798</v>
      </c>
      <c r="D60" s="80"/>
      <c r="E60" s="80"/>
      <c r="H60" s="68"/>
      <c r="I60" s="80"/>
    </row>
    <row r="61" s="49" customFormat="true" ht="13.5" hidden="false" customHeight="true" outlineLevel="0" collapsed="false">
      <c r="B61" s="49" t="s">
        <v>48</v>
      </c>
      <c r="C61" s="80" t="n">
        <f aca="false">C60/(C59-C58)</f>
        <v>282404.216979489</v>
      </c>
      <c r="D61" s="80"/>
      <c r="E61" s="80"/>
      <c r="H61" s="68"/>
      <c r="I61" s="80"/>
    </row>
    <row r="62" s="49" customFormat="true" ht="13.5" hidden="false" customHeight="true" outlineLevel="0" collapsed="false">
      <c r="B62" s="53" t="s">
        <v>53</v>
      </c>
      <c r="C62" s="81" t="n">
        <f aca="false">C61/(1+L52)^L40</f>
        <v>195188.523388134</v>
      </c>
      <c r="D62" s="82"/>
      <c r="E62" s="82"/>
      <c r="H62" s="68"/>
      <c r="I62" s="83"/>
    </row>
    <row r="63" s="49" customFormat="true" ht="13.5" hidden="false" customHeight="true" outlineLevel="0" collapsed="false">
      <c r="B63" s="53" t="s">
        <v>54</v>
      </c>
      <c r="C63" s="82" t="n">
        <f aca="false">L51*(N51-C59)*(C65/2)/(C59-C58)</f>
        <v>-42221.6236981034</v>
      </c>
      <c r="D63" s="82"/>
      <c r="E63" s="82"/>
      <c r="H63" s="68"/>
      <c r="I63" s="83"/>
    </row>
    <row r="64" s="49" customFormat="true" ht="13.5" hidden="false" customHeight="true" outlineLevel="0" collapsed="false">
      <c r="B64" s="53" t="s">
        <v>55</v>
      </c>
      <c r="C64" s="82" t="n">
        <f aca="false">C63/(1+C59)^5</f>
        <v>-29182.2001556046</v>
      </c>
      <c r="D64" s="82"/>
      <c r="E64" s="82"/>
      <c r="H64" s="68"/>
      <c r="I64" s="83"/>
    </row>
    <row r="65" s="49" customFormat="true" ht="13.5" hidden="false" customHeight="true" outlineLevel="0" collapsed="false">
      <c r="B65" s="53" t="s">
        <v>56</v>
      </c>
      <c r="C65" s="82" t="n">
        <v>10</v>
      </c>
      <c r="D65" s="82"/>
      <c r="E65" s="82"/>
      <c r="H65" s="68"/>
      <c r="I65" s="83"/>
    </row>
    <row r="66" s="49" customFormat="true" ht="13.5" hidden="false" customHeight="true" outlineLevel="0" collapsed="false">
      <c r="C66" s="84"/>
      <c r="D66" s="84"/>
      <c r="E66" s="84"/>
    </row>
    <row r="67" s="49" customFormat="true" ht="17.25" hidden="false" customHeight="true" outlineLevel="0" collapsed="false">
      <c r="B67" s="16" t="s">
        <v>51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="49" customFormat="true" ht="13.5" hidden="false" customHeight="true" outlineLevel="0" collapsed="false">
      <c r="B68" s="49" t="s">
        <v>57</v>
      </c>
      <c r="C68" s="49" t="n">
        <v>175.63</v>
      </c>
      <c r="F68" s="85"/>
    </row>
    <row r="69" s="49" customFormat="true" ht="13.5" hidden="false" customHeight="true" outlineLevel="0" collapsed="false">
      <c r="B69" s="49" t="s">
        <v>4</v>
      </c>
      <c r="C69" s="86" t="n">
        <v>1340</v>
      </c>
      <c r="F69" s="65"/>
    </row>
    <row r="70" s="49" customFormat="true" ht="13.5" hidden="false" customHeight="true" outlineLevel="0" collapsed="false">
      <c r="B70" s="49" t="s">
        <v>58</v>
      </c>
      <c r="C70" s="49" t="n">
        <v>0.045</v>
      </c>
      <c r="F70" s="78"/>
    </row>
    <row r="71" s="49" customFormat="true" ht="13.5" hidden="false" customHeight="true" outlineLevel="0" collapsed="false">
      <c r="B71" s="49" t="s">
        <v>59</v>
      </c>
      <c r="C71" s="87" t="n">
        <f aca="false">H43</f>
        <v>0.21</v>
      </c>
      <c r="F71" s="78"/>
    </row>
    <row r="72" s="49" customFormat="true" ht="13.5" hidden="false" customHeight="true" outlineLevel="0" collapsed="false">
      <c r="B72" s="49" t="s">
        <v>60</v>
      </c>
      <c r="C72" s="49" t="n">
        <f aca="false">C70*(1-C71)</f>
        <v>0.03555</v>
      </c>
      <c r="F72" s="88"/>
    </row>
    <row r="73" s="49" customFormat="true" ht="13.5" hidden="false" customHeight="true" outlineLevel="0" collapsed="false">
      <c r="B73" s="49" t="s">
        <v>61</v>
      </c>
      <c r="C73" s="49" t="n">
        <f aca="false">C74+C77*C75</f>
        <v>0.082526</v>
      </c>
      <c r="F73" s="78"/>
    </row>
    <row r="74" s="49" customFormat="true" ht="13.5" hidden="false" customHeight="true" outlineLevel="0" collapsed="false">
      <c r="B74" s="49" t="s">
        <v>62</v>
      </c>
      <c r="C74" s="86" t="n">
        <v>0.041</v>
      </c>
      <c r="F74" s="78"/>
    </row>
    <row r="75" s="49" customFormat="true" ht="13.5" hidden="false" customHeight="true" outlineLevel="0" collapsed="false">
      <c r="B75" s="49" t="s">
        <v>63</v>
      </c>
      <c r="C75" s="86" t="n">
        <v>0.054</v>
      </c>
      <c r="F75" s="78"/>
    </row>
    <row r="76" s="49" customFormat="true" ht="13.5" hidden="false" customHeight="true" outlineLevel="0" collapsed="false">
      <c r="B76" s="49" t="s">
        <v>64</v>
      </c>
      <c r="C76" s="86" t="n">
        <v>0.43</v>
      </c>
      <c r="F76" s="78"/>
    </row>
    <row r="77" s="49" customFormat="true" ht="13.5" hidden="false" customHeight="true" outlineLevel="0" collapsed="false">
      <c r="B77" s="49" t="s">
        <v>65</v>
      </c>
      <c r="C77" s="89" t="n">
        <v>0.769</v>
      </c>
      <c r="D77" s="84"/>
      <c r="E77" s="84"/>
    </row>
    <row r="78" s="49" customFormat="true" ht="13.5" hidden="false" customHeight="true" outlineLevel="0" collapsed="false">
      <c r="C78" s="84"/>
      <c r="D78" s="84"/>
      <c r="E78" s="84"/>
    </row>
    <row r="79" s="49" customFormat="true" ht="13.5" hidden="false" customHeight="true" outlineLevel="0" collapsed="false">
      <c r="B79" s="49" t="s">
        <v>66</v>
      </c>
      <c r="C79" s="86" t="n">
        <v>43500</v>
      </c>
      <c r="F79" s="72"/>
    </row>
    <row r="80" s="49" customFormat="true" ht="13.5" hidden="false" customHeight="true" outlineLevel="0" collapsed="false">
      <c r="B80" s="49" t="s">
        <v>67</v>
      </c>
      <c r="C80" s="49" t="n">
        <f aca="false">C68*C69</f>
        <v>235344.2</v>
      </c>
      <c r="F80" s="90"/>
      <c r="J80" s="91"/>
      <c r="K80" s="92"/>
      <c r="L80" s="92"/>
      <c r="M80" s="92"/>
      <c r="N80" s="92"/>
    </row>
    <row r="81" s="49" customFormat="true" ht="13.5" hidden="false" customHeight="true" outlineLevel="0" collapsed="false">
      <c r="B81" s="75" t="s">
        <v>68</v>
      </c>
      <c r="C81" s="49" t="n">
        <f aca="false">C79+C80</f>
        <v>278844.2</v>
      </c>
      <c r="F81" s="63"/>
      <c r="J81" s="93"/>
    </row>
    <row r="82" s="49" customFormat="true" ht="13.5" hidden="false" customHeight="true" outlineLevel="0" collapsed="false">
      <c r="B82" s="75"/>
      <c r="F82" s="90"/>
      <c r="J82" s="93"/>
    </row>
    <row r="83" s="49" customFormat="true" ht="13.5" hidden="false" customHeight="true" outlineLevel="0" collapsed="false">
      <c r="B83" s="49" t="s">
        <v>69</v>
      </c>
      <c r="C83" s="94" t="n">
        <f aca="false">C79/C81</f>
        <v>0.156001093083521</v>
      </c>
      <c r="F83" s="87"/>
      <c r="J83" s="93"/>
    </row>
    <row r="84" s="49" customFormat="true" ht="13.5" hidden="false" customHeight="true" outlineLevel="0" collapsed="false">
      <c r="B84" s="49" t="s">
        <v>70</v>
      </c>
      <c r="C84" s="94" t="n">
        <f aca="false">C80/C81</f>
        <v>0.843998906916479</v>
      </c>
      <c r="F84" s="87"/>
    </row>
    <row r="85" s="49" customFormat="true" ht="13.5" hidden="false" customHeight="true" outlineLevel="0" collapsed="false">
      <c r="B85" s="75"/>
      <c r="F85" s="90"/>
    </row>
    <row r="86" s="49" customFormat="true" ht="13.5" hidden="false" customHeight="true" outlineLevel="0" collapsed="false">
      <c r="B86" s="53" t="s">
        <v>71</v>
      </c>
      <c r="C86" s="71" t="n">
        <f aca="false">C84*C73+C83*C70</f>
        <v>0.0766719029809478</v>
      </c>
      <c r="D86" s="53"/>
      <c r="E86" s="53"/>
      <c r="F86" s="95"/>
    </row>
    <row r="87" s="49" customFormat="true" ht="13.5" hidden="false" customHeight="true" outlineLevel="0" collapsed="false">
      <c r="C87" s="84"/>
      <c r="D87" s="84"/>
      <c r="E87" s="84"/>
    </row>
    <row r="88" s="49" customFormat="true" ht="17.25" hidden="false" customHeight="true" outlineLevel="0" collapsed="false">
      <c r="B88" s="16" t="s">
        <v>72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s="49" customFormat="true" ht="13.5" hidden="false" customHeight="true" outlineLevel="0" collapsed="false">
      <c r="B89" s="49" t="s">
        <v>73</v>
      </c>
      <c r="C89" s="83"/>
      <c r="D89" s="83"/>
      <c r="E89" s="83"/>
      <c r="F89" s="72" t="n">
        <f aca="false">C62+SUM(H53:L53)</f>
        <v>236927.118945206</v>
      </c>
    </row>
    <row r="90" s="49" customFormat="true" ht="13.5" hidden="false" customHeight="true" outlineLevel="0" collapsed="false">
      <c r="B90" s="49" t="s">
        <v>74</v>
      </c>
      <c r="C90" s="96"/>
      <c r="D90" s="96"/>
      <c r="E90" s="96"/>
      <c r="F90" s="59" t="n">
        <f aca="false">C79</f>
        <v>43500</v>
      </c>
    </row>
    <row r="91" s="49" customFormat="true" ht="13.5" hidden="false" customHeight="true" outlineLevel="0" collapsed="false">
      <c r="B91" s="49" t="s">
        <v>75</v>
      </c>
      <c r="F91" s="86" t="n">
        <v>9431</v>
      </c>
      <c r="G91" s="68"/>
      <c r="H91" s="83"/>
    </row>
    <row r="92" s="49" customFormat="true" ht="13.5" hidden="false" customHeight="true" outlineLevel="0" collapsed="false">
      <c r="B92" s="53" t="s">
        <v>76</v>
      </c>
      <c r="F92" s="63" t="n">
        <f aca="false">F89-F90+F91</f>
        <v>202858.118945206</v>
      </c>
      <c r="G92" s="68"/>
      <c r="H92" s="96"/>
    </row>
    <row r="93" s="49" customFormat="true" ht="13.5" hidden="false" customHeight="true" outlineLevel="0" collapsed="false">
      <c r="B93" s="49" t="s">
        <v>4</v>
      </c>
      <c r="F93" s="97" t="n">
        <f aca="false">C69</f>
        <v>1340</v>
      </c>
      <c r="G93" s="75"/>
      <c r="H93" s="82"/>
    </row>
    <row r="94" s="49" customFormat="true" ht="13.5" hidden="false" customHeight="true" outlineLevel="0" collapsed="false">
      <c r="B94" s="98" t="s">
        <v>77</v>
      </c>
      <c r="C94" s="55"/>
      <c r="D94" s="55"/>
      <c r="E94" s="55"/>
      <c r="F94" s="99" t="n">
        <f aca="false">F92/F93</f>
        <v>151.386655929258</v>
      </c>
      <c r="G94" s="100"/>
      <c r="H94" s="101"/>
    </row>
    <row r="95" s="49" customFormat="true" ht="13.5" hidden="false" customHeight="true" outlineLevel="0" collapsed="false">
      <c r="F95" s="92"/>
      <c r="G95" s="75"/>
      <c r="H95" s="102"/>
    </row>
    <row r="96" s="84" customFormat="true" ht="13.5" hidden="false" customHeight="true" outlineLevel="0" collapsed="false">
      <c r="B96" s="49"/>
      <c r="J96" s="103"/>
      <c r="K96" s="103"/>
      <c r="L96" s="103"/>
      <c r="M96" s="103"/>
      <c r="N96" s="103"/>
    </row>
    <row r="97" customFormat="false" ht="12.75" hidden="false" customHeight="true" outlineLevel="0" collapsed="false">
      <c r="I97" s="104"/>
    </row>
    <row r="98" customFormat="false" ht="12.75" hidden="false" customHeight="true" outlineLevel="0" collapsed="false">
      <c r="B98" s="105" t="s">
        <v>78</v>
      </c>
      <c r="I98" s="104"/>
    </row>
    <row r="99" customFormat="false" ht="12.75" hidden="false" customHeight="true" outlineLevel="0" collapsed="false">
      <c r="B99" s="106" t="s">
        <v>79</v>
      </c>
      <c r="H99" s="107"/>
      <c r="I99" s="104"/>
      <c r="J99" s="108"/>
      <c r="L99" s="109"/>
    </row>
    <row r="100" customFormat="false" ht="12.75" hidden="false" customHeight="true" outlineLevel="0" collapsed="false">
      <c r="C100" s="110" t="s">
        <v>80</v>
      </c>
      <c r="D100" s="111" t="n">
        <v>0.038</v>
      </c>
      <c r="E100" s="111" t="n">
        <v>0.048</v>
      </c>
      <c r="F100" s="111" t="n">
        <v>0.058</v>
      </c>
      <c r="G100" s="111" t="n">
        <v>0.068</v>
      </c>
      <c r="H100" s="111" t="n">
        <v>0.078</v>
      </c>
      <c r="I100" s="104"/>
    </row>
    <row r="101" customFormat="false" ht="12.75" hidden="false" customHeight="true" outlineLevel="0" collapsed="false">
      <c r="C101" s="111" t="n">
        <v>0.0938</v>
      </c>
      <c r="D101" s="112" t="n">
        <f aca="false">((((($G$10*(1+D$100)^1)*$C101*(1-$H$43)+$H$45-$H$28-(($G$23+$G$24-$G$26)/$G$10)*(($G$10*(1+D$100)^1)-($G$10*(1+D$100)^0)))/(1+$C$86)^1+(($G$10*(1+D$100)^2)*$C101*(1-$H$43)+$I$45-$I$28-(($G$23+$G$24-$G$26)/$G$10)*(($G$10*(1+D$100)^2)-($G$10*(1+D$100)^1)))/(1+$C$86)^2+(($G$10*(1+D$100)^3)*$C101*(1-$H$43)+$J$45-$J$28-(($G$23+$G$24-$G$26)/$G$10)*(($G$10*(1+D$100)^3)-($G$10*(1+D$100)^2)))/(1+$C$86)^3+(($G$10*(1+D$100)^4)*$C101*(1-$H$43)+$K$45-$K$28-(($G$23+$G$24-$G$26)/$G$10)*(($G$10*(1+D$100)^4)-($G$10*(1+D$100)^3)))/(1+$C$86)^4+(($G$10*(1+D$100)^5)*$C101*(1-$H$43)+$L$45-$L$28-(($G$23+$G$24-$G$26)/$G$10)*(($G$10*(1+D$100)^5)-($G$10*(1+D$100)^4)))/(1+$C$86)^5)+((($G$10*(1+D$100)^5)*$C101*(1-$H$43)+$L$28*0+$L$45-$L$28-(($G$23+$G$24-$G$26)/$G$10)*(($G$10*(1+D$100)^5)-($G$10*(1+D$100)^4)))*(1+$C$58)/($C$86-$C$58))/(1+$C$86)^5)-$F$90+$F$91)/$F$93</f>
        <v>110.083371467522</v>
      </c>
      <c r="E101" s="113" t="n">
        <f aca="false">((((($G$10*(1+E$100)^1)*$C101*(1-$H$43)+$H$45-$H$28-(($G$23+$G$24-$G$26)/$G$10)*(($G$10*(1+E$100)^1)-($G$10*(1+E$100)^0)))/(1+$C$86)^1+(($G$10*(1+E$100)^2)*$C101*(1-$H$43)+$I$45-$I$28-(($G$23+$G$24-$G$26)/$G$10)*(($G$10*(1+E$100)^2)-($G$10*(1+E$100)^1)))/(1+$C$86)^2+(($G$10*(1+E$100)^3)*$C101*(1-$H$43)+$J$45-$J$28-(($G$23+$G$24-$G$26)/$G$10)*(($G$10*(1+E$100)^3)-($G$10*(1+E$100)^2)))/(1+$C$86)^3+(($G$10*(1+E$100)^4)*$C101*(1-$H$43)+$K$45-$K$28-(($G$23+$G$24-$G$26)/$G$10)*(($G$10*(1+E$100)^4)-($G$10*(1+E$100)^3)))/(1+$C$86)^4+(($G$10*(1+E$100)^5)*$C101*(1-$H$43)+$L$45-$L$28-(($G$23+$G$24-$G$26)/$G$10)*(($G$10*(1+E$100)^5)-($G$10*(1+E$100)^4)))/(1+$C$86)^5)+((($G$10*(1+E$100)^5)*$C101*(1-$H$43)+$L$28*0+$L$45-$L$28-(($G$23+$G$24-$G$26)/$G$10)*(($G$10*(1+E$100)^5)-($G$10*(1+E$100)^4)))*(1+$C$58)/($C$86-$C$58))/(1+$C$86)^5)-$F$90+$F$91)/$F$93</f>
        <v>116.653491674621</v>
      </c>
      <c r="F101" s="114" t="n">
        <f aca="false">((((($G$10*(1+F$100)^1)*$C101*(1-$H$43)+$H$45-$H$28-(($G$23+$G$24-$G$26)/$G$10)*(($G$10*(1+F$100)^1)-($G$10*(1+F$100)^0)))/(1+$C$86)^1+(($G$10*(1+F$100)^2)*$C101*(1-$H$43)+$I$45-$I$28-(($G$23+$G$24-$G$26)/$G$10)*(($G$10*(1+F$100)^2)-($G$10*(1+F$100)^1)))/(1+$C$86)^2+(($G$10*(1+F$100)^3)*$C101*(1-$H$43)+$J$45-$J$28-(($G$23+$G$24-$G$26)/$G$10)*(($G$10*(1+F$100)^3)-($G$10*(1+F$100)^2)))/(1+$C$86)^3+(($G$10*(1+F$100)^4)*$C101*(1-$H$43)+$K$45-$K$28-(($G$23+$G$24-$G$26)/$G$10)*(($G$10*(1+F$100)^4)-($G$10*(1+F$100)^3)))/(1+$C$86)^4+(($G$10*(1+F$100)^5)*$C101*(1-$H$43)+$L$45-$L$28-(($G$23+$G$24-$G$26)/$G$10)*(($G$10*(1+F$100)^5)-($G$10*(1+F$100)^4)))/(1+$C$86)^5)+((($G$10*(1+F$100)^5)*$C101*(1-$H$43)+$L$28*0+$L$45-$L$28-(($G$23+$G$24-$G$26)/$G$10)*(($G$10*(1+F$100)^5)-($G$10*(1+F$100)^4)))*(1+$C$58)/($C$86-$C$58))/(1+$C$86)^5)-$F$90+$F$91)/$F$93</f>
        <v>123.501103170215</v>
      </c>
      <c r="G101" s="115" t="n">
        <f aca="false">((((($G$10*(1+G$100)^1)*$C101*(1-$H$43)+$H$45-$H$28-(($G$23+$G$24-$G$26)/$G$10)*(($G$10*(1+G$100)^1)-($G$10*(1+G$100)^0)))/(1+$C$86)^1+(($G$10*(1+G$100)^2)*$C101*(1-$H$43)+$I$45-$I$28-(($G$23+$G$24-$G$26)/$G$10)*(($G$10*(1+G$100)^2)-($G$10*(1+G$100)^1)))/(1+$C$86)^2+(($G$10*(1+G$100)^3)*$C101*(1-$H$43)+$J$45-$J$28-(($G$23+$G$24-$G$26)/$G$10)*(($G$10*(1+G$100)^3)-($G$10*(1+G$100)^2)))/(1+$C$86)^3+(($G$10*(1+G$100)^4)*$C101*(1-$H$43)+$K$45-$K$28-(($G$23+$G$24-$G$26)/$G$10)*(($G$10*(1+G$100)^4)-($G$10*(1+G$100)^3)))/(1+$C$86)^4+(($G$10*(1+G$100)^5)*$C101*(1-$H$43)+$L$45-$L$28-(($G$23+$G$24-$G$26)/$G$10)*(($G$10*(1+G$100)^5)-($G$10*(1+G$100)^4)))/(1+$C$86)^5)+((($G$10*(1+G$100)^5)*$C101*(1-$H$43)+$L$28*0+$L$45-$L$28-(($G$23+$G$24-$G$26)/$G$10)*(($G$10*(1+G$100)^5)-($G$10*(1+G$100)^4)))*(1+$C$58)/($C$86-$C$58))/(1+$C$86)^5)-$F$90+$F$91)/$F$93</f>
        <v>130.6349794886</v>
      </c>
      <c r="H101" s="116" t="n">
        <f aca="false">((((($G$10*(1+H$100)^1)*$C101*(1-$H$43)+$H$45-$H$28-(($G$23+$G$24-$G$26)/$G$10)*(($G$10*(1+H$100)^1)-($G$10*(1+H$100)^0)))/(1+$C$86)^1+(($G$10*(1+H$100)^2)*$C101*(1-$H$43)+$I$45-$I$28-(($G$23+$G$24-$G$26)/$G$10)*(($G$10*(1+H$100)^2)-($G$10*(1+H$100)^1)))/(1+$C$86)^2+(($G$10*(1+H$100)^3)*$C101*(1-$H$43)+$J$45-$J$28-(($G$23+$G$24-$G$26)/$G$10)*(($G$10*(1+H$100)^3)-($G$10*(1+H$100)^2)))/(1+$C$86)^3+(($G$10*(1+H$100)^4)*$C101*(1-$H$43)+$K$45-$K$28-(($G$23+$G$24-$G$26)/$G$10)*(($G$10*(1+H$100)^4)-($G$10*(1+H$100)^3)))/(1+$C$86)^4+(($G$10*(1+H$100)^5)*$C101*(1-$H$43)+$L$45-$L$28-(($G$23+$G$24-$G$26)/$G$10)*(($G$10*(1+H$100)^5)-($G$10*(1+H$100)^4)))/(1+$C$86)^5)+((($G$10*(1+H$100)^5)*$C101*(1-$H$43)+$L$28*0+$L$45-$L$28-(($G$23+$G$24-$G$26)/$G$10)*(($G$10*(1+H$100)^5)-($G$10*(1+H$100)^4)))*(1+$C$58)/($C$86-$C$58))/(1+$C$86)^5)-$F$90+$F$91)/$F$93</f>
        <v>138.064076790047</v>
      </c>
      <c r="I101" s="104"/>
    </row>
    <row r="102" customFormat="false" ht="13.5" hidden="false" customHeight="true" outlineLevel="0" collapsed="false">
      <c r="C102" s="111" t="n">
        <v>0.1038</v>
      </c>
      <c r="D102" s="117" t="n">
        <f aca="false">((((($G$10*(1+D$100)^1)*$C102*(1-$H$43)+$H$45-$H$28-(($G$23+$G$24-$G$26)/$G$10)*(($G$10*(1+D$100)^1)-($G$10*(1+D$100)^0)))/(1+$C$86)^1+(($G$10*(1+D$100)^2)*$C102*(1-$H$43)+$I$45-$I$28-(($G$23+$G$24-$G$26)/$G$10)*(($G$10*(1+D$100)^2)-($G$10*(1+D$100)^1)))/(1+$C$86)^2+(($G$10*(1+D$100)^3)*$C102*(1-$H$43)+$J$45-$J$28-(($G$23+$G$24-$G$26)/$G$10)*(($G$10*(1+D$100)^3)-($G$10*(1+D$100)^2)))/(1+$C$86)^3+(($G$10*(1+D$100)^4)*$C102*(1-$H$43)+$K$45-$K$28-(($G$23+$G$24-$G$26)/$G$10)*(($G$10*(1+D$100)^4)-($G$10*(1+D$100)^3)))/(1+$C$86)^4+(($G$10*(1+D$100)^5)*$C102*(1-$H$43)+$L$45-$L$28-(($G$23+$G$24-$G$26)/$G$10)*(($G$10*(1+D$100)^5)-($G$10*(1+D$100)^4)))/(1+$C$86)^5)+((($G$10*(1+D$100)^5)*$C102*(1-$H$43)+$L$28*0+$L$45-$L$28-(($G$23+$G$24-$G$26)/$G$10)*(($G$10*(1+D$100)^5)-($G$10*(1+D$100)^4)))*(1+$C$58)/($C$86-$C$58))/(1+$C$86)^5)-$F$90+$F$91)/$F$93</f>
        <v>122.844113546512</v>
      </c>
      <c r="E102" s="118" t="n">
        <f aca="false">((((($G$10*(1+E$100)^1)*$C102*(1-$H$43)+$H$45-$H$28-(($G$23+$G$24-$G$26)/$G$10)*(($G$10*(1+E$100)^1)-($G$10*(1+E$100)^0)))/(1+$C$86)^1+(($G$10*(1+E$100)^2)*$C102*(1-$H$43)+$I$45-$I$28-(($G$23+$G$24-$G$26)/$G$10)*(($G$10*(1+E$100)^2)-($G$10*(1+E$100)^1)))/(1+$C$86)^2+(($G$10*(1+E$100)^3)*$C102*(1-$H$43)+$J$45-$J$28-(($G$23+$G$24-$G$26)/$G$10)*(($G$10*(1+E$100)^3)-($G$10*(1+E$100)^2)))/(1+$C$86)^3+(($G$10*(1+E$100)^4)*$C102*(1-$H$43)+$K$45-$K$28-(($G$23+$G$24-$G$26)/$G$10)*(($G$10*(1+E$100)^4)-($G$10*(1+E$100)^3)))/(1+$C$86)^4+(($G$10*(1+E$100)^5)*$C102*(1-$H$43)+$L$45-$L$28-(($G$23+$G$24-$G$26)/$G$10)*(($G$10*(1+E$100)^5)-($G$10*(1+E$100)^4)))/(1+$C$86)^5)+((($G$10*(1+E$100)^5)*$C102*(1-$H$43)+$L$28*0+$L$45-$L$28-(($G$23+$G$24-$G$26)/$G$10)*(($G$10*(1+E$100)^5)-($G$10*(1+E$100)^4)))*(1+$C$58)/($C$86-$C$58))/(1+$C$86)^5)-$F$90+$F$91)/$F$93</f>
        <v>129.99412831604</v>
      </c>
      <c r="F102" s="119" t="n">
        <f aca="false">((((($G$10*(1+F$100)^1)*$C102*(1-$H$43)+$H$45-$H$28-(($G$23+$G$24-$G$26)/$G$10)*(($G$10*(1+F$100)^1)-($G$10*(1+F$100)^0)))/(1+$C$86)^1+(($G$10*(1+F$100)^2)*$C102*(1-$H$43)+$I$45-$I$28-(($G$23+$G$24-$G$26)/$G$10)*(($G$10*(1+F$100)^2)-($G$10*(1+F$100)^1)))/(1+$C$86)^2+(($G$10*(1+F$100)^3)*$C102*(1-$H$43)+$J$45-$J$28-(($G$23+$G$24-$G$26)/$G$10)*(($G$10*(1+F$100)^3)-($G$10*(1+F$100)^2)))/(1+$C$86)^3+(($G$10*(1+F$100)^4)*$C102*(1-$H$43)+$K$45-$K$28-(($G$23+$G$24-$G$26)/$G$10)*(($G$10*(1+F$100)^4)-($G$10*(1+F$100)^3)))/(1+$C$86)^4+(($G$10*(1+F$100)^5)*$C102*(1-$H$43)+$L$45-$L$28-(($G$23+$G$24-$G$26)/$G$10)*(($G$10*(1+F$100)^5)-($G$10*(1+F$100)^4)))/(1+$C$86)^5)+((($G$10*(1+F$100)^5)*$C102*(1-$H$43)+$L$28*0+$L$45-$L$28-(($G$23+$G$24-$G$26)/$G$10)*(($G$10*(1+F$100)^5)-($G$10*(1+F$100)^4)))*(1+$C$58)/($C$86-$C$58))/(1+$C$86)^5)-$F$90+$F$91)/$F$93</f>
        <v>137.44331536536</v>
      </c>
      <c r="G102" s="120" t="n">
        <f aca="false">((((($G$10*(1+G$100)^1)*$C102*(1-$H$43)+$H$45-$H$28-(($G$23+$G$24-$G$26)/$G$10)*(($G$10*(1+G$100)^1)-($G$10*(1+G$100)^0)))/(1+$C$86)^1+(($G$10*(1+G$100)^2)*$C102*(1-$H$43)+$I$45-$I$28-(($G$23+$G$24-$G$26)/$G$10)*(($G$10*(1+G$100)^2)-($G$10*(1+G$100)^1)))/(1+$C$86)^2+(($G$10*(1+G$100)^3)*$C102*(1-$H$43)+$J$45-$J$28-(($G$23+$G$24-$G$26)/$G$10)*(($G$10*(1+G$100)^3)-($G$10*(1+G$100)^2)))/(1+$C$86)^3+(($G$10*(1+G$100)^4)*$C102*(1-$H$43)+$K$45-$K$28-(($G$23+$G$24-$G$26)/$G$10)*(($G$10*(1+G$100)^4)-($G$10*(1+G$100)^3)))/(1+$C$86)^4+(($G$10*(1+G$100)^5)*$C102*(1-$H$43)+$L$45-$L$28-(($G$23+$G$24-$G$26)/$G$10)*(($G$10*(1+G$100)^5)-($G$10*(1+G$100)^4)))/(1+$C$86)^5)+((($G$10*(1+G$100)^5)*$C102*(1-$H$43)+$L$28*0+$L$45-$L$28-(($G$23+$G$24-$G$26)/$G$10)*(($G$10*(1+G$100)^5)-($G$10*(1+G$100)^4)))*(1+$C$58)/($C$86-$C$58))/(1+$C$86)^5)-$F$90+$F$91)/$F$93</f>
        <v>145.201062483251</v>
      </c>
      <c r="H102" s="121" t="n">
        <f aca="false">((((($G$10*(1+H$100)^1)*$C102*(1-$H$43)+$H$45-$H$28-(($G$23+$G$24-$G$26)/$G$10)*(($G$10*(1+H$100)^1)-($G$10*(1+H$100)^0)))/(1+$C$86)^1+(($G$10*(1+H$100)^2)*$C102*(1-$H$43)+$I$45-$I$28-(($G$23+$G$24-$G$26)/$G$10)*(($G$10*(1+H$100)^2)-($G$10*(1+H$100)^1)))/(1+$C$86)^2+(($G$10*(1+H$100)^3)*$C102*(1-$H$43)+$J$45-$J$28-(($G$23+$G$24-$G$26)/$G$10)*(($G$10*(1+H$100)^3)-($G$10*(1+H$100)^2)))/(1+$C$86)^3+(($G$10*(1+H$100)^4)*$C102*(1-$H$43)+$K$45-$K$28-(($G$23+$G$24-$G$26)/$G$10)*(($G$10*(1+H$100)^4)-($G$10*(1+H$100)^3)))/(1+$C$86)^4+(($G$10*(1+H$100)^5)*$C102*(1-$H$43)+$L$45-$L$28-(($G$23+$G$24-$G$26)/$G$10)*(($G$10*(1+H$100)^5)-($G$10*(1+H$100)^4)))/(1+$C$86)^5)+((($G$10*(1+H$100)^5)*$C102*(1-$H$43)+$L$28*0+$L$45-$L$28-(($G$23+$G$24-$G$26)/$G$10)*(($G$10*(1+H$100)^5)-($G$10*(1+H$100)^4)))*(1+$C$58)/($C$86-$C$58))/(1+$C$86)^5)-$F$90+$F$91)/$F$93</f>
        <v>153.276951668454</v>
      </c>
    </row>
    <row r="103" customFormat="false" ht="13.5" hidden="false" customHeight="true" outlineLevel="0" collapsed="false">
      <c r="C103" s="111" t="n">
        <v>0.1138</v>
      </c>
      <c r="D103" s="122" t="n">
        <f aca="false">((((($G$10*(1+D$100)^1)*$C103*(1-$H$43)+$H$45-$H$28-(($G$23+$G$24-$G$26)/$G$10)*(($G$10*(1+D$100)^1)-($G$10*(1+D$100)^0)))/(1+$C$86)^1+(($G$10*(1+D$100)^2)*$C103*(1-$H$43)+$I$45-$I$28-(($G$23+$G$24-$G$26)/$G$10)*(($G$10*(1+D$100)^2)-($G$10*(1+D$100)^1)))/(1+$C$86)^2+(($G$10*(1+D$100)^3)*$C103*(1-$H$43)+$J$45-$J$28-(($G$23+$G$24-$G$26)/$G$10)*(($G$10*(1+D$100)^3)-($G$10*(1+D$100)^2)))/(1+$C$86)^3+(($G$10*(1+D$100)^4)*$C103*(1-$H$43)+$K$45-$K$28-(($G$23+$G$24-$G$26)/$G$10)*(($G$10*(1+D$100)^4)-($G$10*(1+D$100)^3)))/(1+$C$86)^4+(($G$10*(1+D$100)^5)*$C103*(1-$H$43)+$L$45-$L$28-(($G$23+$G$24-$G$26)/$G$10)*(($G$10*(1+D$100)^5)-($G$10*(1+D$100)^4)))/(1+$C$86)^5)+((($G$10*(1+D$100)^5)*$C103*(1-$H$43)+$L$28*0+$L$45-$L$28-(($G$23+$G$24-$G$26)/$G$10)*(($G$10*(1+D$100)^5)-($G$10*(1+D$100)^4)))*(1+$C$58)/($C$86-$C$58))/(1+$C$86)^5)-$F$90+$F$91)/$F$93</f>
        <v>135.604855625501</v>
      </c>
      <c r="E103" s="123" t="n">
        <f aca="false">((((($G$10*(1+E$100)^1)*$C103*(1-$H$43)+$H$45-$H$28-(($G$23+$G$24-$G$26)/$G$10)*(($G$10*(1+E$100)^1)-($G$10*(1+E$100)^0)))/(1+$C$86)^1+(($G$10*(1+E$100)^2)*$C103*(1-$H$43)+$I$45-$I$28-(($G$23+$G$24-$G$26)/$G$10)*(($G$10*(1+E$100)^2)-($G$10*(1+E$100)^1)))/(1+$C$86)^2+(($G$10*(1+E$100)^3)*$C103*(1-$H$43)+$J$45-$J$28-(($G$23+$G$24-$G$26)/$G$10)*(($G$10*(1+E$100)^3)-($G$10*(1+E$100)^2)))/(1+$C$86)^3+(($G$10*(1+E$100)^4)*$C103*(1-$H$43)+$K$45-$K$28-(($G$23+$G$24-$G$26)/$G$10)*(($G$10*(1+E$100)^4)-($G$10*(1+E$100)^3)))/(1+$C$86)^4+(($G$10*(1+E$100)^5)*$C103*(1-$H$43)+$L$45-$L$28-(($G$23+$G$24-$G$26)/$G$10)*(($G$10*(1+E$100)^5)-($G$10*(1+E$100)^4)))/(1+$C$86)^5)+((($G$10*(1+E$100)^5)*$C103*(1-$H$43)+$L$28*0+$L$45-$L$28-(($G$23+$G$24-$G$26)/$G$10)*(($G$10*(1+E$100)^5)-($G$10*(1+E$100)^4)))*(1+$C$58)/($C$86-$C$58))/(1+$C$86)^5)-$F$90+$F$91)/$F$93</f>
        <v>143.33476495746</v>
      </c>
      <c r="F103" s="124" t="n">
        <f aca="false">((((($G$10*(1+F$100)^1)*$C103*(1-$H$43)+$H$45-$H$28-(($G$23+$G$24-$G$26)/$G$10)*(($G$10*(1+F$100)^1)-($G$10*(1+F$100)^0)))/(1+$C$86)^1+(($G$10*(1+F$100)^2)*$C103*(1-$H$43)+$I$45-$I$28-(($G$23+$G$24-$G$26)/$G$10)*(($G$10*(1+F$100)^2)-($G$10*(1+F$100)^1)))/(1+$C$86)^2+(($G$10*(1+F$100)^3)*$C103*(1-$H$43)+$J$45-$J$28-(($G$23+$G$24-$G$26)/$G$10)*(($G$10*(1+F$100)^3)-($G$10*(1+F$100)^2)))/(1+$C$86)^3+(($G$10*(1+F$100)^4)*$C103*(1-$H$43)+$K$45-$K$28-(($G$23+$G$24-$G$26)/$G$10)*(($G$10*(1+F$100)^4)-($G$10*(1+F$100)^3)))/(1+$C$86)^4+(($G$10*(1+F$100)^5)*$C103*(1-$H$43)+$L$45-$L$28-(($G$23+$G$24-$G$26)/$G$10)*(($G$10*(1+F$100)^5)-($G$10*(1+F$100)^4)))/(1+$C$86)^5)+((($G$10*(1+F$100)^5)*$C103*(1-$H$43)+$L$28*0+$L$45-$L$28-(($G$23+$G$24-$G$26)/$G$10)*(($G$10*(1+F$100)^5)-($G$10*(1+F$100)^4)))*(1+$C$58)/($C$86-$C$58))/(1+$C$86)^5)-$F$90+$F$91)/$F$93</f>
        <v>151.385527560504</v>
      </c>
      <c r="G103" s="125" t="n">
        <f aca="false">((((($G$10*(1+G$100)^1)*$C103*(1-$H$43)+$H$45-$H$28-(($G$23+$G$24-$G$26)/$G$10)*(($G$10*(1+G$100)^1)-($G$10*(1+G$100)^0)))/(1+$C$86)^1+(($G$10*(1+G$100)^2)*$C103*(1-$H$43)+$I$45-$I$28-(($G$23+$G$24-$G$26)/$G$10)*(($G$10*(1+G$100)^2)-($G$10*(1+G$100)^1)))/(1+$C$86)^2+(($G$10*(1+G$100)^3)*$C103*(1-$H$43)+$J$45-$J$28-(($G$23+$G$24-$G$26)/$G$10)*(($G$10*(1+G$100)^3)-($G$10*(1+G$100)^2)))/(1+$C$86)^3+(($G$10*(1+G$100)^4)*$C103*(1-$H$43)+$K$45-$K$28-(($G$23+$G$24-$G$26)/$G$10)*(($G$10*(1+G$100)^4)-($G$10*(1+G$100)^3)))/(1+$C$86)^4+(($G$10*(1+G$100)^5)*$C103*(1-$H$43)+$L$45-$L$28-(($G$23+$G$24-$G$26)/$G$10)*(($G$10*(1+G$100)^5)-($G$10*(1+G$100)^4)))/(1+$C$86)^5)+((($G$10*(1+G$100)^5)*$C103*(1-$H$43)+$L$28*0+$L$45-$L$28-(($G$23+$G$24-$G$26)/$G$10)*(($G$10*(1+G$100)^5)-($G$10*(1+G$100)^4)))*(1+$C$58)/($C$86-$C$58))/(1+$C$86)^5)-$F$90+$F$91)/$F$93</f>
        <v>159.767145477902</v>
      </c>
      <c r="H103" s="126" t="n">
        <f aca="false">((((($G$10*(1+H$100)^1)*$C103*(1-$H$43)+$H$45-$H$28-(($G$23+$G$24-$G$26)/$G$10)*(($G$10*(1+H$100)^1)-($G$10*(1+H$100)^0)))/(1+$C$86)^1+(($G$10*(1+H$100)^2)*$C103*(1-$H$43)+$I$45-$I$28-(($G$23+$G$24-$G$26)/$G$10)*(($G$10*(1+H$100)^2)-($G$10*(1+H$100)^1)))/(1+$C$86)^2+(($G$10*(1+H$100)^3)*$C103*(1-$H$43)+$J$45-$J$28-(($G$23+$G$24-$G$26)/$G$10)*(($G$10*(1+H$100)^3)-($G$10*(1+H$100)^2)))/(1+$C$86)^3+(($G$10*(1+H$100)^4)*$C103*(1-$H$43)+$K$45-$K$28-(($G$23+$G$24-$G$26)/$G$10)*(($G$10*(1+H$100)^4)-($G$10*(1+H$100)^3)))/(1+$C$86)^4+(($G$10*(1+H$100)^5)*$C103*(1-$H$43)+$L$45-$L$28-(($G$23+$G$24-$G$26)/$G$10)*(($G$10*(1+H$100)^5)-($G$10*(1+H$100)^4)))/(1+$C$86)^5)+((($G$10*(1+H$100)^5)*$C103*(1-$H$43)+$L$28*0+$L$45-$L$28-(($G$23+$G$24-$G$26)/$G$10)*(($G$10*(1+H$100)^5)-($G$10*(1+H$100)^4)))*(1+$C$58)/($C$86-$C$58))/(1+$C$86)^5)-$F$90+$F$91)/$F$93</f>
        <v>168.489826546861</v>
      </c>
    </row>
    <row r="104" customFormat="false" ht="13.5" hidden="false" customHeight="true" outlineLevel="0" collapsed="false">
      <c r="C104" s="111" t="n">
        <v>0.1238</v>
      </c>
      <c r="D104" s="127" t="n">
        <f aca="false">((((($G$10*(1+D$100)^1)*$C104*(1-$H$43)+$H$45-$H$28-(($G$23+$G$24-$G$26)/$G$10)*(($G$10*(1+D$100)^1)-($G$10*(1+D$100)^0)))/(1+$C$86)^1+(($G$10*(1+D$100)^2)*$C104*(1-$H$43)+$I$45-$I$28-(($G$23+$G$24-$G$26)/$G$10)*(($G$10*(1+D$100)^2)-($G$10*(1+D$100)^1)))/(1+$C$86)^2+(($G$10*(1+D$100)^3)*$C104*(1-$H$43)+$J$45-$J$28-(($G$23+$G$24-$G$26)/$G$10)*(($G$10*(1+D$100)^3)-($G$10*(1+D$100)^2)))/(1+$C$86)^3+(($G$10*(1+D$100)^4)*$C104*(1-$H$43)+$K$45-$K$28-(($G$23+$G$24-$G$26)/$G$10)*(($G$10*(1+D$100)^4)-($G$10*(1+D$100)^3)))/(1+$C$86)^4+(($G$10*(1+D$100)^5)*$C104*(1-$H$43)+$L$45-$L$28-(($G$23+$G$24-$G$26)/$G$10)*(($G$10*(1+D$100)^5)-($G$10*(1+D$100)^4)))/(1+$C$86)^5)+((($G$10*(1+D$100)^5)*$C104*(1-$H$43)+$L$28*0+$L$45-$L$28-(($G$23+$G$24-$G$26)/$G$10)*(($G$10*(1+D$100)^5)-($G$10*(1+D$100)^4)))*(1+$C$58)/($C$86-$C$58))/(1+$C$86)^5)-$F$90+$F$91)/$F$93</f>
        <v>148.36559770449</v>
      </c>
      <c r="E104" s="128" t="n">
        <f aca="false">((((($G$10*(1+E$100)^1)*$C104*(1-$H$43)+$H$45-$H$28-(($G$23+$G$24-$G$26)/$G$10)*(($G$10*(1+E$100)^1)-($G$10*(1+E$100)^0)))/(1+$C$86)^1+(($G$10*(1+E$100)^2)*$C104*(1-$H$43)+$I$45-$I$28-(($G$23+$G$24-$G$26)/$G$10)*(($G$10*(1+E$100)^2)-($G$10*(1+E$100)^1)))/(1+$C$86)^2+(($G$10*(1+E$100)^3)*$C104*(1-$H$43)+$J$45-$J$28-(($G$23+$G$24-$G$26)/$G$10)*(($G$10*(1+E$100)^3)-($G$10*(1+E$100)^2)))/(1+$C$86)^3+(($G$10*(1+E$100)^4)*$C104*(1-$H$43)+$K$45-$K$28-(($G$23+$G$24-$G$26)/$G$10)*(($G$10*(1+E$100)^4)-($G$10*(1+E$100)^3)))/(1+$C$86)^4+(($G$10*(1+E$100)^5)*$C104*(1-$H$43)+$L$45-$L$28-(($G$23+$G$24-$G$26)/$G$10)*(($G$10*(1+E$100)^5)-($G$10*(1+E$100)^4)))/(1+$C$86)^5)+((($G$10*(1+E$100)^5)*$C104*(1-$H$43)+$L$28*0+$L$45-$L$28-(($G$23+$G$24-$G$26)/$G$10)*(($G$10*(1+E$100)^5)-($G$10*(1+E$100)^4)))*(1+$C$58)/($C$86-$C$58))/(1+$C$86)^5)-$F$90+$F$91)/$F$93</f>
        <v>156.675401598879</v>
      </c>
      <c r="F104" s="129" t="n">
        <f aca="false">((((($G$10*(1+F$100)^1)*$C104*(1-$H$43)+$H$45-$H$28-(($G$23+$G$24-$G$26)/$G$10)*(($G$10*(1+F$100)^1)-($G$10*(1+F$100)^0)))/(1+$C$86)^1+(($G$10*(1+F$100)^2)*$C104*(1-$H$43)+$I$45-$I$28-(($G$23+$G$24-$G$26)/$G$10)*(($G$10*(1+F$100)^2)-($G$10*(1+F$100)^1)))/(1+$C$86)^2+(($G$10*(1+F$100)^3)*$C104*(1-$H$43)+$J$45-$J$28-(($G$23+$G$24-$G$26)/$G$10)*(($G$10*(1+F$100)^3)-($G$10*(1+F$100)^2)))/(1+$C$86)^3+(($G$10*(1+F$100)^4)*$C104*(1-$H$43)+$K$45-$K$28-(($G$23+$G$24-$G$26)/$G$10)*(($G$10*(1+F$100)^4)-($G$10*(1+F$100)^3)))/(1+$C$86)^4+(($G$10*(1+F$100)^5)*$C104*(1-$H$43)+$L$45-$L$28-(($G$23+$G$24-$G$26)/$G$10)*(($G$10*(1+F$100)^5)-($G$10*(1+F$100)^4)))/(1+$C$86)^5)+((($G$10*(1+F$100)^5)*$C104*(1-$H$43)+$L$28*0+$L$45-$L$28-(($G$23+$G$24-$G$26)/$G$10)*(($G$10*(1+F$100)^5)-($G$10*(1+F$100)^4)))*(1+$C$58)/($C$86-$C$58))/(1+$C$86)^5)-$F$90+$F$91)/$F$93</f>
        <v>165.327739755649</v>
      </c>
      <c r="G104" s="130" t="n">
        <f aca="false">((((($G$10*(1+G$100)^1)*$C104*(1-$H$43)+$H$45-$H$28-(($G$23+$G$24-$G$26)/$G$10)*(($G$10*(1+G$100)^1)-($G$10*(1+G$100)^0)))/(1+$C$86)^1+(($G$10*(1+G$100)^2)*$C104*(1-$H$43)+$I$45-$I$28-(($G$23+$G$24-$G$26)/$G$10)*(($G$10*(1+G$100)^2)-($G$10*(1+G$100)^1)))/(1+$C$86)^2+(($G$10*(1+G$100)^3)*$C104*(1-$H$43)+$J$45-$J$28-(($G$23+$G$24-$G$26)/$G$10)*(($G$10*(1+G$100)^3)-($G$10*(1+G$100)^2)))/(1+$C$86)^3+(($G$10*(1+G$100)^4)*$C104*(1-$H$43)+$K$45-$K$28-(($G$23+$G$24-$G$26)/$G$10)*(($G$10*(1+G$100)^4)-($G$10*(1+G$100)^3)))/(1+$C$86)^4+(($G$10*(1+G$100)^5)*$C104*(1-$H$43)+$L$45-$L$28-(($G$23+$G$24-$G$26)/$G$10)*(($G$10*(1+G$100)^5)-($G$10*(1+G$100)^4)))/(1+$C$86)^5)+((($G$10*(1+G$100)^5)*$C104*(1-$H$43)+$L$28*0+$L$45-$L$28-(($G$23+$G$24-$G$26)/$G$10)*(($G$10*(1+G$100)^5)-($G$10*(1+G$100)^4)))*(1+$C$58)/($C$86-$C$58))/(1+$C$86)^5)-$F$90+$F$91)/$F$93</f>
        <v>174.333228472553</v>
      </c>
      <c r="H104" s="131" t="n">
        <f aca="false">((((($G$10*(1+H$100)^1)*$C104*(1-$H$43)+$H$45-$H$28-(($G$23+$G$24-$G$26)/$G$10)*(($G$10*(1+H$100)^1)-($G$10*(1+H$100)^0)))/(1+$C$86)^1+(($G$10*(1+H$100)^2)*$C104*(1-$H$43)+$I$45-$I$28-(($G$23+$G$24-$G$26)/$G$10)*(($G$10*(1+H$100)^2)-($G$10*(1+H$100)^1)))/(1+$C$86)^2+(($G$10*(1+H$100)^3)*$C104*(1-$H$43)+$J$45-$J$28-(($G$23+$G$24-$G$26)/$G$10)*(($G$10*(1+H$100)^3)-($G$10*(1+H$100)^2)))/(1+$C$86)^3+(($G$10*(1+H$100)^4)*$C104*(1-$H$43)+$K$45-$K$28-(($G$23+$G$24-$G$26)/$G$10)*(($G$10*(1+H$100)^4)-($G$10*(1+H$100)^3)))/(1+$C$86)^4+(($G$10*(1+H$100)^5)*$C104*(1-$H$43)+$L$45-$L$28-(($G$23+$G$24-$G$26)/$G$10)*(($G$10*(1+H$100)^5)-($G$10*(1+H$100)^4)))/(1+$C$86)^5)+((($G$10*(1+H$100)^5)*$C104*(1-$H$43)+$L$28*0+$L$45-$L$28-(($G$23+$G$24-$G$26)/$G$10)*(($G$10*(1+H$100)^5)-($G$10*(1+H$100)^4)))*(1+$C$58)/($C$86-$C$58))/(1+$C$86)^5)-$F$90+$F$91)/$F$93</f>
        <v>183.702701425267</v>
      </c>
    </row>
    <row r="105" customFormat="false" ht="13.5" hidden="false" customHeight="true" outlineLevel="0" collapsed="false">
      <c r="C105" s="111" t="n">
        <v>0.1338</v>
      </c>
      <c r="D105" s="132" t="n">
        <f aca="false">((((($G$10*(1+D$100)^1)*$C105*(1-$H$43)+$H$45-$H$28-(($G$23+$G$24-$G$26)/$G$10)*(($G$10*(1+D$100)^1)-($G$10*(1+D$100)^0)))/(1+$C$86)^1+(($G$10*(1+D$100)^2)*$C105*(1-$H$43)+$I$45-$I$28-(($G$23+$G$24-$G$26)/$G$10)*(($G$10*(1+D$100)^2)-($G$10*(1+D$100)^1)))/(1+$C$86)^2+(($G$10*(1+D$100)^3)*$C105*(1-$H$43)+$J$45-$J$28-(($G$23+$G$24-$G$26)/$G$10)*(($G$10*(1+D$100)^3)-($G$10*(1+D$100)^2)))/(1+$C$86)^3+(($G$10*(1+D$100)^4)*$C105*(1-$H$43)+$K$45-$K$28-(($G$23+$G$24-$G$26)/$G$10)*(($G$10*(1+D$100)^4)-($G$10*(1+D$100)^3)))/(1+$C$86)^4+(($G$10*(1+D$100)^5)*$C105*(1-$H$43)+$L$45-$L$28-(($G$23+$G$24-$G$26)/$G$10)*(($G$10*(1+D$100)^5)-($G$10*(1+D$100)^4)))/(1+$C$86)^5)+((($G$10*(1+D$100)^5)*$C105*(1-$H$43)+$L$28*0+$L$45-$L$28-(($G$23+$G$24-$G$26)/$G$10)*(($G$10*(1+D$100)^5)-($G$10*(1+D$100)^4)))*(1+$C$58)/($C$86-$C$58))/(1+$C$86)^5)-$F$90+$F$91)/$F$93</f>
        <v>161.126339783479</v>
      </c>
      <c r="E105" s="133" t="n">
        <f aca="false">((((($G$10*(1+E$100)^1)*$C105*(1-$H$43)+$H$45-$H$28-(($G$23+$G$24-$G$26)/$G$10)*(($G$10*(1+E$100)^1)-($G$10*(1+E$100)^0)))/(1+$C$86)^1+(($G$10*(1+E$100)^2)*$C105*(1-$H$43)+$I$45-$I$28-(($G$23+$G$24-$G$26)/$G$10)*(($G$10*(1+E$100)^2)-($G$10*(1+E$100)^1)))/(1+$C$86)^2+(($G$10*(1+E$100)^3)*$C105*(1-$H$43)+$J$45-$J$28-(($G$23+$G$24-$G$26)/$G$10)*(($G$10*(1+E$100)^3)-($G$10*(1+E$100)^2)))/(1+$C$86)^3+(($G$10*(1+E$100)^4)*$C105*(1-$H$43)+$K$45-$K$28-(($G$23+$G$24-$G$26)/$G$10)*(($G$10*(1+E$100)^4)-($G$10*(1+E$100)^3)))/(1+$C$86)^4+(($G$10*(1+E$100)^5)*$C105*(1-$H$43)+$L$45-$L$28-(($G$23+$G$24-$G$26)/$G$10)*(($G$10*(1+E$100)^5)-($G$10*(1+E$100)^4)))/(1+$C$86)^5)+((($G$10*(1+E$100)^5)*$C105*(1-$H$43)+$L$28*0+$L$45-$L$28-(($G$23+$G$24-$G$26)/$G$10)*(($G$10*(1+E$100)^5)-($G$10*(1+E$100)^4)))*(1+$C$58)/($C$86-$C$58))/(1+$C$86)^5)-$F$90+$F$91)/$F$93</f>
        <v>170.016038240299</v>
      </c>
      <c r="F105" s="134" t="n">
        <f aca="false">((((($G$10*(1+F$100)^1)*$C105*(1-$H$43)+$H$45-$H$28-(($G$23+$G$24-$G$26)/$G$10)*(($G$10*(1+F$100)^1)-($G$10*(1+F$100)^0)))/(1+$C$86)^1+(($G$10*(1+F$100)^2)*$C105*(1-$H$43)+$I$45-$I$28-(($G$23+$G$24-$G$26)/$G$10)*(($G$10*(1+F$100)^2)-($G$10*(1+F$100)^1)))/(1+$C$86)^2+(($G$10*(1+F$100)^3)*$C105*(1-$H$43)+$J$45-$J$28-(($G$23+$G$24-$G$26)/$G$10)*(($G$10*(1+F$100)^3)-($G$10*(1+F$100)^2)))/(1+$C$86)^3+(($G$10*(1+F$100)^4)*$C105*(1-$H$43)+$K$45-$K$28-(($G$23+$G$24-$G$26)/$G$10)*(($G$10*(1+F$100)^4)-($G$10*(1+F$100)^3)))/(1+$C$86)^4+(($G$10*(1+F$100)^5)*$C105*(1-$H$43)+$L$45-$L$28-(($G$23+$G$24-$G$26)/$G$10)*(($G$10*(1+F$100)^5)-($G$10*(1+F$100)^4)))/(1+$C$86)^5)+((($G$10*(1+F$100)^5)*$C105*(1-$H$43)+$L$28*0+$L$45-$L$28-(($G$23+$G$24-$G$26)/$G$10)*(($G$10*(1+F$100)^5)-($G$10*(1+F$100)^4)))*(1+$C$58)/($C$86-$C$58))/(1+$C$86)^5)-$F$90+$F$91)/$F$93</f>
        <v>179.269951950794</v>
      </c>
      <c r="G105" s="135" t="n">
        <f aca="false">((((($G$10*(1+G$100)^1)*$C105*(1-$H$43)+$H$45-$H$28-(($G$23+$G$24-$G$26)/$G$10)*(($G$10*(1+G$100)^1)-($G$10*(1+G$100)^0)))/(1+$C$86)^1+(($G$10*(1+G$100)^2)*$C105*(1-$H$43)+$I$45-$I$28-(($G$23+$G$24-$G$26)/$G$10)*(($G$10*(1+G$100)^2)-($G$10*(1+G$100)^1)))/(1+$C$86)^2+(($G$10*(1+G$100)^3)*$C105*(1-$H$43)+$J$45-$J$28-(($G$23+$G$24-$G$26)/$G$10)*(($G$10*(1+G$100)^3)-($G$10*(1+G$100)^2)))/(1+$C$86)^3+(($G$10*(1+G$100)^4)*$C105*(1-$H$43)+$K$45-$K$28-(($G$23+$G$24-$G$26)/$G$10)*(($G$10*(1+G$100)^4)-($G$10*(1+G$100)^3)))/(1+$C$86)^4+(($G$10*(1+G$100)^5)*$C105*(1-$H$43)+$L$45-$L$28-(($G$23+$G$24-$G$26)/$G$10)*(($G$10*(1+G$100)^5)-($G$10*(1+G$100)^4)))/(1+$C$86)^5)+((($G$10*(1+G$100)^5)*$C105*(1-$H$43)+$L$28*0+$L$45-$L$28-(($G$23+$G$24-$G$26)/$G$10)*(($G$10*(1+G$100)^5)-($G$10*(1+G$100)^4)))*(1+$C$58)/($C$86-$C$58))/(1+$C$86)^5)-$F$90+$F$91)/$F$93</f>
        <v>188.899311467204</v>
      </c>
      <c r="H105" s="136" t="n">
        <f aca="false">((((($G$10*(1+H$100)^1)*$C105*(1-$H$43)+$H$45-$H$28-(($G$23+$G$24-$G$26)/$G$10)*(($G$10*(1+H$100)^1)-($G$10*(1+H$100)^0)))/(1+$C$86)^1+(($G$10*(1+H$100)^2)*$C105*(1-$H$43)+$I$45-$I$28-(($G$23+$G$24-$G$26)/$G$10)*(($G$10*(1+H$100)^2)-($G$10*(1+H$100)^1)))/(1+$C$86)^2+(($G$10*(1+H$100)^3)*$C105*(1-$H$43)+$J$45-$J$28-(($G$23+$G$24-$G$26)/$G$10)*(($G$10*(1+H$100)^3)-($G$10*(1+H$100)^2)))/(1+$C$86)^3+(($G$10*(1+H$100)^4)*$C105*(1-$H$43)+$K$45-$K$28-(($G$23+$G$24-$G$26)/$G$10)*(($G$10*(1+H$100)^4)-($G$10*(1+H$100)^3)))/(1+$C$86)^4+(($G$10*(1+H$100)^5)*$C105*(1-$H$43)+$L$45-$L$28-(($G$23+$G$24-$G$26)/$G$10)*(($G$10*(1+H$100)^5)-($G$10*(1+H$100)^4)))/(1+$C$86)^5)+((($G$10*(1+H$100)^5)*$C105*(1-$H$43)+$L$28*0+$L$45-$L$28-(($G$23+$G$24-$G$26)/$G$10)*(($G$10*(1+H$100)^5)-($G$10*(1+H$100)^4)))*(1+$C$58)/($C$86-$C$58))/(1+$C$86)^5)-$F$90+$F$91)/$F$93</f>
        <v>198.915576303674</v>
      </c>
    </row>
  </sheetData>
  <mergeCells count="3">
    <mergeCell ref="H8:L8"/>
    <mergeCell ref="H21:L21"/>
    <mergeCell ref="H38:L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83203125" defaultRowHeight="12.75" zeroHeight="false" outlineLevelRow="0" outlineLevelCol="0"/>
  <cols>
    <col collapsed="false" customWidth="true" hidden="false" outlineLevel="0" max="2" min="1" style="1" width="11.5"/>
    <col collapsed="false" customWidth="true" hidden="false" outlineLevel="0" max="3" min="3" style="1" width="14"/>
    <col collapsed="false" customWidth="true" hidden="false" outlineLevel="0" max="256" min="4" style="1" width="11.5"/>
  </cols>
  <sheetData>
    <row r="1" customFormat="false" ht="12.75" hidden="false" customHeight="true" outlineLevel="0" collapsed="false">
      <c r="A1" s="1" t="s">
        <v>81</v>
      </c>
    </row>
    <row r="3" customFormat="false" ht="12.75" hidden="false" customHeight="true" outlineLevel="0" collapsed="false">
      <c r="A3" s="137" t="s">
        <v>82</v>
      </c>
      <c r="B3" s="137"/>
    </row>
    <row r="4" customFormat="false" ht="12.75" hidden="false" customHeight="true" outlineLevel="0" collapsed="false">
      <c r="A4" s="1" t="s">
        <v>83</v>
      </c>
      <c r="B4" s="1" t="n">
        <v>0.991618273012904</v>
      </c>
    </row>
    <row r="5" customFormat="false" ht="12.75" hidden="false" customHeight="true" outlineLevel="0" collapsed="false">
      <c r="A5" s="1" t="s">
        <v>84</v>
      </c>
      <c r="B5" s="1" t="n">
        <v>0.983306799373093</v>
      </c>
    </row>
    <row r="6" customFormat="false" ht="12.75" hidden="false" customHeight="true" outlineLevel="0" collapsed="false">
      <c r="A6" s="1" t="s">
        <v>85</v>
      </c>
      <c r="B6" s="1" t="n">
        <v>-1.66666666666667</v>
      </c>
    </row>
    <row r="7" customFormat="false" ht="12.75" hidden="false" customHeight="true" outlineLevel="0" collapsed="false">
      <c r="A7" s="1" t="s">
        <v>86</v>
      </c>
      <c r="B7" s="1" t="n">
        <v>0.0185077130670679</v>
      </c>
    </row>
    <row r="8" customFormat="false" ht="12.75" hidden="false" customHeight="true" outlineLevel="0" collapsed="false">
      <c r="A8" s="138" t="s">
        <v>87</v>
      </c>
      <c r="B8" s="138" t="n">
        <v>1</v>
      </c>
    </row>
    <row r="10" customFormat="false" ht="12.75" hidden="false" customHeight="true" outlineLevel="0" collapsed="false">
      <c r="A10" s="1" t="s">
        <v>88</v>
      </c>
    </row>
    <row r="11" customFormat="false" ht="12.75" hidden="false" customHeight="true" outlineLevel="0" collapsed="false">
      <c r="A11" s="137"/>
      <c r="B11" s="137" t="s">
        <v>89</v>
      </c>
      <c r="C11" s="137" t="s">
        <v>90</v>
      </c>
      <c r="D11" s="137" t="s">
        <v>91</v>
      </c>
      <c r="E11" s="137" t="s">
        <v>92</v>
      </c>
      <c r="F11" s="137" t="s">
        <v>93</v>
      </c>
    </row>
    <row r="12" customFormat="false" ht="12.75" hidden="false" customHeight="true" outlineLevel="0" collapsed="false">
      <c r="A12" s="1" t="s">
        <v>94</v>
      </c>
      <c r="B12" s="1" t="n">
        <v>5</v>
      </c>
      <c r="C12" s="1" t="n">
        <v>0.0605307701553606</v>
      </c>
      <c r="D12" s="1" t="n">
        <v>0.0121061540310721</v>
      </c>
      <c r="E12" s="1" t="n">
        <v>176.71388872931</v>
      </c>
    </row>
    <row r="13" customFormat="false" ht="12.75" hidden="false" customHeight="true" outlineLevel="0" collapsed="false">
      <c r="A13" s="1" t="s">
        <v>95</v>
      </c>
      <c r="B13" s="1" t="n">
        <v>3</v>
      </c>
      <c r="C13" s="1" t="n">
        <v>0.00102760632891874</v>
      </c>
      <c r="D13" s="1" t="n">
        <v>0.000342535442972914</v>
      </c>
    </row>
    <row r="14" customFormat="false" ht="12.75" hidden="false" customHeight="true" outlineLevel="0" collapsed="false">
      <c r="A14" s="138" t="s">
        <v>96</v>
      </c>
      <c r="B14" s="138" t="n">
        <v>8</v>
      </c>
      <c r="C14" s="138" t="n">
        <v>0.0615583764842793</v>
      </c>
      <c r="D14" s="138"/>
      <c r="E14" s="138"/>
      <c r="F14" s="138"/>
    </row>
    <row r="16" customFormat="false" ht="12.75" hidden="false" customHeight="true" outlineLevel="0" collapsed="false">
      <c r="A16" s="137"/>
      <c r="B16" s="137" t="s">
        <v>97</v>
      </c>
      <c r="C16" s="137" t="s">
        <v>86</v>
      </c>
      <c r="D16" s="137" t="s">
        <v>98</v>
      </c>
      <c r="E16" s="137" t="s">
        <v>99</v>
      </c>
      <c r="F16" s="137" t="s">
        <v>100</v>
      </c>
      <c r="G16" s="137" t="s">
        <v>101</v>
      </c>
      <c r="H16" s="137" t="s">
        <v>102</v>
      </c>
      <c r="I16" s="137" t="s">
        <v>103</v>
      </c>
    </row>
    <row r="17" customFormat="false" ht="12.75" hidden="false" customHeight="true" outlineLevel="0" collapsed="false">
      <c r="A17" s="1" t="s">
        <v>104</v>
      </c>
      <c r="H17" s="1" t="n">
        <v>0</v>
      </c>
      <c r="I17" s="1" t="n">
        <v>0</v>
      </c>
    </row>
    <row r="18" customFormat="false" ht="12.75" hidden="false" customHeight="true" outlineLevel="0" collapsed="false">
      <c r="A18" s="1" t="s">
        <v>105</v>
      </c>
      <c r="H18" s="1" t="n">
        <v>0</v>
      </c>
      <c r="I18" s="1" t="n">
        <v>0</v>
      </c>
    </row>
    <row r="19" customFormat="false" ht="12.75" hidden="false" customHeight="true" outlineLevel="0" collapsed="false">
      <c r="A19" s="1" t="s">
        <v>106</v>
      </c>
      <c r="H19" s="1" t="n">
        <v>-3.69680976301636E+089</v>
      </c>
      <c r="I19" s="1" t="n">
        <v>3.69680976301636E+089</v>
      </c>
    </row>
    <row r="20" customFormat="false" ht="12.75" hidden="false" customHeight="true" outlineLevel="0" collapsed="false">
      <c r="A20" s="1" t="s">
        <v>107</v>
      </c>
      <c r="H20" s="1" t="n">
        <v>0</v>
      </c>
      <c r="I20" s="1" t="n">
        <v>0</v>
      </c>
    </row>
    <row r="21" customFormat="false" ht="12.75" hidden="false" customHeight="true" outlineLevel="0" collapsed="false">
      <c r="A21" s="1" t="s">
        <v>108</v>
      </c>
      <c r="B21" s="1" t="n">
        <v>10.9651507857915</v>
      </c>
      <c r="C21" s="1" t="n">
        <v>0.0194110532241351</v>
      </c>
      <c r="D21" s="1" t="n">
        <v>564.892108592942</v>
      </c>
      <c r="E21" s="1" t="n">
        <v>1.2234023858196E-008</v>
      </c>
      <c r="F21" s="1" t="n">
        <v>10.9033761511767</v>
      </c>
      <c r="G21" s="1" t="n">
        <v>11.0269254204063</v>
      </c>
      <c r="H21" s="1" t="n">
        <v>10.9033761511767</v>
      </c>
      <c r="I21" s="1" t="n">
        <v>11.0269254204063</v>
      </c>
    </row>
    <row r="22" customFormat="false" ht="12.75" hidden="false" customHeight="true" outlineLevel="0" collapsed="false">
      <c r="A22" s="138" t="s">
        <v>109</v>
      </c>
      <c r="B22" s="138" t="n">
        <v>0.0778015232211816</v>
      </c>
      <c r="C22" s="138" t="n">
        <v>0.00585265275727951</v>
      </c>
      <c r="D22" s="138" t="n">
        <v>13.2933776268227</v>
      </c>
      <c r="E22" s="138" t="n">
        <v>0.00091999898769996</v>
      </c>
      <c r="F22" s="138" t="n">
        <v>0.0591757700776689</v>
      </c>
      <c r="G22" s="138" t="n">
        <v>0.0964272763646943</v>
      </c>
      <c r="H22" s="138" t="n">
        <v>0.0591757700776689</v>
      </c>
      <c r="I22" s="138" t="n">
        <v>0.0964272763646943</v>
      </c>
    </row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2.75" zeroHeight="false" outlineLevelRow="0" outlineLevelCol="0"/>
  <cols>
    <col collapsed="false" customWidth="true" hidden="false" outlineLevel="0" max="256" min="1" style="1" width="11.5"/>
  </cols>
  <sheetData>
    <row r="1" customFormat="false" ht="13.5" hidden="false" customHeight="true" outlineLevel="0" collapsed="false">
      <c r="A1" s="13" t="n">
        <v>1</v>
      </c>
      <c r="B1" s="13" t="n">
        <v>2</v>
      </c>
      <c r="C1" s="13" t="n">
        <v>3</v>
      </c>
      <c r="D1" s="14" t="n">
        <v>4</v>
      </c>
      <c r="E1" s="15" t="n">
        <v>5</v>
      </c>
      <c r="F1" s="15" t="n">
        <v>6</v>
      </c>
      <c r="G1" s="15" t="n">
        <v>7</v>
      </c>
      <c r="H1" s="15" t="n">
        <v>8</v>
      </c>
      <c r="I1" s="15" t="n">
        <v>9</v>
      </c>
      <c r="J1" s="15" t="n">
        <v>10</v>
      </c>
    </row>
    <row r="2" customFormat="false" ht="13.5" hidden="false" customHeight="true" outlineLevel="0" collapsed="false">
      <c r="A2" s="24" t="n">
        <v>63763</v>
      </c>
      <c r="B2" s="24" t="n">
        <v>66025</v>
      </c>
      <c r="C2" s="24" t="n">
        <v>72574</v>
      </c>
      <c r="D2" s="24" t="n">
        <v>79042</v>
      </c>
      <c r="E2" s="25" t="n">
        <v>85988</v>
      </c>
      <c r="F2" s="26" t="n">
        <f aca="false">E2*(1+F3)</f>
        <v>85988</v>
      </c>
      <c r="G2" s="26" t="n">
        <f aca="false">F2*(1+G3)</f>
        <v>85988</v>
      </c>
      <c r="H2" s="26" t="n">
        <f aca="false">G2*(1+H3)</f>
        <v>85988</v>
      </c>
      <c r="I2" s="26" t="n">
        <f aca="false">H2*(1+I3)</f>
        <v>85988</v>
      </c>
      <c r="J2" s="26" t="n">
        <f aca="false">I2*(1+J3)</f>
        <v>85988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22" activeCellId="0" sqref="V22"/>
    </sheetView>
  </sheetViews>
  <sheetFormatPr defaultColWidth="8.83203125" defaultRowHeight="12.75" zeroHeight="false" outlineLevelRow="0" outlineLevelCol="0"/>
  <sheetData>
    <row r="1" customFormat="false" ht="13.5" hidden="false" customHeight="true" outlineLevel="0" collapsed="false">
      <c r="A1" s="13" t="n">
        <v>1</v>
      </c>
      <c r="B1" s="13" t="n">
        <v>2</v>
      </c>
      <c r="C1" s="13" t="n">
        <v>3</v>
      </c>
      <c r="D1" s="14" t="n">
        <v>4</v>
      </c>
      <c r="E1" s="15" t="n">
        <v>5</v>
      </c>
    </row>
    <row r="2" customFormat="false" ht="13.5" hidden="false" customHeight="true" outlineLevel="0" collapsed="false">
      <c r="A2" s="41" t="n">
        <v>0.328952527327761</v>
      </c>
      <c r="B2" s="41" t="n">
        <v>0.340325634229459</v>
      </c>
      <c r="C2" s="41" t="n">
        <v>0.370945517678508</v>
      </c>
      <c r="D2" s="41" t="n">
        <v>0.383960426102578</v>
      </c>
      <c r="E2" s="41" t="n">
        <v>0.371935618923571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2.75" zeroHeight="false" outlineLevelRow="0" outlineLevelCol="0"/>
  <sheetData>
    <row r="1" customFormat="false" ht="13.5" hidden="false" customHeight="true" outlineLevel="0" collapsed="false">
      <c r="A1" s="13" t="n">
        <v>1</v>
      </c>
      <c r="B1" s="13" t="n">
        <v>2</v>
      </c>
      <c r="C1" s="13" t="n">
        <v>3</v>
      </c>
      <c r="D1" s="14" t="n">
        <v>4</v>
      </c>
      <c r="E1" s="15" t="n">
        <v>5</v>
      </c>
    </row>
    <row r="2" customFormat="false" ht="13.5" hidden="false" customHeight="true" outlineLevel="0" collapsed="false">
      <c r="A2" s="41" t="n">
        <v>0.147828678073491</v>
      </c>
      <c r="B2" s="41" t="n">
        <v>0.158167360848164</v>
      </c>
      <c r="C2" s="41" t="n">
        <v>0.166037423870808</v>
      </c>
      <c r="D2" s="41" t="n">
        <v>0.170352470838289</v>
      </c>
      <c r="E2" s="41" t="n">
        <v>0.160557287063311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31" activeCellId="0" sqref="S31"/>
    </sheetView>
  </sheetViews>
  <sheetFormatPr defaultColWidth="8.83203125" defaultRowHeight="12.75" zeroHeight="false" outlineLevelRow="0" outlineLevelCol="0"/>
  <sheetData>
    <row r="1" customFormat="false" ht="13.5" hidden="false" customHeight="true" outlineLevel="0" collapsed="false">
      <c r="A1" s="13" t="n">
        <v>1</v>
      </c>
      <c r="B1" s="13" t="n">
        <v>2</v>
      </c>
      <c r="C1" s="13" t="n">
        <v>3</v>
      </c>
      <c r="D1" s="14" t="n">
        <v>4</v>
      </c>
      <c r="E1" s="15" t="n">
        <v>5</v>
      </c>
    </row>
    <row r="2" customFormat="false" ht="13.5" hidden="false" customHeight="true" outlineLevel="0" collapsed="false">
      <c r="A2" s="41" t="n">
        <v>0.149585182629425</v>
      </c>
      <c r="B2" s="41" t="n">
        <v>0.139840969329799</v>
      </c>
      <c r="C2" s="41" t="n">
        <v>0.138589577534654</v>
      </c>
      <c r="D2" s="41" t="n">
        <v>0.127742213000683</v>
      </c>
      <c r="E2" s="41" t="n">
        <v>0.149288272782249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2006-10-30T23:26:47Z</dcterms:created>
  <dc:creator>Wall Street Prep, LLC</dc:creator>
  <dc:description/>
  <dc:language>en-US</dc:language>
  <cp:lastModifiedBy/>
  <dcterms:modified xsi:type="dcterms:W3CDTF">2026-07-02T14:21:49Z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