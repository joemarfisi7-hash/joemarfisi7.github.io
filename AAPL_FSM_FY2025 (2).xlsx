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mc:AlternateContent xmlns:mc="http://schemas.openxmlformats.org/markup-compatibility/2006">
    <mc:Choice Requires="x15">
      <x15ac:absPath xmlns:x15ac="http://schemas.microsoft.com/office/spreadsheetml/2010/11/ac" url="/Users/joesairbook/Downloads/"/>
    </mc:Choice>
  </mc:AlternateContent>
  <xr:revisionPtr revIDLastSave="0" documentId="13_ncr:1_{80A45932-F95D-5245-BB04-5B4EE01B91F8}" xr6:coauthVersionLast="47" xr6:coauthVersionMax="47" xr10:uidLastSave="{00000000-0000-0000-0000-000000000000}"/>
  <bookViews>
    <workbookView xWindow="0" yWindow="480" windowWidth="28800" windowHeight="17520" tabRatio="500" activeTab="1" xr2:uid="{00000000-000D-0000-FFFF-FFFF00000000}"/>
  </bookViews>
  <sheets>
    <sheet name="FSM Data Input_Empty" sheetId="1" r:id="rId1"/>
    <sheet name="FSM Forecasting_Empty" sheetId="2" r:id="rId2"/>
    <sheet name="FSM Forecasting_ProgressCheck1" sheetId="3" r:id="rId3"/>
    <sheet name="FSM Forecasting_ProgressCheck2" sheetId="4" r:id="rId4"/>
    <sheet name="FSM Forecasting_Empty II" sheetId="5" r:id="rId5"/>
    <sheet name="FSM Complete" sheetId="6" r:id="rId6"/>
    <sheet name="FSM 2025" sheetId="7" r:id="rId7"/>
    <sheet name="Find the errors" sheetId="8" r:id="rId8"/>
    <sheet name="Find the errors Complete" sheetId="9" r:id="rId9"/>
    <sheet name="Extras" sheetId="10" r:id="rId10"/>
    <sheet name="Extras Complete" sheetId="11" r:id="rId11"/>
    <sheet name="Rev Build Fill " sheetId="12" r:id="rId12"/>
    <sheet name="Rev Build Complete" sheetId="13" r:id="rId13"/>
    <sheet name="Rev Build" sheetId="14" r:id="rId14"/>
    <sheet name="FSM + Rev Scenarios" sheetId="15" r:id="rId15"/>
    <sheet name="FSM + Schedules Empty" sheetId="16" r:id="rId16"/>
    <sheet name="FSM + Schedules" sheetId="17" r:id="rId17"/>
    <sheet name="FSM 2019 Update Empty" sheetId="18" r:id="rId18"/>
    <sheet name="2019 FSM Update Complete" sheetId="19" r:id="rId19"/>
  </sheets>
  <definedNames>
    <definedName name="CIQWBGuid" hidden="1">"a611639b-bab1-425e-aaa5-008c326fdfdb"</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43588.5561574074</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MLNK841c85bef3244d5c8fb6b3f84988d79e" localSheetId="11" hidden="1">'Rev Build Fill '!$1:$1048576</definedName>
    <definedName name="MLNK841c85bef3244d5c8fb6b3f84988d79e" hidden="1">'Rev Build Complete'!$1:$1048576</definedName>
    <definedName name="MLNKa7775792bf444a4785f8ed5c82461a24" localSheetId="11" hidden="1">'Rev Build Fill '!$D$8:$F$12</definedName>
    <definedName name="MLNKa7775792bf444a4785f8ed5c82461a24" hidden="1">'Rev Build Complete'!$D$8:$F$12</definedName>
    <definedName name="_xlnm.Print_Area" localSheetId="18">'2019 FSM Update Complete'!$C$2:$T$156</definedName>
    <definedName name="_xlnm.Print_Area" localSheetId="9">Extras!$C$2:$V$211</definedName>
    <definedName name="_xlnm.Print_Area" localSheetId="10">'Extras Complete'!$C$2:$T$211</definedName>
    <definedName name="_xlnm.Print_Area" localSheetId="7">'Find the errors'!$C$2:$T$156</definedName>
    <definedName name="_xlnm.Print_Area" localSheetId="8">'Find the errors Complete'!$C$2:$T$156</definedName>
    <definedName name="_xlnm.Print_Area" localSheetId="17">'FSM 2019 Update Empty'!$C$2:$T$156</definedName>
    <definedName name="_xlnm.Print_Area" localSheetId="5">'FSM Complete'!$C$2:$T$156</definedName>
    <definedName name="_xlnm.Print_Area" localSheetId="1">'FSM Forecasting_Empty'!$C$2:$U$119</definedName>
    <definedName name="_xlnm.Print_Area" localSheetId="4">'FSM Forecasting_Empty II'!$C$2:$T$156</definedName>
    <definedName name="_xlnm.Print_Area" localSheetId="2">'FSM Forecasting_ProgressCheck1'!$C$2:$V$90</definedName>
    <definedName name="_xlnm.Print_Area" localSheetId="3">'FSM Forecasting_ProgressCheck2'!$C$2:$U$119</definedName>
    <definedName name="_xlnm.Print_Area" localSheetId="12">'Rev Build Complete'!$C$2:$R$44</definedName>
    <definedName name="_xlnm.Print_Area" localSheetId="11">'Rev Build Fill '!$C$2:$Q$41</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17" i="2" l="1"/>
  <c r="G145" i="2"/>
  <c r="L203" i="19"/>
  <c r="K203" i="19"/>
  <c r="J203" i="19"/>
  <c r="I203" i="19"/>
  <c r="H203" i="19"/>
  <c r="L201" i="19"/>
  <c r="K201" i="19"/>
  <c r="J201" i="19"/>
  <c r="I201" i="19"/>
  <c r="H201" i="19"/>
  <c r="L199" i="19"/>
  <c r="K199" i="19"/>
  <c r="J199" i="19"/>
  <c r="I199" i="19"/>
  <c r="H199" i="19"/>
  <c r="L197" i="19"/>
  <c r="K197" i="19"/>
  <c r="J197" i="19"/>
  <c r="I197" i="19"/>
  <c r="H197" i="19"/>
  <c r="L195" i="19"/>
  <c r="K195" i="19"/>
  <c r="J195" i="19"/>
  <c r="I195" i="19"/>
  <c r="H195" i="19"/>
  <c r="L193" i="19"/>
  <c r="K193" i="19"/>
  <c r="J193" i="19"/>
  <c r="I193" i="19"/>
  <c r="H193" i="19"/>
  <c r="I191" i="19"/>
  <c r="H191" i="19"/>
  <c r="J190" i="19"/>
  <c r="J189" i="19"/>
  <c r="I189" i="19"/>
  <c r="H189" i="19"/>
  <c r="L186" i="19"/>
  <c r="L39" i="19" s="1"/>
  <c r="K186" i="19"/>
  <c r="K39" i="19" s="1"/>
  <c r="J186" i="19"/>
  <c r="J39" i="19" s="1"/>
  <c r="I186" i="19"/>
  <c r="H186" i="19"/>
  <c r="H39" i="19" s="1"/>
  <c r="G186" i="19"/>
  <c r="L185" i="19"/>
  <c r="K185" i="19"/>
  <c r="J185" i="19"/>
  <c r="I185" i="19"/>
  <c r="H185" i="19"/>
  <c r="G185" i="19"/>
  <c r="L184" i="19"/>
  <c r="K184" i="19"/>
  <c r="J184" i="19"/>
  <c r="J37" i="19" s="1"/>
  <c r="I184" i="19"/>
  <c r="I37" i="19" s="1"/>
  <c r="H184" i="19"/>
  <c r="G184" i="19"/>
  <c r="J183" i="19"/>
  <c r="J36" i="19" s="1"/>
  <c r="J97" i="19" s="1"/>
  <c r="I183" i="19"/>
  <c r="I36" i="19" s="1"/>
  <c r="H183" i="19"/>
  <c r="H36" i="19" s="1"/>
  <c r="G183" i="19"/>
  <c r="D181" i="19"/>
  <c r="H174" i="19"/>
  <c r="F160" i="19"/>
  <c r="G156" i="19"/>
  <c r="F156" i="19"/>
  <c r="E156" i="19"/>
  <c r="D156" i="19"/>
  <c r="H155" i="19"/>
  <c r="I155" i="19" s="1"/>
  <c r="J155" i="19" s="1"/>
  <c r="K155" i="19" s="1"/>
  <c r="L155" i="19" s="1"/>
  <c r="G146" i="19"/>
  <c r="F146" i="19"/>
  <c r="G147" i="19" s="1"/>
  <c r="E146" i="19"/>
  <c r="H145" i="19"/>
  <c r="I145" i="19" s="1"/>
  <c r="J145" i="19" s="1"/>
  <c r="K145" i="19" s="1"/>
  <c r="L145" i="19" s="1"/>
  <c r="G142" i="19"/>
  <c r="F142" i="19"/>
  <c r="E142" i="19"/>
  <c r="D142" i="19"/>
  <c r="F140" i="19"/>
  <c r="C140" i="19"/>
  <c r="C139" i="19"/>
  <c r="G135" i="19"/>
  <c r="F135" i="19"/>
  <c r="E135" i="19"/>
  <c r="H132" i="19"/>
  <c r="F123" i="19"/>
  <c r="C123" i="19"/>
  <c r="C122" i="19"/>
  <c r="G119" i="19"/>
  <c r="F119" i="19"/>
  <c r="D119" i="19"/>
  <c r="H118" i="19"/>
  <c r="I118" i="19" s="1"/>
  <c r="H115" i="19"/>
  <c r="G112" i="19"/>
  <c r="F112" i="19"/>
  <c r="E112" i="19"/>
  <c r="H109" i="19"/>
  <c r="G106" i="19"/>
  <c r="F106" i="19"/>
  <c r="E106" i="19"/>
  <c r="D106" i="19"/>
  <c r="G104" i="19"/>
  <c r="G105" i="19" s="1"/>
  <c r="H105" i="19" s="1"/>
  <c r="F104" i="19"/>
  <c r="F105" i="19" s="1"/>
  <c r="E104" i="19"/>
  <c r="E105" i="19" s="1"/>
  <c r="D104" i="19"/>
  <c r="D105" i="19" s="1"/>
  <c r="G101" i="19"/>
  <c r="F101" i="19"/>
  <c r="E101" i="19"/>
  <c r="H101" i="19" s="1"/>
  <c r="G99" i="19"/>
  <c r="F99" i="19"/>
  <c r="E99" i="19"/>
  <c r="D99" i="19"/>
  <c r="H96" i="19"/>
  <c r="F94" i="19"/>
  <c r="C94" i="19"/>
  <c r="C93" i="19"/>
  <c r="H86" i="19"/>
  <c r="H169" i="19" s="1"/>
  <c r="I81" i="19"/>
  <c r="I82" i="19" s="1"/>
  <c r="H81" i="19"/>
  <c r="H82" i="19" s="1"/>
  <c r="C70" i="19"/>
  <c r="C69" i="19"/>
  <c r="G64" i="19"/>
  <c r="F64" i="19"/>
  <c r="H63" i="19"/>
  <c r="I63" i="19" s="1"/>
  <c r="J63" i="19" s="1"/>
  <c r="K63" i="19" s="1"/>
  <c r="L63" i="19" s="1"/>
  <c r="E62" i="19"/>
  <c r="G57" i="19"/>
  <c r="F57" i="19"/>
  <c r="E57" i="19"/>
  <c r="E150" i="19" s="1"/>
  <c r="E55" i="19"/>
  <c r="E59" i="19" s="1"/>
  <c r="G48" i="19"/>
  <c r="F48" i="19"/>
  <c r="E48" i="19"/>
  <c r="G45" i="19"/>
  <c r="F45" i="19"/>
  <c r="F51" i="19" s="1"/>
  <c r="E45" i="19"/>
  <c r="E51" i="19" s="1"/>
  <c r="F44" i="19"/>
  <c r="C44" i="19"/>
  <c r="C43" i="19"/>
  <c r="I39" i="19"/>
  <c r="G39" i="19"/>
  <c r="F39" i="19"/>
  <c r="E39" i="19"/>
  <c r="D39" i="19"/>
  <c r="L38" i="19"/>
  <c r="K38" i="19"/>
  <c r="J38" i="19"/>
  <c r="I38" i="19"/>
  <c r="H38" i="19"/>
  <c r="G38" i="19"/>
  <c r="F38" i="19"/>
  <c r="E38" i="19"/>
  <c r="D38" i="19"/>
  <c r="L37" i="19"/>
  <c r="K37" i="19"/>
  <c r="H37" i="19"/>
  <c r="G36" i="19"/>
  <c r="F36" i="19"/>
  <c r="E36" i="19"/>
  <c r="H25" i="19"/>
  <c r="I25" i="19" s="1"/>
  <c r="J25" i="19" s="1"/>
  <c r="K25" i="19" s="1"/>
  <c r="L25" i="19" s="1"/>
  <c r="G19" i="19"/>
  <c r="F19" i="19"/>
  <c r="E19" i="19"/>
  <c r="D19" i="19"/>
  <c r="G15" i="19"/>
  <c r="E15" i="19"/>
  <c r="G14" i="19"/>
  <c r="C2" i="19"/>
  <c r="H174" i="18"/>
  <c r="I171" i="18"/>
  <c r="J171" i="18" s="1"/>
  <c r="K171" i="18" s="1"/>
  <c r="L171" i="18" s="1"/>
  <c r="F160" i="18"/>
  <c r="C160" i="18"/>
  <c r="C159" i="18"/>
  <c r="L156" i="18"/>
  <c r="K156" i="18"/>
  <c r="J156" i="18"/>
  <c r="I156" i="18"/>
  <c r="H156" i="18"/>
  <c r="G156" i="18"/>
  <c r="F156" i="18"/>
  <c r="E156" i="18"/>
  <c r="H155" i="18"/>
  <c r="I155" i="18" s="1"/>
  <c r="J155" i="18" s="1"/>
  <c r="K155" i="18" s="1"/>
  <c r="L155" i="18" s="1"/>
  <c r="G150" i="18"/>
  <c r="L147" i="18"/>
  <c r="K147" i="18"/>
  <c r="J147" i="18"/>
  <c r="I147" i="18"/>
  <c r="H147" i="18"/>
  <c r="G146" i="18"/>
  <c r="F146" i="18"/>
  <c r="H145" i="18"/>
  <c r="I145" i="18" s="1"/>
  <c r="J145" i="18" s="1"/>
  <c r="K145" i="18" s="1"/>
  <c r="L145" i="18" s="1"/>
  <c r="G142" i="18"/>
  <c r="F142" i="18"/>
  <c r="E142" i="18"/>
  <c r="F140" i="18"/>
  <c r="C140" i="18"/>
  <c r="C139" i="18"/>
  <c r="G135" i="18"/>
  <c r="F135" i="18"/>
  <c r="E135" i="18"/>
  <c r="H132" i="18"/>
  <c r="H126" i="18"/>
  <c r="F123" i="18"/>
  <c r="C123" i="18"/>
  <c r="C122" i="18"/>
  <c r="G119" i="18"/>
  <c r="F119" i="18"/>
  <c r="H118" i="18"/>
  <c r="I118" i="18" s="1"/>
  <c r="H117" i="18"/>
  <c r="I117" i="18" s="1"/>
  <c r="H115" i="18"/>
  <c r="G112" i="18"/>
  <c r="F112" i="18"/>
  <c r="H109" i="18"/>
  <c r="G106" i="18"/>
  <c r="F106" i="18"/>
  <c r="E106" i="18"/>
  <c r="G104" i="18"/>
  <c r="G105" i="18" s="1"/>
  <c r="H105" i="18" s="1"/>
  <c r="F104" i="18"/>
  <c r="F105" i="18" s="1"/>
  <c r="E104" i="18"/>
  <c r="E105" i="18" s="1"/>
  <c r="G101" i="18"/>
  <c r="H101" i="18" s="1"/>
  <c r="F101" i="18"/>
  <c r="E101" i="18"/>
  <c r="G99" i="18"/>
  <c r="F99" i="18"/>
  <c r="H96" i="18"/>
  <c r="F94" i="18"/>
  <c r="C94" i="18"/>
  <c r="C93" i="18"/>
  <c r="H87" i="18"/>
  <c r="H86" i="18"/>
  <c r="H169" i="18" s="1"/>
  <c r="J81" i="18"/>
  <c r="J82" i="18" s="1"/>
  <c r="I81" i="18"/>
  <c r="I82" i="18" s="1"/>
  <c r="H81" i="18"/>
  <c r="H82" i="18" s="1"/>
  <c r="C70" i="18"/>
  <c r="C69" i="18"/>
  <c r="G64" i="18"/>
  <c r="F64" i="18"/>
  <c r="H63" i="18"/>
  <c r="I63" i="18" s="1"/>
  <c r="J63" i="18" s="1"/>
  <c r="K63" i="18" s="1"/>
  <c r="L63" i="18" s="1"/>
  <c r="E62" i="18"/>
  <c r="G59" i="18"/>
  <c r="H58" i="18"/>
  <c r="H57" i="18"/>
  <c r="F57" i="18"/>
  <c r="F150" i="18" s="1"/>
  <c r="E57" i="18"/>
  <c r="H55" i="18"/>
  <c r="I55" i="18" s="1"/>
  <c r="J55" i="18" s="1"/>
  <c r="F55" i="18"/>
  <c r="F59" i="18" s="1"/>
  <c r="E55" i="18"/>
  <c r="E59" i="18" s="1"/>
  <c r="H54" i="18"/>
  <c r="I54" i="18" s="1"/>
  <c r="J54" i="18" s="1"/>
  <c r="G51" i="18"/>
  <c r="G66" i="18" s="1"/>
  <c r="H50" i="18"/>
  <c r="H48" i="18"/>
  <c r="I48" i="18" s="1"/>
  <c r="J48" i="18" s="1"/>
  <c r="F48" i="18"/>
  <c r="E48" i="18"/>
  <c r="H46" i="18"/>
  <c r="F45" i="18"/>
  <c r="F51" i="18" s="1"/>
  <c r="F66" i="18" s="1"/>
  <c r="E45" i="18"/>
  <c r="E51" i="18" s="1"/>
  <c r="F44" i="18"/>
  <c r="C44" i="18"/>
  <c r="C43" i="18"/>
  <c r="H39" i="18"/>
  <c r="I39" i="18" s="1"/>
  <c r="J39" i="18" s="1"/>
  <c r="K39" i="18" s="1"/>
  <c r="L39" i="18" s="1"/>
  <c r="G39" i="18"/>
  <c r="F39" i="18"/>
  <c r="E39" i="18"/>
  <c r="D39" i="18"/>
  <c r="G38" i="18"/>
  <c r="H38" i="18" s="1"/>
  <c r="F38" i="18"/>
  <c r="E38" i="18"/>
  <c r="D38" i="18"/>
  <c r="J36" i="18"/>
  <c r="K36" i="18" s="1"/>
  <c r="G36" i="18"/>
  <c r="F36" i="18"/>
  <c r="E36" i="18"/>
  <c r="I32" i="18"/>
  <c r="H32" i="18"/>
  <c r="H25" i="18"/>
  <c r="I25" i="18" s="1"/>
  <c r="J25" i="18" s="1"/>
  <c r="K25" i="18" s="1"/>
  <c r="L25" i="18" s="1"/>
  <c r="L23" i="18"/>
  <c r="K23" i="18"/>
  <c r="J23" i="18"/>
  <c r="I23" i="18"/>
  <c r="H23" i="18"/>
  <c r="G19" i="18"/>
  <c r="F19" i="18"/>
  <c r="E19" i="18"/>
  <c r="D19" i="18"/>
  <c r="H17" i="18"/>
  <c r="G15" i="18"/>
  <c r="E15" i="18"/>
  <c r="D15" i="18"/>
  <c r="G14" i="18"/>
  <c r="F14" i="18"/>
  <c r="C2" i="18"/>
  <c r="H281" i="17"/>
  <c r="I281" i="17" s="1"/>
  <c r="J281" i="17" s="1"/>
  <c r="K281" i="17" s="1"/>
  <c r="G279" i="17"/>
  <c r="F270" i="17"/>
  <c r="E270" i="17"/>
  <c r="D270" i="17"/>
  <c r="C270" i="17"/>
  <c r="F269" i="17"/>
  <c r="E269" i="17"/>
  <c r="D269" i="17"/>
  <c r="C269" i="17"/>
  <c r="I266" i="17"/>
  <c r="H266" i="17"/>
  <c r="G266" i="17"/>
  <c r="K265" i="17"/>
  <c r="J265" i="17"/>
  <c r="J266" i="17" s="1"/>
  <c r="J264" i="17"/>
  <c r="I264" i="17"/>
  <c r="H264" i="17"/>
  <c r="G264" i="17"/>
  <c r="I262" i="17"/>
  <c r="H262" i="17"/>
  <c r="G262" i="17"/>
  <c r="J261" i="17"/>
  <c r="I260" i="17"/>
  <c r="H260" i="17"/>
  <c r="G260" i="17"/>
  <c r="I258" i="17"/>
  <c r="H258" i="17"/>
  <c r="G258" i="17"/>
  <c r="J257" i="17"/>
  <c r="J256" i="17"/>
  <c r="I256" i="17"/>
  <c r="H256" i="17"/>
  <c r="G256" i="17"/>
  <c r="K254" i="17"/>
  <c r="J254" i="17"/>
  <c r="I254" i="17"/>
  <c r="H254" i="17"/>
  <c r="G254" i="17"/>
  <c r="K252" i="17"/>
  <c r="J252" i="17"/>
  <c r="I252" i="17"/>
  <c r="H252" i="17"/>
  <c r="G252" i="17"/>
  <c r="K250" i="17"/>
  <c r="J250" i="17"/>
  <c r="I250" i="17"/>
  <c r="H250" i="17"/>
  <c r="G250" i="17"/>
  <c r="K248" i="17"/>
  <c r="J248" i="17"/>
  <c r="I248" i="17"/>
  <c r="H248" i="17"/>
  <c r="G248" i="17"/>
  <c r="K245" i="17"/>
  <c r="K40" i="17" s="1"/>
  <c r="J245" i="17"/>
  <c r="J40" i="17" s="1"/>
  <c r="I245" i="17"/>
  <c r="I40" i="17" s="1"/>
  <c r="H245" i="17"/>
  <c r="H40" i="17" s="1"/>
  <c r="G245" i="17"/>
  <c r="G40" i="17" s="1"/>
  <c r="F245" i="17"/>
  <c r="J244" i="17"/>
  <c r="J39" i="17" s="1"/>
  <c r="I244" i="17"/>
  <c r="I39" i="17" s="1"/>
  <c r="H244" i="17"/>
  <c r="H39" i="17" s="1"/>
  <c r="G244" i="17"/>
  <c r="G39" i="17" s="1"/>
  <c r="F244" i="17"/>
  <c r="J243" i="17"/>
  <c r="J38" i="17" s="1"/>
  <c r="I243" i="17"/>
  <c r="I38" i="17" s="1"/>
  <c r="H243" i="17"/>
  <c r="H38" i="17" s="1"/>
  <c r="G243" i="17"/>
  <c r="G38" i="17" s="1"/>
  <c r="F243" i="17"/>
  <c r="K242" i="17"/>
  <c r="J242" i="17"/>
  <c r="I242" i="17"/>
  <c r="H242" i="17"/>
  <c r="G242" i="17"/>
  <c r="F242" i="17"/>
  <c r="K241" i="17"/>
  <c r="J241" i="17"/>
  <c r="I241" i="17"/>
  <c r="H241" i="17"/>
  <c r="G241" i="17"/>
  <c r="F241" i="17"/>
  <c r="D239" i="17"/>
  <c r="F223" i="17"/>
  <c r="E223" i="17"/>
  <c r="D223" i="17"/>
  <c r="G222" i="17"/>
  <c r="F213" i="17"/>
  <c r="G214" i="17" s="1"/>
  <c r="E213" i="17"/>
  <c r="G212" i="17"/>
  <c r="H212" i="17" s="1"/>
  <c r="I212" i="17" s="1"/>
  <c r="J212" i="17" s="1"/>
  <c r="K212" i="17" s="1"/>
  <c r="F209" i="17"/>
  <c r="E209" i="17"/>
  <c r="D209" i="17"/>
  <c r="C207" i="17"/>
  <c r="C206" i="17"/>
  <c r="F202" i="17"/>
  <c r="E202" i="17"/>
  <c r="D202" i="17"/>
  <c r="G199" i="17"/>
  <c r="C190" i="17"/>
  <c r="C189" i="17"/>
  <c r="F184" i="17"/>
  <c r="D184" i="17"/>
  <c r="G183" i="17"/>
  <c r="H183" i="17" s="1"/>
  <c r="G180" i="17"/>
  <c r="F177" i="17"/>
  <c r="E177" i="17"/>
  <c r="G174" i="17"/>
  <c r="F171" i="17"/>
  <c r="E171" i="17"/>
  <c r="D171" i="17"/>
  <c r="F169" i="17"/>
  <c r="F170" i="17" s="1"/>
  <c r="G170" i="17" s="1"/>
  <c r="E169" i="17"/>
  <c r="E170" i="17" s="1"/>
  <c r="D169" i="17"/>
  <c r="D170" i="17" s="1"/>
  <c r="D157" i="17"/>
  <c r="F148" i="17"/>
  <c r="E148" i="17"/>
  <c r="D148" i="17"/>
  <c r="F146" i="17"/>
  <c r="F154" i="17" s="1"/>
  <c r="F155" i="17" s="1"/>
  <c r="E146" i="17"/>
  <c r="E154" i="17" s="1"/>
  <c r="E155" i="17" s="1"/>
  <c r="G143" i="17"/>
  <c r="C141" i="17"/>
  <c r="C140" i="17"/>
  <c r="G135" i="17"/>
  <c r="H135" i="17" s="1"/>
  <c r="I135" i="17" s="1"/>
  <c r="J135" i="17" s="1"/>
  <c r="K135" i="17" s="1"/>
  <c r="F126" i="17"/>
  <c r="F123" i="17"/>
  <c r="F121" i="17"/>
  <c r="F122" i="17" s="1"/>
  <c r="F124" i="17" s="1"/>
  <c r="F127" i="17" s="1"/>
  <c r="F113" i="17"/>
  <c r="E113" i="17"/>
  <c r="G111" i="17"/>
  <c r="F101" i="17"/>
  <c r="E101" i="17"/>
  <c r="F103" i="17" s="1"/>
  <c r="F108" i="17" s="1"/>
  <c r="G99" i="17"/>
  <c r="C96" i="17"/>
  <c r="C95" i="17"/>
  <c r="G88" i="17"/>
  <c r="I83" i="17"/>
  <c r="I84" i="17" s="1"/>
  <c r="H83" i="17"/>
  <c r="H84" i="17" s="1"/>
  <c r="G83" i="17"/>
  <c r="G84" i="17" s="1"/>
  <c r="C72" i="17"/>
  <c r="C71" i="17"/>
  <c r="F66" i="17"/>
  <c r="G65" i="17"/>
  <c r="H65" i="17" s="1"/>
  <c r="I65" i="17" s="1"/>
  <c r="J65" i="17" s="1"/>
  <c r="K65" i="17" s="1"/>
  <c r="E64" i="17"/>
  <c r="F59" i="17"/>
  <c r="E59" i="17"/>
  <c r="E217" i="17" s="1"/>
  <c r="F57" i="17"/>
  <c r="E57" i="17"/>
  <c r="F49" i="17"/>
  <c r="E49" i="17"/>
  <c r="F46" i="17"/>
  <c r="E46" i="17"/>
  <c r="C45" i="17"/>
  <c r="C44" i="17"/>
  <c r="J41" i="17"/>
  <c r="K41" i="17" s="1"/>
  <c r="F40" i="17"/>
  <c r="E40" i="17"/>
  <c r="D40" i="17"/>
  <c r="F39" i="17"/>
  <c r="E39" i="17"/>
  <c r="D39" i="17"/>
  <c r="F37" i="17"/>
  <c r="E37" i="17"/>
  <c r="G26" i="17"/>
  <c r="H26" i="17" s="1"/>
  <c r="I26" i="17" s="1"/>
  <c r="J26" i="17" s="1"/>
  <c r="K26" i="17" s="1"/>
  <c r="F20" i="17"/>
  <c r="E20" i="17"/>
  <c r="D20" i="17"/>
  <c r="F16" i="17"/>
  <c r="E16" i="17"/>
  <c r="D16" i="17"/>
  <c r="F15" i="17"/>
  <c r="E15" i="17"/>
  <c r="D15" i="17"/>
  <c r="C2" i="17"/>
  <c r="H281" i="16"/>
  <c r="I281" i="16" s="1"/>
  <c r="J281" i="16" s="1"/>
  <c r="K281" i="16" s="1"/>
  <c r="C270" i="16"/>
  <c r="C269" i="16"/>
  <c r="I266" i="16"/>
  <c r="H266" i="16"/>
  <c r="G266" i="16"/>
  <c r="J265" i="16"/>
  <c r="J264" i="16"/>
  <c r="I264" i="16"/>
  <c r="H264" i="16"/>
  <c r="G264" i="16"/>
  <c r="I262" i="16"/>
  <c r="H262" i="16"/>
  <c r="G262" i="16"/>
  <c r="J261" i="16"/>
  <c r="J260" i="16"/>
  <c r="I260" i="16"/>
  <c r="H260" i="16"/>
  <c r="G260" i="16"/>
  <c r="I258" i="16"/>
  <c r="H258" i="16"/>
  <c r="G258" i="16"/>
  <c r="J257" i="16"/>
  <c r="J256" i="16"/>
  <c r="I256" i="16"/>
  <c r="H256" i="16"/>
  <c r="G256" i="16"/>
  <c r="K254" i="16"/>
  <c r="J254" i="16"/>
  <c r="I254" i="16"/>
  <c r="H254" i="16"/>
  <c r="G254" i="16"/>
  <c r="K252" i="16"/>
  <c r="J252" i="16"/>
  <c r="I252" i="16"/>
  <c r="H252" i="16"/>
  <c r="G252" i="16"/>
  <c r="K250" i="16"/>
  <c r="J250" i="16"/>
  <c r="I250" i="16"/>
  <c r="H250" i="16"/>
  <c r="G250" i="16"/>
  <c r="K248" i="16"/>
  <c r="J248" i="16"/>
  <c r="I248" i="16"/>
  <c r="H248" i="16"/>
  <c r="G248" i="16"/>
  <c r="D239" i="16"/>
  <c r="F223" i="16"/>
  <c r="E223" i="16"/>
  <c r="D223" i="16"/>
  <c r="G222" i="16"/>
  <c r="F213" i="16"/>
  <c r="G214" i="16" s="1"/>
  <c r="E213" i="16"/>
  <c r="G212" i="16"/>
  <c r="H212" i="16" s="1"/>
  <c r="I212" i="16" s="1"/>
  <c r="J212" i="16" s="1"/>
  <c r="K212" i="16" s="1"/>
  <c r="F209" i="16"/>
  <c r="E209" i="16"/>
  <c r="D209" i="16"/>
  <c r="C207" i="16"/>
  <c r="C206" i="16"/>
  <c r="F202" i="16"/>
  <c r="E202" i="16"/>
  <c r="D202" i="16"/>
  <c r="G199" i="16"/>
  <c r="C190" i="16"/>
  <c r="C189" i="16"/>
  <c r="F184" i="16"/>
  <c r="D184" i="16"/>
  <c r="G183" i="16"/>
  <c r="G180" i="16"/>
  <c r="F177" i="16"/>
  <c r="E177" i="16"/>
  <c r="G174" i="16"/>
  <c r="F171" i="16"/>
  <c r="E171" i="16"/>
  <c r="D171" i="16"/>
  <c r="F169" i="16"/>
  <c r="F170" i="16" s="1"/>
  <c r="G170" i="16" s="1"/>
  <c r="E169" i="16"/>
  <c r="E170" i="16" s="1"/>
  <c r="D169" i="16"/>
  <c r="D170" i="16" s="1"/>
  <c r="D157" i="16"/>
  <c r="I148" i="16"/>
  <c r="H148" i="16"/>
  <c r="G148" i="16"/>
  <c r="F148" i="16"/>
  <c r="E148" i="16"/>
  <c r="D148" i="16"/>
  <c r="F146" i="16"/>
  <c r="E146" i="16"/>
  <c r="G143" i="16"/>
  <c r="G146" i="16" s="1"/>
  <c r="C141" i="16"/>
  <c r="C140" i="16"/>
  <c r="G135" i="16"/>
  <c r="H135" i="16" s="1"/>
  <c r="I135" i="16" s="1"/>
  <c r="J135" i="16" s="1"/>
  <c r="K135" i="16" s="1"/>
  <c r="F113" i="16"/>
  <c r="E113" i="16"/>
  <c r="F101" i="16"/>
  <c r="E101" i="16"/>
  <c r="F103" i="16" s="1"/>
  <c r="F108" i="16" s="1"/>
  <c r="C96" i="16"/>
  <c r="C95" i="16"/>
  <c r="G88" i="16"/>
  <c r="I83" i="16"/>
  <c r="I84" i="16" s="1"/>
  <c r="H83" i="16"/>
  <c r="H84" i="16" s="1"/>
  <c r="G83" i="16"/>
  <c r="G84" i="16" s="1"/>
  <c r="C72" i="16"/>
  <c r="C71" i="16"/>
  <c r="F66" i="16"/>
  <c r="G65" i="16"/>
  <c r="H65" i="16" s="1"/>
  <c r="I65" i="16" s="1"/>
  <c r="J65" i="16" s="1"/>
  <c r="K65" i="16" s="1"/>
  <c r="E64" i="16"/>
  <c r="F59" i="16"/>
  <c r="E59" i="16"/>
  <c r="E217" i="16" s="1"/>
  <c r="F57" i="16"/>
  <c r="E57" i="16"/>
  <c r="F49" i="16"/>
  <c r="E49" i="16"/>
  <c r="F46" i="16"/>
  <c r="E46" i="16"/>
  <c r="C45" i="16"/>
  <c r="C44" i="16"/>
  <c r="J41" i="16"/>
  <c r="K41" i="16" s="1"/>
  <c r="F40" i="16"/>
  <c r="E40" i="16"/>
  <c r="D40" i="16"/>
  <c r="F39" i="16"/>
  <c r="E39" i="16"/>
  <c r="D39" i="16"/>
  <c r="F37" i="16"/>
  <c r="E37" i="16"/>
  <c r="G26" i="16"/>
  <c r="H26" i="16" s="1"/>
  <c r="I26" i="16" s="1"/>
  <c r="J26" i="16" s="1"/>
  <c r="K26" i="16" s="1"/>
  <c r="F20" i="16"/>
  <c r="E20" i="16"/>
  <c r="D20" i="16"/>
  <c r="F16" i="16"/>
  <c r="E16" i="16"/>
  <c r="D16" i="16"/>
  <c r="F15" i="16"/>
  <c r="E15" i="16"/>
  <c r="D15" i="16"/>
  <c r="AI13" i="16"/>
  <c r="C2" i="16"/>
  <c r="H215" i="15"/>
  <c r="I215" i="15" s="1"/>
  <c r="J215" i="15" s="1"/>
  <c r="K215" i="15" s="1"/>
  <c r="G213" i="15"/>
  <c r="C204" i="15"/>
  <c r="C203" i="15"/>
  <c r="I200" i="15"/>
  <c r="H200" i="15"/>
  <c r="G200" i="15"/>
  <c r="J199" i="15"/>
  <c r="J198" i="15"/>
  <c r="I198" i="15"/>
  <c r="H198" i="15"/>
  <c r="G198" i="15"/>
  <c r="I196" i="15"/>
  <c r="H196" i="15"/>
  <c r="G196" i="15"/>
  <c r="J195" i="15"/>
  <c r="J194" i="15"/>
  <c r="I194" i="15"/>
  <c r="H194" i="15"/>
  <c r="G194" i="15"/>
  <c r="I192" i="15"/>
  <c r="H192" i="15"/>
  <c r="G192" i="15"/>
  <c r="J191" i="15"/>
  <c r="J190" i="15"/>
  <c r="I190" i="15"/>
  <c r="H190" i="15"/>
  <c r="G190" i="15"/>
  <c r="K188" i="15"/>
  <c r="J188" i="15"/>
  <c r="I188" i="15"/>
  <c r="H188" i="15"/>
  <c r="G188" i="15"/>
  <c r="K186" i="15"/>
  <c r="J186" i="15"/>
  <c r="I186" i="15"/>
  <c r="H186" i="15"/>
  <c r="G186" i="15"/>
  <c r="K184" i="15"/>
  <c r="J184" i="15"/>
  <c r="I184" i="15"/>
  <c r="H184" i="15"/>
  <c r="G184" i="15"/>
  <c r="K182" i="15"/>
  <c r="J182" i="15"/>
  <c r="I182" i="15"/>
  <c r="H182" i="15"/>
  <c r="G182" i="15"/>
  <c r="D173" i="15"/>
  <c r="F157" i="15"/>
  <c r="E157" i="15"/>
  <c r="D157" i="15"/>
  <c r="G156" i="15"/>
  <c r="F147" i="15"/>
  <c r="G148" i="15" s="1"/>
  <c r="E147" i="15"/>
  <c r="G146" i="15"/>
  <c r="H146" i="15" s="1"/>
  <c r="I146" i="15" s="1"/>
  <c r="J146" i="15" s="1"/>
  <c r="K146" i="15" s="1"/>
  <c r="F143" i="15"/>
  <c r="E143" i="15"/>
  <c r="D143" i="15"/>
  <c r="C141" i="15"/>
  <c r="C140" i="15"/>
  <c r="F136" i="15"/>
  <c r="E136" i="15"/>
  <c r="D136" i="15"/>
  <c r="G133" i="15"/>
  <c r="C124" i="15"/>
  <c r="C123" i="15"/>
  <c r="F120" i="15"/>
  <c r="D120" i="15"/>
  <c r="G119" i="15"/>
  <c r="H119" i="15" s="1"/>
  <c r="G118" i="15"/>
  <c r="H118" i="15" s="1"/>
  <c r="G116" i="15"/>
  <c r="F113" i="15"/>
  <c r="E113" i="15"/>
  <c r="G110" i="15"/>
  <c r="F107" i="15"/>
  <c r="E107" i="15"/>
  <c r="D107" i="15"/>
  <c r="F105" i="15"/>
  <c r="F106" i="15" s="1"/>
  <c r="G106" i="15" s="1"/>
  <c r="E105" i="15"/>
  <c r="E106" i="15" s="1"/>
  <c r="D105" i="15"/>
  <c r="D106" i="15" s="1"/>
  <c r="F102" i="15"/>
  <c r="G102" i="15" s="1"/>
  <c r="E102" i="15"/>
  <c r="D102" i="15"/>
  <c r="F100" i="15"/>
  <c r="E100" i="15"/>
  <c r="G97" i="15"/>
  <c r="C95" i="15"/>
  <c r="C94" i="15"/>
  <c r="G88" i="15"/>
  <c r="G87" i="15"/>
  <c r="I82" i="15"/>
  <c r="I83" i="15" s="1"/>
  <c r="H82" i="15"/>
  <c r="H83" i="15" s="1"/>
  <c r="G82" i="15"/>
  <c r="G83" i="15" s="1"/>
  <c r="C71" i="15"/>
  <c r="C70" i="15"/>
  <c r="F65" i="15"/>
  <c r="G64" i="15"/>
  <c r="H64" i="15" s="1"/>
  <c r="I64" i="15" s="1"/>
  <c r="J64" i="15" s="1"/>
  <c r="K64" i="15" s="1"/>
  <c r="E63" i="15"/>
  <c r="F58" i="15"/>
  <c r="E58" i="15"/>
  <c r="E151" i="15" s="1"/>
  <c r="F56" i="15"/>
  <c r="E56" i="15"/>
  <c r="E60" i="15" s="1"/>
  <c r="F49" i="15"/>
  <c r="E49" i="15"/>
  <c r="F46" i="15"/>
  <c r="E46" i="15"/>
  <c r="E52" i="15" s="1"/>
  <c r="C45" i="15"/>
  <c r="C44" i="15"/>
  <c r="J41" i="15"/>
  <c r="K41" i="15" s="1"/>
  <c r="F40" i="15"/>
  <c r="E40" i="15"/>
  <c r="D40" i="15"/>
  <c r="F39" i="15"/>
  <c r="E39" i="15"/>
  <c r="D39" i="15"/>
  <c r="F37" i="15"/>
  <c r="E37" i="15"/>
  <c r="G26" i="15"/>
  <c r="H26" i="15" s="1"/>
  <c r="I26" i="15" s="1"/>
  <c r="J26" i="15" s="1"/>
  <c r="K26" i="15" s="1"/>
  <c r="F20" i="15"/>
  <c r="E20" i="15"/>
  <c r="D20" i="15"/>
  <c r="F16" i="15"/>
  <c r="E16" i="15"/>
  <c r="D16" i="15"/>
  <c r="F15" i="15"/>
  <c r="E15" i="15"/>
  <c r="D15" i="15"/>
  <c r="C2" i="15"/>
  <c r="H41" i="14"/>
  <c r="I41" i="14" s="1"/>
  <c r="G41" i="14"/>
  <c r="F41" i="14"/>
  <c r="E41" i="14"/>
  <c r="H40" i="14"/>
  <c r="I40" i="14" s="1"/>
  <c r="G40" i="14"/>
  <c r="F40" i="14"/>
  <c r="E40" i="14"/>
  <c r="F39" i="14"/>
  <c r="E39" i="14"/>
  <c r="F38" i="14"/>
  <c r="E38" i="14"/>
  <c r="F37" i="14"/>
  <c r="E37" i="14"/>
  <c r="K34" i="14"/>
  <c r="J34" i="14"/>
  <c r="I34" i="14"/>
  <c r="H34" i="14"/>
  <c r="K33" i="14"/>
  <c r="J33" i="14"/>
  <c r="I33" i="14"/>
  <c r="H33" i="14"/>
  <c r="K29" i="14"/>
  <c r="J29" i="14"/>
  <c r="I29" i="14"/>
  <c r="H29" i="14"/>
  <c r="G29" i="14"/>
  <c r="F29" i="14"/>
  <c r="E29" i="14"/>
  <c r="K28" i="14"/>
  <c r="J28" i="14"/>
  <c r="I28" i="14"/>
  <c r="H28" i="14"/>
  <c r="G28" i="14"/>
  <c r="F28" i="14"/>
  <c r="E28" i="14"/>
  <c r="F27" i="14"/>
  <c r="E27" i="14"/>
  <c r="F24" i="14"/>
  <c r="E24" i="14"/>
  <c r="E34" i="14" s="1"/>
  <c r="D24" i="14"/>
  <c r="F23" i="14"/>
  <c r="E23" i="14"/>
  <c r="E33" i="14" s="1"/>
  <c r="D23" i="14"/>
  <c r="F22" i="14"/>
  <c r="F32" i="14" s="1"/>
  <c r="E22" i="14"/>
  <c r="E32" i="14" s="1"/>
  <c r="D22" i="14"/>
  <c r="F13" i="14"/>
  <c r="F14" i="14" s="1"/>
  <c r="E13" i="14"/>
  <c r="E14" i="14" s="1"/>
  <c r="D13" i="14"/>
  <c r="K9" i="14"/>
  <c r="K39" i="14" s="1"/>
  <c r="J9" i="14"/>
  <c r="J39" i="14" s="1"/>
  <c r="I9" i="14"/>
  <c r="I39" i="14" s="1"/>
  <c r="H9" i="14"/>
  <c r="H39" i="14" s="1"/>
  <c r="G9" i="14"/>
  <c r="G39" i="14" s="1"/>
  <c r="K8" i="14"/>
  <c r="K38" i="14" s="1"/>
  <c r="J8" i="14"/>
  <c r="J38" i="14" s="1"/>
  <c r="I8" i="14"/>
  <c r="I38" i="14" s="1"/>
  <c r="H8" i="14"/>
  <c r="H38" i="14" s="1"/>
  <c r="G8" i="14"/>
  <c r="G38" i="14" s="1"/>
  <c r="F4" i="14"/>
  <c r="E4" i="14"/>
  <c r="D4" i="14"/>
  <c r="C4" i="14"/>
  <c r="F3" i="14"/>
  <c r="E3" i="14"/>
  <c r="D3" i="14"/>
  <c r="C3" i="14"/>
  <c r="H41" i="13"/>
  <c r="I41" i="13" s="1"/>
  <c r="G41" i="13"/>
  <c r="F41" i="13"/>
  <c r="E41" i="13"/>
  <c r="H40" i="13"/>
  <c r="I40" i="13" s="1"/>
  <c r="G40" i="13"/>
  <c r="F40" i="13"/>
  <c r="E40" i="13"/>
  <c r="F39" i="13"/>
  <c r="E39" i="13"/>
  <c r="F38" i="13"/>
  <c r="E38" i="13"/>
  <c r="F37" i="13"/>
  <c r="E37" i="13"/>
  <c r="K34" i="13"/>
  <c r="J34" i="13"/>
  <c r="I34" i="13"/>
  <c r="H34" i="13"/>
  <c r="K33" i="13"/>
  <c r="J33" i="13"/>
  <c r="I33" i="13"/>
  <c r="H33" i="13"/>
  <c r="K32" i="13"/>
  <c r="J32" i="13"/>
  <c r="I32" i="13"/>
  <c r="H32" i="13"/>
  <c r="K29" i="13"/>
  <c r="J29" i="13"/>
  <c r="I29" i="13"/>
  <c r="H29" i="13"/>
  <c r="G29" i="13"/>
  <c r="F29" i="13"/>
  <c r="E29" i="13"/>
  <c r="K28" i="13"/>
  <c r="J28" i="13"/>
  <c r="I28" i="13"/>
  <c r="H28" i="13"/>
  <c r="G28" i="13"/>
  <c r="F28" i="13"/>
  <c r="E28" i="13"/>
  <c r="K27" i="13"/>
  <c r="J27" i="13"/>
  <c r="I27" i="13"/>
  <c r="H27" i="13"/>
  <c r="G27" i="13"/>
  <c r="F27" i="13"/>
  <c r="E27" i="13"/>
  <c r="F24" i="13"/>
  <c r="E24" i="13"/>
  <c r="E34" i="13" s="1"/>
  <c r="D24" i="13"/>
  <c r="F23" i="13"/>
  <c r="E23" i="13"/>
  <c r="E33" i="13" s="1"/>
  <c r="D23" i="13"/>
  <c r="F22" i="13"/>
  <c r="E22" i="13"/>
  <c r="E32" i="13" s="1"/>
  <c r="D22" i="13"/>
  <c r="F13" i="13"/>
  <c r="F14" i="13" s="1"/>
  <c r="E13" i="13"/>
  <c r="E14" i="13" s="1"/>
  <c r="D13" i="13"/>
  <c r="K9" i="13"/>
  <c r="K39" i="13" s="1"/>
  <c r="J9" i="13"/>
  <c r="J39" i="13" s="1"/>
  <c r="I9" i="13"/>
  <c r="I39" i="13" s="1"/>
  <c r="H9" i="13"/>
  <c r="H39" i="13" s="1"/>
  <c r="G9" i="13"/>
  <c r="G39" i="13" s="1"/>
  <c r="K8" i="13"/>
  <c r="K38" i="13" s="1"/>
  <c r="J8" i="13"/>
  <c r="J38" i="13" s="1"/>
  <c r="I8" i="13"/>
  <c r="I38" i="13" s="1"/>
  <c r="H8" i="13"/>
  <c r="H38" i="13" s="1"/>
  <c r="G8" i="13"/>
  <c r="G38" i="13" s="1"/>
  <c r="K7" i="13"/>
  <c r="J7" i="13"/>
  <c r="I7" i="13"/>
  <c r="H7" i="13"/>
  <c r="G7" i="13"/>
  <c r="F4" i="13"/>
  <c r="E4" i="13"/>
  <c r="D4" i="13"/>
  <c r="C4" i="13"/>
  <c r="F3" i="13"/>
  <c r="E3" i="13"/>
  <c r="D3" i="13"/>
  <c r="C3" i="13"/>
  <c r="F4" i="12"/>
  <c r="E4" i="12"/>
  <c r="D4" i="12"/>
  <c r="C4" i="12"/>
  <c r="F3" i="12"/>
  <c r="E3" i="12"/>
  <c r="D3" i="12"/>
  <c r="C3" i="12"/>
  <c r="G213" i="11"/>
  <c r="H210" i="11"/>
  <c r="I210" i="11" s="1"/>
  <c r="J210" i="11" s="1"/>
  <c r="K210" i="11" s="1"/>
  <c r="F199" i="11"/>
  <c r="E199" i="11"/>
  <c r="D199" i="11"/>
  <c r="C199" i="11"/>
  <c r="F198" i="11"/>
  <c r="E198" i="11"/>
  <c r="D198" i="11"/>
  <c r="C198" i="11"/>
  <c r="I195" i="11"/>
  <c r="H195" i="11"/>
  <c r="G195" i="11"/>
  <c r="J194" i="11"/>
  <c r="J193" i="11"/>
  <c r="I193" i="11"/>
  <c r="H193" i="11"/>
  <c r="G193" i="11"/>
  <c r="I191" i="11"/>
  <c r="H191" i="11"/>
  <c r="G191" i="11"/>
  <c r="J190" i="11"/>
  <c r="J189" i="11"/>
  <c r="I189" i="11"/>
  <c r="H189" i="11"/>
  <c r="G189" i="11"/>
  <c r="I187" i="11"/>
  <c r="H187" i="11"/>
  <c r="G187" i="11"/>
  <c r="J186" i="11"/>
  <c r="J185" i="11"/>
  <c r="I185" i="11"/>
  <c r="H185" i="11"/>
  <c r="G185" i="11"/>
  <c r="I183" i="11"/>
  <c r="H183" i="11"/>
  <c r="G183" i="11"/>
  <c r="J182" i="11"/>
  <c r="J181" i="11"/>
  <c r="I181" i="11"/>
  <c r="H181" i="11"/>
  <c r="G181" i="11"/>
  <c r="J178" i="11"/>
  <c r="J40" i="11" s="1"/>
  <c r="I178" i="11"/>
  <c r="I40" i="11" s="1"/>
  <c r="H178" i="11"/>
  <c r="H40" i="11" s="1"/>
  <c r="G178" i="11"/>
  <c r="G40" i="11" s="1"/>
  <c r="F178" i="11"/>
  <c r="J177" i="11"/>
  <c r="J39" i="11" s="1"/>
  <c r="I177" i="11"/>
  <c r="I39" i="11" s="1"/>
  <c r="H177" i="11"/>
  <c r="H39" i="11" s="1"/>
  <c r="G177" i="11"/>
  <c r="G39" i="11" s="1"/>
  <c r="F177" i="11"/>
  <c r="J176" i="11"/>
  <c r="J38" i="11" s="1"/>
  <c r="I176" i="11"/>
  <c r="I38" i="11" s="1"/>
  <c r="H176" i="11"/>
  <c r="H38" i="11" s="1"/>
  <c r="G176" i="11"/>
  <c r="G38" i="11" s="1"/>
  <c r="F176" i="11"/>
  <c r="J175" i="11"/>
  <c r="J37" i="11" s="1"/>
  <c r="J98" i="11" s="1"/>
  <c r="I175" i="11"/>
  <c r="I37" i="11" s="1"/>
  <c r="H175" i="11"/>
  <c r="H37" i="11" s="1"/>
  <c r="G175" i="11"/>
  <c r="G37" i="11" s="1"/>
  <c r="F175" i="11"/>
  <c r="D173" i="11"/>
  <c r="F157" i="11"/>
  <c r="E157" i="11"/>
  <c r="D157" i="11"/>
  <c r="G156" i="11"/>
  <c r="H156" i="11" s="1"/>
  <c r="I156" i="11" s="1"/>
  <c r="J156" i="11" s="1"/>
  <c r="K156" i="11" s="1"/>
  <c r="F147" i="11"/>
  <c r="E147" i="11"/>
  <c r="G146" i="11"/>
  <c r="H146" i="11" s="1"/>
  <c r="I146" i="11" s="1"/>
  <c r="J146" i="11" s="1"/>
  <c r="K146" i="11" s="1"/>
  <c r="F143" i="11"/>
  <c r="E143" i="11"/>
  <c r="D143" i="11"/>
  <c r="F141" i="11"/>
  <c r="E141" i="11"/>
  <c r="D141" i="11"/>
  <c r="C141" i="11"/>
  <c r="F140" i="11"/>
  <c r="E140" i="11"/>
  <c r="D140" i="11"/>
  <c r="C140" i="11"/>
  <c r="F136" i="11"/>
  <c r="E136" i="11"/>
  <c r="D136" i="11"/>
  <c r="G133" i="11"/>
  <c r="F124" i="11"/>
  <c r="E124" i="11"/>
  <c r="D124" i="11"/>
  <c r="C124" i="11"/>
  <c r="F123" i="11"/>
  <c r="E123" i="11"/>
  <c r="D123" i="11"/>
  <c r="C123" i="11"/>
  <c r="F120" i="11"/>
  <c r="D120" i="11"/>
  <c r="G119" i="11"/>
  <c r="G118" i="11"/>
  <c r="H118" i="11" s="1"/>
  <c r="G116" i="11"/>
  <c r="F113" i="11"/>
  <c r="E113" i="11"/>
  <c r="G110" i="11"/>
  <c r="F107" i="11"/>
  <c r="E107" i="11"/>
  <c r="D107" i="11"/>
  <c r="F105" i="11"/>
  <c r="F106" i="11" s="1"/>
  <c r="G106" i="11" s="1"/>
  <c r="E105" i="11"/>
  <c r="E106" i="11" s="1"/>
  <c r="D105" i="11"/>
  <c r="D106" i="11" s="1"/>
  <c r="F102" i="11"/>
  <c r="G102" i="11" s="1"/>
  <c r="E102" i="11"/>
  <c r="D102" i="11"/>
  <c r="F100" i="11"/>
  <c r="E100" i="11"/>
  <c r="G97" i="11"/>
  <c r="F95" i="11"/>
  <c r="E95" i="11"/>
  <c r="D95" i="11"/>
  <c r="C95" i="11"/>
  <c r="F94" i="11"/>
  <c r="E94" i="11"/>
  <c r="D94" i="11"/>
  <c r="C94" i="11"/>
  <c r="G88" i="11"/>
  <c r="G87" i="11"/>
  <c r="I82" i="11"/>
  <c r="I83" i="11" s="1"/>
  <c r="H82" i="11"/>
  <c r="H83" i="11" s="1"/>
  <c r="G82" i="11"/>
  <c r="G83" i="11" s="1"/>
  <c r="C71" i="11"/>
  <c r="C70" i="11"/>
  <c r="F65" i="11"/>
  <c r="G64" i="11"/>
  <c r="H64" i="11" s="1"/>
  <c r="I64" i="11" s="1"/>
  <c r="J64" i="11" s="1"/>
  <c r="K64" i="11" s="1"/>
  <c r="E63" i="11"/>
  <c r="F58" i="11"/>
  <c r="E58" i="11"/>
  <c r="E151" i="11" s="1"/>
  <c r="F56" i="11"/>
  <c r="E56" i="11"/>
  <c r="E60" i="11" s="1"/>
  <c r="F49" i="11"/>
  <c r="E49" i="11"/>
  <c r="F46" i="11"/>
  <c r="E46" i="11"/>
  <c r="E52" i="11" s="1"/>
  <c r="F45" i="11"/>
  <c r="E45" i="11"/>
  <c r="C45" i="11"/>
  <c r="F44" i="11"/>
  <c r="E44" i="11"/>
  <c r="C44" i="11"/>
  <c r="J41" i="11"/>
  <c r="F40" i="11"/>
  <c r="E40" i="11"/>
  <c r="D40" i="11"/>
  <c r="F39" i="11"/>
  <c r="E39" i="11"/>
  <c r="D39" i="11"/>
  <c r="F38" i="11"/>
  <c r="E38" i="11"/>
  <c r="D38" i="11"/>
  <c r="F37" i="11"/>
  <c r="E37" i="11"/>
  <c r="G26" i="11"/>
  <c r="H26" i="11" s="1"/>
  <c r="I26" i="11" s="1"/>
  <c r="J26" i="11" s="1"/>
  <c r="K26" i="11" s="1"/>
  <c r="F20" i="11"/>
  <c r="F23" i="11" s="1"/>
  <c r="E20" i="11"/>
  <c r="E23" i="11" s="1"/>
  <c r="D20" i="11"/>
  <c r="D23" i="11" s="1"/>
  <c r="F16" i="11"/>
  <c r="G16" i="11" s="1"/>
  <c r="E16" i="11"/>
  <c r="D16" i="11"/>
  <c r="F15" i="11"/>
  <c r="G15" i="11" s="1"/>
  <c r="E15" i="11"/>
  <c r="D15" i="11"/>
  <c r="C2" i="11"/>
  <c r="C199" i="10"/>
  <c r="C198" i="10"/>
  <c r="I195" i="10"/>
  <c r="H195" i="10"/>
  <c r="G195" i="10"/>
  <c r="J194" i="10"/>
  <c r="J193" i="10"/>
  <c r="I193" i="10"/>
  <c r="H193" i="10"/>
  <c r="G193" i="10"/>
  <c r="I191" i="10"/>
  <c r="H191" i="10"/>
  <c r="G191" i="10"/>
  <c r="J190" i="10"/>
  <c r="J189" i="10"/>
  <c r="I189" i="10"/>
  <c r="H189" i="10"/>
  <c r="G189" i="10"/>
  <c r="I187" i="10"/>
  <c r="H187" i="10"/>
  <c r="G187" i="10"/>
  <c r="J186" i="10"/>
  <c r="J185" i="10"/>
  <c r="I185" i="10"/>
  <c r="H185" i="10"/>
  <c r="G185" i="10"/>
  <c r="I183" i="10"/>
  <c r="H183" i="10"/>
  <c r="G183" i="10"/>
  <c r="J182" i="10"/>
  <c r="J181" i="10"/>
  <c r="I181" i="10"/>
  <c r="H181" i="10"/>
  <c r="G181" i="10"/>
  <c r="D173" i="10"/>
  <c r="F157" i="10"/>
  <c r="E157" i="10"/>
  <c r="D157" i="10"/>
  <c r="G156" i="10"/>
  <c r="H156" i="10" s="1"/>
  <c r="I156" i="10" s="1"/>
  <c r="J156" i="10" s="1"/>
  <c r="K156" i="10" s="1"/>
  <c r="F147" i="10"/>
  <c r="E147" i="10"/>
  <c r="G146" i="10"/>
  <c r="H146" i="10" s="1"/>
  <c r="I146" i="10" s="1"/>
  <c r="J146" i="10" s="1"/>
  <c r="K146" i="10" s="1"/>
  <c r="F143" i="10"/>
  <c r="E143" i="10"/>
  <c r="D143" i="10"/>
  <c r="C141" i="10"/>
  <c r="C140" i="10"/>
  <c r="F136" i="10"/>
  <c r="E136" i="10"/>
  <c r="D136" i="10"/>
  <c r="G133" i="10"/>
  <c r="C124" i="10"/>
  <c r="C123" i="10"/>
  <c r="F120" i="10"/>
  <c r="D120" i="10"/>
  <c r="G119" i="10"/>
  <c r="H119" i="10" s="1"/>
  <c r="G118" i="10"/>
  <c r="H118" i="10" s="1"/>
  <c r="G116" i="10"/>
  <c r="F113" i="10"/>
  <c r="E113" i="10"/>
  <c r="G110" i="10"/>
  <c r="F107" i="10"/>
  <c r="E107" i="10"/>
  <c r="D107" i="10"/>
  <c r="F105" i="10"/>
  <c r="F106" i="10" s="1"/>
  <c r="G106" i="10" s="1"/>
  <c r="E105" i="10"/>
  <c r="E106" i="10" s="1"/>
  <c r="D105" i="10"/>
  <c r="D106" i="10" s="1"/>
  <c r="F102" i="10"/>
  <c r="G102" i="10" s="1"/>
  <c r="E102" i="10"/>
  <c r="D102" i="10"/>
  <c r="F100" i="10"/>
  <c r="E100" i="10"/>
  <c r="G97" i="10"/>
  <c r="C95" i="10"/>
  <c r="C94" i="10"/>
  <c r="G88" i="10"/>
  <c r="G87" i="10"/>
  <c r="I82" i="10"/>
  <c r="I83" i="10" s="1"/>
  <c r="H82" i="10"/>
  <c r="H83" i="10" s="1"/>
  <c r="G82" i="10"/>
  <c r="G83" i="10" s="1"/>
  <c r="C71" i="10"/>
  <c r="C70" i="10"/>
  <c r="F65" i="10"/>
  <c r="G64" i="10"/>
  <c r="H64" i="10" s="1"/>
  <c r="I64" i="10" s="1"/>
  <c r="J64" i="10" s="1"/>
  <c r="K64" i="10" s="1"/>
  <c r="E63" i="10"/>
  <c r="G59" i="10"/>
  <c r="F58" i="10"/>
  <c r="E58" i="10"/>
  <c r="E151" i="10" s="1"/>
  <c r="F56" i="10"/>
  <c r="E56" i="10"/>
  <c r="E60" i="10" s="1"/>
  <c r="G55" i="10"/>
  <c r="H55" i="10" s="1"/>
  <c r="I55" i="10" s="1"/>
  <c r="J55" i="10" s="1"/>
  <c r="G51" i="10"/>
  <c r="F49" i="10"/>
  <c r="G49" i="10" s="1"/>
  <c r="H49" i="10" s="1"/>
  <c r="I49" i="10" s="1"/>
  <c r="J49" i="10" s="1"/>
  <c r="E49" i="10"/>
  <c r="G47" i="10"/>
  <c r="F46" i="10"/>
  <c r="E46" i="10"/>
  <c r="E52" i="10" s="1"/>
  <c r="C45" i="10"/>
  <c r="C44" i="10"/>
  <c r="J41" i="10"/>
  <c r="K41" i="10" s="1"/>
  <c r="J40" i="10"/>
  <c r="K40" i="10" s="1"/>
  <c r="F40" i="10"/>
  <c r="E40" i="10"/>
  <c r="D40" i="10"/>
  <c r="J39" i="10"/>
  <c r="K39" i="10" s="1"/>
  <c r="F39" i="10"/>
  <c r="E39" i="10"/>
  <c r="D39" i="10"/>
  <c r="J38" i="10"/>
  <c r="K38" i="10" s="1"/>
  <c r="J37" i="10"/>
  <c r="F37" i="10"/>
  <c r="E37" i="10"/>
  <c r="G33" i="10"/>
  <c r="G26" i="10"/>
  <c r="H26" i="10" s="1"/>
  <c r="I26" i="10" s="1"/>
  <c r="J26" i="10" s="1"/>
  <c r="K26" i="10" s="1"/>
  <c r="F20" i="10"/>
  <c r="E20" i="10"/>
  <c r="D20" i="10"/>
  <c r="G18" i="10"/>
  <c r="F16" i="10"/>
  <c r="E16" i="10"/>
  <c r="D16" i="10"/>
  <c r="F15" i="10"/>
  <c r="E15" i="10"/>
  <c r="D15" i="10"/>
  <c r="C2" i="10"/>
  <c r="F156" i="9"/>
  <c r="E156" i="9"/>
  <c r="D156" i="9"/>
  <c r="G155" i="9"/>
  <c r="H155" i="9" s="1"/>
  <c r="I155" i="9" s="1"/>
  <c r="J155" i="9" s="1"/>
  <c r="K155" i="9" s="1"/>
  <c r="F146" i="9"/>
  <c r="E146" i="9"/>
  <c r="G145" i="9"/>
  <c r="H145" i="9" s="1"/>
  <c r="I145" i="9" s="1"/>
  <c r="J145" i="9" s="1"/>
  <c r="K145" i="9" s="1"/>
  <c r="F142" i="9"/>
  <c r="E142" i="9"/>
  <c r="D142" i="9"/>
  <c r="C140" i="9"/>
  <c r="C139" i="9"/>
  <c r="F135" i="9"/>
  <c r="E135" i="9"/>
  <c r="D135" i="9"/>
  <c r="G132" i="9"/>
  <c r="C123" i="9"/>
  <c r="C122" i="9"/>
  <c r="F119" i="9"/>
  <c r="D119" i="9"/>
  <c r="G118" i="9"/>
  <c r="H118" i="9" s="1"/>
  <c r="G117" i="9"/>
  <c r="H117" i="9" s="1"/>
  <c r="G115" i="9"/>
  <c r="F112" i="9"/>
  <c r="E112" i="9"/>
  <c r="G109" i="9"/>
  <c r="F106" i="9"/>
  <c r="E106" i="9"/>
  <c r="D106" i="9"/>
  <c r="F104" i="9"/>
  <c r="F105" i="9" s="1"/>
  <c r="G105" i="9" s="1"/>
  <c r="E104" i="9"/>
  <c r="E105" i="9" s="1"/>
  <c r="D104" i="9"/>
  <c r="D105" i="9" s="1"/>
  <c r="F101" i="9"/>
  <c r="G101" i="9" s="1"/>
  <c r="E101" i="9"/>
  <c r="D101" i="9"/>
  <c r="F99" i="9"/>
  <c r="E99" i="9"/>
  <c r="G96" i="9"/>
  <c r="C94" i="9"/>
  <c r="C93" i="9"/>
  <c r="G87" i="9"/>
  <c r="G86" i="9"/>
  <c r="I81" i="9"/>
  <c r="I82" i="9" s="1"/>
  <c r="H81" i="9"/>
  <c r="H82" i="9" s="1"/>
  <c r="G81" i="9"/>
  <c r="G82" i="9" s="1"/>
  <c r="C70" i="9"/>
  <c r="C69" i="9"/>
  <c r="F64" i="9"/>
  <c r="G63" i="9"/>
  <c r="H63" i="9" s="1"/>
  <c r="I63" i="9" s="1"/>
  <c r="J63" i="9" s="1"/>
  <c r="K63" i="9" s="1"/>
  <c r="E62" i="9"/>
  <c r="G58" i="9"/>
  <c r="F57" i="9"/>
  <c r="E57" i="9"/>
  <c r="E150" i="9" s="1"/>
  <c r="F55" i="9"/>
  <c r="E55" i="9"/>
  <c r="E59" i="9" s="1"/>
  <c r="G54" i="9"/>
  <c r="H54" i="9" s="1"/>
  <c r="I54" i="9" s="1"/>
  <c r="J54" i="9" s="1"/>
  <c r="G50" i="9"/>
  <c r="F48" i="9"/>
  <c r="E48" i="9"/>
  <c r="G46" i="9"/>
  <c r="F45" i="9"/>
  <c r="E45" i="9"/>
  <c r="E51" i="9" s="1"/>
  <c r="C44" i="9"/>
  <c r="C43" i="9"/>
  <c r="J40" i="9"/>
  <c r="K40" i="9" s="1"/>
  <c r="J39" i="9"/>
  <c r="K39" i="9" s="1"/>
  <c r="F39" i="9"/>
  <c r="E39" i="9"/>
  <c r="D39" i="9"/>
  <c r="J38" i="9"/>
  <c r="K38" i="9" s="1"/>
  <c r="F38" i="9"/>
  <c r="E38" i="9"/>
  <c r="D38" i="9"/>
  <c r="J37" i="9"/>
  <c r="K37" i="9" s="1"/>
  <c r="J36" i="9"/>
  <c r="F36" i="9"/>
  <c r="E36" i="9"/>
  <c r="G32" i="9"/>
  <c r="G25" i="9"/>
  <c r="H25" i="9" s="1"/>
  <c r="I25" i="9" s="1"/>
  <c r="J25" i="9" s="1"/>
  <c r="K25" i="9" s="1"/>
  <c r="F19" i="9"/>
  <c r="E19" i="9"/>
  <c r="D19" i="9"/>
  <c r="G17" i="9"/>
  <c r="G15" i="9"/>
  <c r="F15" i="9"/>
  <c r="F14" i="9"/>
  <c r="C2" i="9"/>
  <c r="F156" i="8"/>
  <c r="E156" i="8"/>
  <c r="D156" i="8"/>
  <c r="G155" i="8"/>
  <c r="H155" i="8" s="1"/>
  <c r="I155" i="8" s="1"/>
  <c r="J155" i="8" s="1"/>
  <c r="K155" i="8" s="1"/>
  <c r="F150" i="8"/>
  <c r="E150" i="8"/>
  <c r="E147" i="8"/>
  <c r="F146" i="8"/>
  <c r="E146" i="8"/>
  <c r="F147" i="8" s="1"/>
  <c r="G145" i="8"/>
  <c r="H145" i="8" s="1"/>
  <c r="I145" i="8" s="1"/>
  <c r="J145" i="8" s="1"/>
  <c r="K145" i="8" s="1"/>
  <c r="F142" i="8"/>
  <c r="F152" i="8" s="1"/>
  <c r="F151" i="8" s="1"/>
  <c r="G151" i="8" s="1"/>
  <c r="E142" i="8"/>
  <c r="E152" i="8" s="1"/>
  <c r="E151" i="8" s="1"/>
  <c r="D142" i="8"/>
  <c r="F140" i="8"/>
  <c r="E140" i="8"/>
  <c r="D140" i="8"/>
  <c r="C140" i="8"/>
  <c r="F139" i="8"/>
  <c r="E139" i="8"/>
  <c r="D139" i="8"/>
  <c r="C139" i="8"/>
  <c r="F135" i="8"/>
  <c r="E135" i="8"/>
  <c r="D135" i="8"/>
  <c r="G132" i="8"/>
  <c r="G126" i="8"/>
  <c r="F123" i="8"/>
  <c r="E123" i="8"/>
  <c r="D123" i="8"/>
  <c r="C123" i="8"/>
  <c r="F122" i="8"/>
  <c r="E122" i="8"/>
  <c r="D122" i="8"/>
  <c r="C122" i="8"/>
  <c r="F119" i="8"/>
  <c r="E119" i="8"/>
  <c r="D119" i="8"/>
  <c r="G118" i="8"/>
  <c r="H118" i="8" s="1"/>
  <c r="G117" i="8"/>
  <c r="H117" i="8" s="1"/>
  <c r="G115" i="8"/>
  <c r="G112" i="8"/>
  <c r="F112" i="8"/>
  <c r="E112" i="8"/>
  <c r="H109" i="8"/>
  <c r="G109" i="8"/>
  <c r="F106" i="8"/>
  <c r="E106" i="8"/>
  <c r="D106" i="8"/>
  <c r="F104" i="8"/>
  <c r="F105" i="8" s="1"/>
  <c r="G105" i="8" s="1"/>
  <c r="E104" i="8"/>
  <c r="E105" i="8" s="1"/>
  <c r="D104" i="8"/>
  <c r="D105" i="8" s="1"/>
  <c r="F101" i="8"/>
  <c r="G101" i="8" s="1"/>
  <c r="E101" i="8"/>
  <c r="D101" i="8"/>
  <c r="F99" i="8"/>
  <c r="E99" i="8"/>
  <c r="J97" i="8"/>
  <c r="G96" i="8"/>
  <c r="F94" i="8"/>
  <c r="E94" i="8"/>
  <c r="D94" i="8"/>
  <c r="C94" i="8"/>
  <c r="F93" i="8"/>
  <c r="E93" i="8"/>
  <c r="D93" i="8"/>
  <c r="C93" i="8"/>
  <c r="G87" i="8"/>
  <c r="G86" i="8"/>
  <c r="J81" i="8"/>
  <c r="J82" i="8" s="1"/>
  <c r="I81" i="8"/>
  <c r="I82" i="8" s="1"/>
  <c r="H81" i="8"/>
  <c r="H82" i="8" s="1"/>
  <c r="G81" i="8"/>
  <c r="G82" i="8" s="1"/>
  <c r="G78" i="8"/>
  <c r="G77" i="8"/>
  <c r="C70" i="8"/>
  <c r="C69" i="8"/>
  <c r="F64" i="8"/>
  <c r="G63" i="8"/>
  <c r="H63" i="8" s="1"/>
  <c r="I63" i="8" s="1"/>
  <c r="J63" i="8" s="1"/>
  <c r="K63" i="8" s="1"/>
  <c r="E62" i="8"/>
  <c r="E64" i="8" s="1"/>
  <c r="G61" i="8"/>
  <c r="G58" i="8"/>
  <c r="H58" i="8" s="1"/>
  <c r="F57" i="8"/>
  <c r="G57" i="8" s="1"/>
  <c r="E57" i="8"/>
  <c r="F55" i="8"/>
  <c r="E55" i="8"/>
  <c r="E59" i="8" s="1"/>
  <c r="G54" i="8"/>
  <c r="H54" i="8" s="1"/>
  <c r="I54" i="8" s="1"/>
  <c r="J54" i="8" s="1"/>
  <c r="G50" i="8"/>
  <c r="H50" i="8" s="1"/>
  <c r="F48" i="8"/>
  <c r="G48" i="8" s="1"/>
  <c r="H48" i="8" s="1"/>
  <c r="I48" i="8" s="1"/>
  <c r="J48" i="8" s="1"/>
  <c r="E48" i="8"/>
  <c r="G46" i="8"/>
  <c r="F45" i="8"/>
  <c r="F51" i="8" s="1"/>
  <c r="E45" i="8"/>
  <c r="E51" i="8" s="1"/>
  <c r="E66" i="8" s="1"/>
  <c r="C44" i="8"/>
  <c r="C43" i="8"/>
  <c r="J40" i="8"/>
  <c r="K40" i="8" s="1"/>
  <c r="J39" i="8"/>
  <c r="K39" i="8" s="1"/>
  <c r="F39" i="8"/>
  <c r="E39" i="8"/>
  <c r="D39" i="8"/>
  <c r="J38" i="8"/>
  <c r="K38" i="8" s="1"/>
  <c r="F38" i="8"/>
  <c r="E38" i="8"/>
  <c r="D38" i="8"/>
  <c r="J37" i="8"/>
  <c r="K37" i="8" s="1"/>
  <c r="J36" i="8"/>
  <c r="K36" i="8" s="1"/>
  <c r="F36" i="8"/>
  <c r="E36" i="8"/>
  <c r="G32" i="8"/>
  <c r="G25" i="8"/>
  <c r="H25" i="8" s="1"/>
  <c r="I25" i="8" s="1"/>
  <c r="J25" i="8" s="1"/>
  <c r="K25" i="8" s="1"/>
  <c r="F19" i="8"/>
  <c r="E19" i="8"/>
  <c r="D19" i="8"/>
  <c r="G17" i="8"/>
  <c r="F15" i="8"/>
  <c r="E15" i="8"/>
  <c r="E44" i="8" s="1"/>
  <c r="D15" i="8"/>
  <c r="F14" i="8"/>
  <c r="E14" i="8"/>
  <c r="E43" i="8" s="1"/>
  <c r="D14" i="8"/>
  <c r="C2" i="8"/>
  <c r="F156" i="7"/>
  <c r="E156" i="7"/>
  <c r="D156" i="7"/>
  <c r="G155" i="7"/>
  <c r="H155" i="7" s="1"/>
  <c r="I155" i="7" s="1"/>
  <c r="J155" i="7" s="1"/>
  <c r="K155" i="7" s="1"/>
  <c r="G151" i="7"/>
  <c r="F146" i="7"/>
  <c r="E146" i="7"/>
  <c r="G145" i="7"/>
  <c r="H145" i="7" s="1"/>
  <c r="I145" i="7" s="1"/>
  <c r="J145" i="7" s="1"/>
  <c r="K145" i="7" s="1"/>
  <c r="F142" i="7"/>
  <c r="E142" i="7"/>
  <c r="D142" i="7"/>
  <c r="C140" i="7"/>
  <c r="C139" i="7"/>
  <c r="F135" i="7"/>
  <c r="E135" i="7"/>
  <c r="D135" i="7"/>
  <c r="G132" i="7"/>
  <c r="C123" i="7"/>
  <c r="C122" i="7"/>
  <c r="F119" i="7"/>
  <c r="E119" i="7"/>
  <c r="D119" i="7"/>
  <c r="G118" i="7"/>
  <c r="H118" i="7" s="1"/>
  <c r="G117" i="7"/>
  <c r="H117" i="7" s="1"/>
  <c r="G115" i="7"/>
  <c r="F112" i="7"/>
  <c r="E112" i="7"/>
  <c r="G109" i="7"/>
  <c r="F106" i="7"/>
  <c r="E106" i="7"/>
  <c r="D106" i="7"/>
  <c r="F104" i="7"/>
  <c r="F105" i="7" s="1"/>
  <c r="G105" i="7" s="1"/>
  <c r="E104" i="7"/>
  <c r="E105" i="7" s="1"/>
  <c r="D104" i="7"/>
  <c r="D105" i="7" s="1"/>
  <c r="F101" i="7"/>
  <c r="G101" i="7" s="1"/>
  <c r="E101" i="7"/>
  <c r="D101" i="7"/>
  <c r="F99" i="7"/>
  <c r="E99" i="7"/>
  <c r="G97" i="7"/>
  <c r="H97" i="7" s="1"/>
  <c r="G96" i="7"/>
  <c r="C94" i="7"/>
  <c r="C93" i="7"/>
  <c r="G87" i="7"/>
  <c r="G86" i="7"/>
  <c r="G81" i="7"/>
  <c r="G82" i="7" s="1"/>
  <c r="C70" i="7"/>
  <c r="C69" i="7"/>
  <c r="F64" i="7"/>
  <c r="E64" i="7"/>
  <c r="G63" i="7"/>
  <c r="H63" i="7" s="1"/>
  <c r="I63" i="7" s="1"/>
  <c r="J63" i="7" s="1"/>
  <c r="K63" i="7" s="1"/>
  <c r="G58" i="7"/>
  <c r="F57" i="7"/>
  <c r="E57" i="7"/>
  <c r="G55" i="7"/>
  <c r="H55" i="7" s="1"/>
  <c r="I55" i="7" s="1"/>
  <c r="J55" i="7" s="1"/>
  <c r="G54" i="7"/>
  <c r="H54" i="7" s="1"/>
  <c r="I54" i="7" s="1"/>
  <c r="J54" i="7" s="1"/>
  <c r="K54" i="7" s="1"/>
  <c r="G50" i="7"/>
  <c r="F48" i="7"/>
  <c r="G48" i="7" s="1"/>
  <c r="H48" i="7" s="1"/>
  <c r="I48" i="7" s="1"/>
  <c r="J48" i="7" s="1"/>
  <c r="E48" i="7"/>
  <c r="G46" i="7"/>
  <c r="F45" i="7"/>
  <c r="E45" i="7"/>
  <c r="E51" i="7" s="1"/>
  <c r="C44" i="7"/>
  <c r="C43" i="7"/>
  <c r="F39" i="7"/>
  <c r="G39" i="7" s="1"/>
  <c r="H39" i="7" s="1"/>
  <c r="I39" i="7" s="1"/>
  <c r="J39" i="7" s="1"/>
  <c r="K39" i="7" s="1"/>
  <c r="E39" i="7"/>
  <c r="D39" i="7"/>
  <c r="F38" i="7"/>
  <c r="G38" i="7" s="1"/>
  <c r="E38" i="7"/>
  <c r="D38" i="7"/>
  <c r="J36" i="7"/>
  <c r="K36" i="7" s="1"/>
  <c r="F36" i="7"/>
  <c r="E36" i="7"/>
  <c r="G32" i="7"/>
  <c r="G25" i="7"/>
  <c r="H25" i="7" s="1"/>
  <c r="I25" i="7" s="1"/>
  <c r="J25" i="7" s="1"/>
  <c r="K25" i="7" s="1"/>
  <c r="F19" i="7"/>
  <c r="E19" i="7"/>
  <c r="D19" i="7"/>
  <c r="G17" i="7"/>
  <c r="F15" i="7"/>
  <c r="E15" i="7"/>
  <c r="D15" i="7"/>
  <c r="F14" i="7"/>
  <c r="E14" i="7"/>
  <c r="D14" i="7"/>
  <c r="C2" i="7"/>
  <c r="F156" i="6"/>
  <c r="E156" i="6"/>
  <c r="D156" i="6"/>
  <c r="G155" i="6"/>
  <c r="H155" i="6" s="1"/>
  <c r="I155" i="6" s="1"/>
  <c r="J155" i="6" s="1"/>
  <c r="K155" i="6" s="1"/>
  <c r="F146" i="6"/>
  <c r="E146" i="6"/>
  <c r="G145" i="6"/>
  <c r="H145" i="6" s="1"/>
  <c r="I145" i="6" s="1"/>
  <c r="J145" i="6" s="1"/>
  <c r="K145" i="6" s="1"/>
  <c r="F142" i="6"/>
  <c r="E142" i="6"/>
  <c r="D142" i="6"/>
  <c r="C140" i="6"/>
  <c r="C139" i="6"/>
  <c r="F135" i="6"/>
  <c r="E135" i="6"/>
  <c r="D135" i="6"/>
  <c r="G132" i="6"/>
  <c r="C123" i="6"/>
  <c r="C122" i="6"/>
  <c r="F119" i="6"/>
  <c r="D119" i="6"/>
  <c r="G118" i="6"/>
  <c r="H118" i="6" s="1"/>
  <c r="G117" i="6"/>
  <c r="H117" i="6" s="1"/>
  <c r="G115" i="6"/>
  <c r="F112" i="6"/>
  <c r="E112" i="6"/>
  <c r="G109" i="6"/>
  <c r="F106" i="6"/>
  <c r="E106" i="6"/>
  <c r="D106" i="6"/>
  <c r="F104" i="6"/>
  <c r="F105" i="6" s="1"/>
  <c r="G105" i="6" s="1"/>
  <c r="E104" i="6"/>
  <c r="E105" i="6" s="1"/>
  <c r="D104" i="6"/>
  <c r="D105" i="6" s="1"/>
  <c r="F101" i="6"/>
  <c r="G101" i="6" s="1"/>
  <c r="E101" i="6"/>
  <c r="D101" i="6"/>
  <c r="F99" i="6"/>
  <c r="E99" i="6"/>
  <c r="G96" i="6"/>
  <c r="C94" i="6"/>
  <c r="C93" i="6"/>
  <c r="G87" i="6"/>
  <c r="G86" i="6"/>
  <c r="I81" i="6"/>
  <c r="I82" i="6" s="1"/>
  <c r="H81" i="6"/>
  <c r="H82" i="6" s="1"/>
  <c r="G81" i="6"/>
  <c r="G82" i="6" s="1"/>
  <c r="C70" i="6"/>
  <c r="C69" i="6"/>
  <c r="F64" i="6"/>
  <c r="G63" i="6"/>
  <c r="H63" i="6" s="1"/>
  <c r="I63" i="6" s="1"/>
  <c r="J63" i="6" s="1"/>
  <c r="K63" i="6" s="1"/>
  <c r="E62" i="6"/>
  <c r="G58" i="6"/>
  <c r="F57" i="6"/>
  <c r="E57" i="6"/>
  <c r="E150" i="6" s="1"/>
  <c r="F55" i="6"/>
  <c r="E55" i="6"/>
  <c r="E59" i="6" s="1"/>
  <c r="G54" i="6"/>
  <c r="H54" i="6" s="1"/>
  <c r="I54" i="6" s="1"/>
  <c r="J54" i="6" s="1"/>
  <c r="H50" i="6"/>
  <c r="G50" i="6"/>
  <c r="G112" i="6" s="1"/>
  <c r="F48" i="6"/>
  <c r="G48" i="6" s="1"/>
  <c r="H48" i="6" s="1"/>
  <c r="I48" i="6" s="1"/>
  <c r="J48" i="6" s="1"/>
  <c r="E48" i="6"/>
  <c r="G46" i="6"/>
  <c r="F45" i="6"/>
  <c r="E45" i="6"/>
  <c r="E51" i="6" s="1"/>
  <c r="C44" i="6"/>
  <c r="C43" i="6"/>
  <c r="J40" i="6"/>
  <c r="K40" i="6" s="1"/>
  <c r="J39" i="6"/>
  <c r="K39" i="6" s="1"/>
  <c r="F39" i="6"/>
  <c r="E39" i="6"/>
  <c r="D39" i="6"/>
  <c r="J38" i="6"/>
  <c r="K38" i="6" s="1"/>
  <c r="F38" i="6"/>
  <c r="E38" i="6"/>
  <c r="D38" i="6"/>
  <c r="J37" i="6"/>
  <c r="K37" i="6" s="1"/>
  <c r="J36" i="6"/>
  <c r="F36" i="6"/>
  <c r="E36" i="6"/>
  <c r="G32" i="6"/>
  <c r="G25" i="6"/>
  <c r="H25" i="6" s="1"/>
  <c r="I25" i="6" s="1"/>
  <c r="J25" i="6" s="1"/>
  <c r="K25" i="6" s="1"/>
  <c r="F19" i="6"/>
  <c r="E19" i="6"/>
  <c r="D19" i="6"/>
  <c r="G17" i="6"/>
  <c r="G15" i="6"/>
  <c r="F15" i="6"/>
  <c r="E15" i="6"/>
  <c r="F14" i="6"/>
  <c r="E14" i="6"/>
  <c r="C2" i="6"/>
  <c r="F156" i="5"/>
  <c r="E156" i="5"/>
  <c r="D156" i="5"/>
  <c r="H155" i="5"/>
  <c r="G155" i="5"/>
  <c r="F150" i="5"/>
  <c r="E150" i="5"/>
  <c r="F146" i="5"/>
  <c r="F147" i="5" s="1"/>
  <c r="E146" i="5"/>
  <c r="E147" i="5" s="1"/>
  <c r="G145" i="5"/>
  <c r="F142" i="5"/>
  <c r="F152" i="5" s="1"/>
  <c r="F151" i="5" s="1"/>
  <c r="G151" i="5" s="1"/>
  <c r="E142" i="5"/>
  <c r="E152" i="5" s="1"/>
  <c r="E151" i="5" s="1"/>
  <c r="D142" i="5"/>
  <c r="F140" i="5"/>
  <c r="E140" i="5"/>
  <c r="D140" i="5"/>
  <c r="C140" i="5"/>
  <c r="C139" i="5"/>
  <c r="F135" i="5"/>
  <c r="E135" i="5"/>
  <c r="D135" i="5"/>
  <c r="G132" i="5"/>
  <c r="G126" i="5"/>
  <c r="F123" i="5"/>
  <c r="E123" i="5"/>
  <c r="D123" i="5"/>
  <c r="C123" i="5"/>
  <c r="C122" i="5"/>
  <c r="F119" i="5"/>
  <c r="E119" i="5"/>
  <c r="D119" i="5"/>
  <c r="G118" i="5"/>
  <c r="G117" i="5"/>
  <c r="G115" i="5"/>
  <c r="G112" i="5"/>
  <c r="F112" i="5"/>
  <c r="E112" i="5"/>
  <c r="H109" i="5"/>
  <c r="G109" i="5"/>
  <c r="F106" i="5"/>
  <c r="F104" i="5" s="1"/>
  <c r="F105" i="5" s="1"/>
  <c r="G105" i="5" s="1"/>
  <c r="E106" i="5"/>
  <c r="E104" i="5" s="1"/>
  <c r="E105" i="5" s="1"/>
  <c r="D106" i="5"/>
  <c r="D104" i="5" s="1"/>
  <c r="D105" i="5" s="1"/>
  <c r="F101" i="5"/>
  <c r="G101" i="5" s="1"/>
  <c r="E101" i="5"/>
  <c r="D101" i="5"/>
  <c r="F99" i="5"/>
  <c r="E99" i="5"/>
  <c r="G96" i="5"/>
  <c r="C94" i="5"/>
  <c r="C93" i="5"/>
  <c r="I81" i="5"/>
  <c r="I82" i="5" s="1"/>
  <c r="H81" i="5"/>
  <c r="H82" i="5" s="1"/>
  <c r="G81" i="5"/>
  <c r="G82" i="5" s="1"/>
  <c r="C70" i="5"/>
  <c r="C69" i="5"/>
  <c r="F64" i="5"/>
  <c r="E64" i="5"/>
  <c r="G63" i="5"/>
  <c r="H63" i="5" s="1"/>
  <c r="I63" i="5" s="1"/>
  <c r="J63" i="5" s="1"/>
  <c r="K63" i="5" s="1"/>
  <c r="G58" i="5"/>
  <c r="F57" i="5"/>
  <c r="G57" i="5" s="1"/>
  <c r="E57" i="5"/>
  <c r="F55" i="5"/>
  <c r="E55" i="5"/>
  <c r="E59" i="5" s="1"/>
  <c r="G54" i="5"/>
  <c r="H54" i="5" s="1"/>
  <c r="I54" i="5" s="1"/>
  <c r="J54" i="5" s="1"/>
  <c r="G50" i="5"/>
  <c r="H50" i="5" s="1"/>
  <c r="F48" i="5"/>
  <c r="G48" i="5" s="1"/>
  <c r="H48" i="5" s="1"/>
  <c r="I48" i="5" s="1"/>
  <c r="J48" i="5" s="1"/>
  <c r="E48" i="5"/>
  <c r="G46" i="5"/>
  <c r="F45" i="5"/>
  <c r="F51" i="5" s="1"/>
  <c r="E45" i="5"/>
  <c r="E51" i="5" s="1"/>
  <c r="E66" i="5" s="1"/>
  <c r="C44" i="5"/>
  <c r="C43" i="5"/>
  <c r="J40" i="5"/>
  <c r="K40" i="5" s="1"/>
  <c r="J39" i="5"/>
  <c r="K39" i="5" s="1"/>
  <c r="F39" i="5"/>
  <c r="E39" i="5"/>
  <c r="D39" i="5"/>
  <c r="J38" i="5"/>
  <c r="K38" i="5" s="1"/>
  <c r="F38" i="5"/>
  <c r="E38" i="5"/>
  <c r="D38" i="5"/>
  <c r="J37" i="5"/>
  <c r="K37" i="5" s="1"/>
  <c r="J36" i="5"/>
  <c r="F36" i="5"/>
  <c r="E36" i="5"/>
  <c r="G32" i="5"/>
  <c r="G25" i="5"/>
  <c r="H25" i="5" s="1"/>
  <c r="I25" i="5" s="1"/>
  <c r="J25" i="5" s="1"/>
  <c r="K25" i="5" s="1"/>
  <c r="F19" i="5"/>
  <c r="E19" i="5"/>
  <c r="D19" i="5"/>
  <c r="G17" i="5"/>
  <c r="F15" i="5"/>
  <c r="E15" i="5"/>
  <c r="D15" i="5"/>
  <c r="D94" i="5" s="1"/>
  <c r="F14" i="5"/>
  <c r="C2" i="5"/>
  <c r="F119" i="4"/>
  <c r="E119" i="4"/>
  <c r="D119" i="4"/>
  <c r="H118" i="4"/>
  <c r="I118" i="4" s="1"/>
  <c r="G118" i="4"/>
  <c r="G117" i="4"/>
  <c r="H117" i="4" s="1"/>
  <c r="G115" i="4"/>
  <c r="F112" i="4"/>
  <c r="E112" i="4"/>
  <c r="G109" i="4"/>
  <c r="F106" i="4"/>
  <c r="E106" i="4"/>
  <c r="D106" i="4"/>
  <c r="F104" i="4"/>
  <c r="F105" i="4" s="1"/>
  <c r="G105" i="4" s="1"/>
  <c r="E104" i="4"/>
  <c r="E105" i="4" s="1"/>
  <c r="D104" i="4"/>
  <c r="D105" i="4" s="1"/>
  <c r="F101" i="4"/>
  <c r="G101" i="4" s="1"/>
  <c r="E101" i="4"/>
  <c r="D101" i="4"/>
  <c r="F99" i="4"/>
  <c r="E99" i="4"/>
  <c r="G96" i="4"/>
  <c r="C94" i="4"/>
  <c r="C93" i="4"/>
  <c r="G87" i="4"/>
  <c r="H86" i="4"/>
  <c r="G86" i="4"/>
  <c r="I81" i="4"/>
  <c r="I82" i="4" s="1"/>
  <c r="H81" i="4"/>
  <c r="H82" i="4" s="1"/>
  <c r="G81" i="4"/>
  <c r="G82" i="4" s="1"/>
  <c r="C70" i="4"/>
  <c r="C69" i="4"/>
  <c r="F64" i="4"/>
  <c r="E64" i="4"/>
  <c r="G63" i="4"/>
  <c r="H63" i="4" s="1"/>
  <c r="I63" i="4" s="1"/>
  <c r="J63" i="4" s="1"/>
  <c r="K63" i="4" s="1"/>
  <c r="G58" i="4"/>
  <c r="F57" i="4"/>
  <c r="G57" i="4" s="1"/>
  <c r="E57" i="4"/>
  <c r="F55" i="4"/>
  <c r="E55" i="4"/>
  <c r="E59" i="4" s="1"/>
  <c r="G54" i="4"/>
  <c r="H54" i="4" s="1"/>
  <c r="I54" i="4" s="1"/>
  <c r="J54" i="4" s="1"/>
  <c r="G50" i="4"/>
  <c r="F48" i="4"/>
  <c r="E48" i="4"/>
  <c r="G46" i="4"/>
  <c r="F45" i="4"/>
  <c r="E45" i="4"/>
  <c r="E51" i="4" s="1"/>
  <c r="E66" i="4" s="1"/>
  <c r="C44" i="4"/>
  <c r="C43" i="4"/>
  <c r="J40" i="4"/>
  <c r="K40" i="4" s="1"/>
  <c r="J39" i="4"/>
  <c r="K39" i="4" s="1"/>
  <c r="F39" i="4"/>
  <c r="E39" i="4"/>
  <c r="D39" i="4"/>
  <c r="J38" i="4"/>
  <c r="K38" i="4" s="1"/>
  <c r="F38" i="4"/>
  <c r="E38" i="4"/>
  <c r="D38" i="4"/>
  <c r="J37" i="4"/>
  <c r="K37" i="4" s="1"/>
  <c r="J36" i="4"/>
  <c r="F36" i="4"/>
  <c r="E36" i="4"/>
  <c r="G32" i="4"/>
  <c r="G25" i="4"/>
  <c r="H25" i="4" s="1"/>
  <c r="I25" i="4" s="1"/>
  <c r="J25" i="4" s="1"/>
  <c r="K25" i="4" s="1"/>
  <c r="F19" i="4"/>
  <c r="E19" i="4"/>
  <c r="D19" i="4"/>
  <c r="G17" i="4"/>
  <c r="G15" i="4"/>
  <c r="F15" i="4"/>
  <c r="E15" i="4"/>
  <c r="F14" i="4"/>
  <c r="E14" i="4"/>
  <c r="C2" i="4"/>
  <c r="K82" i="3"/>
  <c r="J82" i="3"/>
  <c r="I82" i="3"/>
  <c r="H82" i="3"/>
  <c r="G82" i="3"/>
  <c r="C70" i="3"/>
  <c r="C69" i="3"/>
  <c r="F64" i="3"/>
  <c r="E64" i="3"/>
  <c r="G63" i="3"/>
  <c r="H63" i="3" s="1"/>
  <c r="I63" i="3" s="1"/>
  <c r="J63" i="3" s="1"/>
  <c r="K63" i="3" s="1"/>
  <c r="G58" i="3"/>
  <c r="F57" i="3"/>
  <c r="G57" i="3" s="1"/>
  <c r="E57" i="3"/>
  <c r="F55" i="3"/>
  <c r="E55" i="3"/>
  <c r="E59" i="3" s="1"/>
  <c r="G54" i="3"/>
  <c r="H54" i="3" s="1"/>
  <c r="I54" i="3" s="1"/>
  <c r="J54" i="3" s="1"/>
  <c r="G50" i="3"/>
  <c r="H50" i="3" s="1"/>
  <c r="I50" i="3" s="1"/>
  <c r="J50" i="3" s="1"/>
  <c r="G48" i="3"/>
  <c r="H48" i="3" s="1"/>
  <c r="I48" i="3" s="1"/>
  <c r="J48" i="3" s="1"/>
  <c r="F48" i="3"/>
  <c r="E48" i="3"/>
  <c r="G46" i="3"/>
  <c r="F45" i="3"/>
  <c r="F51" i="3" s="1"/>
  <c r="E45" i="3"/>
  <c r="E51" i="3" s="1"/>
  <c r="E66" i="3" s="1"/>
  <c r="C44" i="3"/>
  <c r="C43" i="3"/>
  <c r="J40" i="3"/>
  <c r="K40" i="3" s="1"/>
  <c r="J39" i="3"/>
  <c r="K39" i="3" s="1"/>
  <c r="F39" i="3"/>
  <c r="E39" i="3"/>
  <c r="D39" i="3"/>
  <c r="J38" i="3"/>
  <c r="K38" i="3" s="1"/>
  <c r="F38" i="3"/>
  <c r="E38" i="3"/>
  <c r="D38" i="3"/>
  <c r="J37" i="3"/>
  <c r="K37" i="3" s="1"/>
  <c r="J36" i="3"/>
  <c r="K36" i="3" s="1"/>
  <c r="F36" i="3"/>
  <c r="E36" i="3"/>
  <c r="G32" i="3"/>
  <c r="G25" i="3"/>
  <c r="H25" i="3" s="1"/>
  <c r="I25" i="3" s="1"/>
  <c r="J25" i="3" s="1"/>
  <c r="K25" i="3" s="1"/>
  <c r="F19" i="3"/>
  <c r="E19" i="3"/>
  <c r="D19" i="3"/>
  <c r="G17" i="3"/>
  <c r="G15" i="3"/>
  <c r="F15" i="3"/>
  <c r="F44" i="3" s="1"/>
  <c r="E15" i="3"/>
  <c r="F14" i="3"/>
  <c r="E14" i="3"/>
  <c r="C2" i="3"/>
  <c r="F64" i="1"/>
  <c r="E64" i="1"/>
  <c r="F57" i="1"/>
  <c r="F59" i="1" s="1"/>
  <c r="E57" i="1"/>
  <c r="E59" i="1" s="1"/>
  <c r="F48" i="1"/>
  <c r="E48" i="1"/>
  <c r="F45" i="1"/>
  <c r="F51" i="1" s="1"/>
  <c r="F66" i="1" s="1"/>
  <c r="E45" i="1"/>
  <c r="E51" i="1" s="1"/>
  <c r="E66" i="1" s="1"/>
  <c r="C44" i="1"/>
  <c r="C43" i="1"/>
  <c r="F39" i="1"/>
  <c r="E39" i="1"/>
  <c r="D39" i="1"/>
  <c r="F38" i="1"/>
  <c r="E38" i="1"/>
  <c r="D38" i="1"/>
  <c r="F36" i="1"/>
  <c r="E36" i="1"/>
  <c r="F19" i="1"/>
  <c r="E19" i="1"/>
  <c r="D19" i="1"/>
  <c r="F15" i="1"/>
  <c r="F44" i="1" s="1"/>
  <c r="E15" i="1"/>
  <c r="F14" i="1"/>
  <c r="E14" i="1" s="1"/>
  <c r="D14" i="1" s="1"/>
  <c r="C2" i="1"/>
  <c r="F156" i="2"/>
  <c r="E156" i="2"/>
  <c r="D156" i="2"/>
  <c r="G155" i="2"/>
  <c r="H155" i="2" s="1"/>
  <c r="I155" i="2" s="1"/>
  <c r="J155" i="2" s="1"/>
  <c r="K155" i="2" s="1"/>
  <c r="G151" i="2"/>
  <c r="F146" i="2"/>
  <c r="E146" i="2"/>
  <c r="H145" i="2"/>
  <c r="I145" i="2" s="1"/>
  <c r="J145" i="2" s="1"/>
  <c r="K145" i="2" s="1"/>
  <c r="F142" i="2"/>
  <c r="E142" i="2"/>
  <c r="D142" i="2"/>
  <c r="F140" i="2"/>
  <c r="E140" i="2"/>
  <c r="D140" i="2"/>
  <c r="C140" i="2"/>
  <c r="F139" i="2"/>
  <c r="E139" i="2"/>
  <c r="D139" i="2"/>
  <c r="C139" i="2"/>
  <c r="F135" i="2"/>
  <c r="E135" i="2"/>
  <c r="D135" i="2"/>
  <c r="G132" i="2"/>
  <c r="F123" i="2"/>
  <c r="E123" i="2"/>
  <c r="D123" i="2"/>
  <c r="C123" i="2"/>
  <c r="F122" i="2"/>
  <c r="E122" i="2"/>
  <c r="D122" i="2"/>
  <c r="C122" i="2"/>
  <c r="F119" i="2"/>
  <c r="E119" i="2"/>
  <c r="D119" i="2"/>
  <c r="G118" i="2"/>
  <c r="H118" i="2" s="1"/>
  <c r="G117" i="2"/>
  <c r="H117" i="2" s="1"/>
  <c r="G115" i="2"/>
  <c r="F112" i="2"/>
  <c r="E112" i="2"/>
  <c r="G109" i="2"/>
  <c r="F106" i="2"/>
  <c r="E106" i="2"/>
  <c r="D106" i="2"/>
  <c r="F104" i="2"/>
  <c r="F105" i="2" s="1"/>
  <c r="G105" i="2" s="1"/>
  <c r="E104" i="2"/>
  <c r="E105" i="2" s="1"/>
  <c r="D104" i="2"/>
  <c r="D105" i="2" s="1"/>
  <c r="F101" i="2"/>
  <c r="G101" i="2" s="1"/>
  <c r="E101" i="2"/>
  <c r="D101" i="2"/>
  <c r="F99" i="2"/>
  <c r="E99" i="2"/>
  <c r="G97" i="2"/>
  <c r="H97" i="2" s="1"/>
  <c r="G96" i="2"/>
  <c r="F94" i="2"/>
  <c r="E94" i="2"/>
  <c r="D94" i="2"/>
  <c r="C94" i="2"/>
  <c r="F93" i="2"/>
  <c r="E93" i="2"/>
  <c r="D93" i="2"/>
  <c r="C93" i="2"/>
  <c r="G87" i="2"/>
  <c r="G86" i="2"/>
  <c r="G81" i="2"/>
  <c r="G82" i="2" s="1"/>
  <c r="G74" i="2"/>
  <c r="C70" i="2"/>
  <c r="C69" i="2"/>
  <c r="F64" i="2"/>
  <c r="E64" i="2"/>
  <c r="G63" i="2"/>
  <c r="H63" i="2" s="1"/>
  <c r="I63" i="2" s="1"/>
  <c r="J63" i="2" s="1"/>
  <c r="K63" i="2" s="1"/>
  <c r="G61" i="2"/>
  <c r="H58" i="2"/>
  <c r="G58" i="2"/>
  <c r="G78" i="2" s="1"/>
  <c r="F57" i="2"/>
  <c r="E57" i="2"/>
  <c r="G55" i="2"/>
  <c r="H55" i="2" s="1"/>
  <c r="I55" i="2" s="1"/>
  <c r="J55" i="2" s="1"/>
  <c r="G54" i="2"/>
  <c r="H54" i="2" s="1"/>
  <c r="I54" i="2" s="1"/>
  <c r="J54" i="2" s="1"/>
  <c r="G50" i="2"/>
  <c r="F48" i="2"/>
  <c r="G48" i="2" s="1"/>
  <c r="H48" i="2" s="1"/>
  <c r="I48" i="2" s="1"/>
  <c r="J48" i="2" s="1"/>
  <c r="K48" i="2" s="1"/>
  <c r="E48" i="2"/>
  <c r="G46" i="2"/>
  <c r="F45" i="2"/>
  <c r="E45" i="2"/>
  <c r="E51" i="2" s="1"/>
  <c r="F44" i="2"/>
  <c r="E44" i="2"/>
  <c r="C44" i="2"/>
  <c r="F43" i="2"/>
  <c r="E43" i="2"/>
  <c r="C43" i="2"/>
  <c r="F39" i="2"/>
  <c r="G39" i="2" s="1"/>
  <c r="H39" i="2" s="1"/>
  <c r="I39" i="2" s="1"/>
  <c r="J39" i="2" s="1"/>
  <c r="K39" i="2" s="1"/>
  <c r="E39" i="2"/>
  <c r="D39" i="2"/>
  <c r="F38" i="2"/>
  <c r="G38" i="2" s="1"/>
  <c r="E38" i="2"/>
  <c r="D38" i="2"/>
  <c r="J36" i="2"/>
  <c r="K36" i="2" s="1"/>
  <c r="F36" i="2"/>
  <c r="E36" i="2"/>
  <c r="G32" i="2"/>
  <c r="H32" i="2" s="1"/>
  <c r="G25" i="2"/>
  <c r="H25" i="2" s="1"/>
  <c r="I25" i="2" s="1"/>
  <c r="J25" i="2" s="1"/>
  <c r="K25" i="2" s="1"/>
  <c r="F19" i="2"/>
  <c r="E19" i="2"/>
  <c r="D19" i="2"/>
  <c r="F15" i="2"/>
  <c r="G15" i="2" s="1"/>
  <c r="E15" i="2"/>
  <c r="D15" i="2"/>
  <c r="F14" i="2"/>
  <c r="G14" i="2" s="1"/>
  <c r="E14" i="2"/>
  <c r="D14" i="2"/>
  <c r="C2" i="2"/>
  <c r="H17" i="19" l="1"/>
  <c r="H32" i="19"/>
  <c r="G49" i="11"/>
  <c r="H49" i="11" s="1"/>
  <c r="I49" i="11" s="1"/>
  <c r="J49" i="11" s="1"/>
  <c r="K190" i="19"/>
  <c r="J191" i="19"/>
  <c r="E147" i="19"/>
  <c r="E152" i="19" s="1"/>
  <c r="E151" i="19" s="1"/>
  <c r="F147" i="19"/>
  <c r="F152" i="19" s="1"/>
  <c r="J118" i="19"/>
  <c r="I86" i="19"/>
  <c r="I169" i="19" s="1"/>
  <c r="I105" i="19"/>
  <c r="H104" i="19"/>
  <c r="H110" i="19" s="1"/>
  <c r="I101" i="19"/>
  <c r="H98" i="19"/>
  <c r="E64" i="19"/>
  <c r="E66" i="19" s="1"/>
  <c r="E119" i="19"/>
  <c r="G150" i="19"/>
  <c r="H57" i="19"/>
  <c r="G59" i="19"/>
  <c r="F150" i="19"/>
  <c r="F59" i="19"/>
  <c r="F66" i="19" s="1"/>
  <c r="H48" i="19"/>
  <c r="I48" i="19" s="1"/>
  <c r="J48" i="19" s="1"/>
  <c r="G51" i="19"/>
  <c r="G66" i="19" s="1"/>
  <c r="H126" i="19"/>
  <c r="J81" i="19"/>
  <c r="J82" i="19" s="1"/>
  <c r="H55" i="19"/>
  <c r="I55" i="19" s="1"/>
  <c r="J55" i="19" s="1"/>
  <c r="H46" i="19"/>
  <c r="H50" i="19"/>
  <c r="H58" i="19"/>
  <c r="H54" i="19"/>
  <c r="I54" i="19" s="1"/>
  <c r="J54" i="19" s="1"/>
  <c r="G22" i="19"/>
  <c r="G37" i="19"/>
  <c r="F37" i="19"/>
  <c r="F22" i="19"/>
  <c r="E37" i="19"/>
  <c r="E22" i="19"/>
  <c r="D37" i="19"/>
  <c r="D22" i="19"/>
  <c r="H21" i="19"/>
  <c r="H20" i="19"/>
  <c r="I17" i="19"/>
  <c r="H19" i="19"/>
  <c r="H15" i="19"/>
  <c r="G44" i="19"/>
  <c r="G123" i="19"/>
  <c r="G94" i="19"/>
  <c r="G140" i="19"/>
  <c r="G160" i="19"/>
  <c r="E140" i="19"/>
  <c r="D15" i="19"/>
  <c r="D160" i="19" s="1"/>
  <c r="E94" i="19"/>
  <c r="E123" i="19"/>
  <c r="E160" i="19"/>
  <c r="E44" i="19"/>
  <c r="G93" i="19"/>
  <c r="F14" i="19"/>
  <c r="G139" i="19"/>
  <c r="H14" i="19"/>
  <c r="G43" i="19"/>
  <c r="G122" i="19"/>
  <c r="G159" i="19"/>
  <c r="G147" i="18"/>
  <c r="G152" i="18" s="1"/>
  <c r="G151" i="18" s="1"/>
  <c r="H151" i="18" s="1"/>
  <c r="F147" i="18"/>
  <c r="F152" i="18" s="1"/>
  <c r="F151" i="18" s="1"/>
  <c r="I151" i="18"/>
  <c r="J118" i="18"/>
  <c r="I86" i="18"/>
  <c r="I169" i="18" s="1"/>
  <c r="J117" i="18"/>
  <c r="I87" i="18"/>
  <c r="I105" i="18"/>
  <c r="H104" i="18"/>
  <c r="H110" i="18" s="1"/>
  <c r="I101" i="18"/>
  <c r="H98" i="18"/>
  <c r="E64" i="18"/>
  <c r="E66" i="18" s="1"/>
  <c r="E119" i="18"/>
  <c r="H78" i="18"/>
  <c r="I58" i="18"/>
  <c r="H84" i="18"/>
  <c r="H150" i="18"/>
  <c r="H152" i="18" s="1"/>
  <c r="H142" i="18" s="1"/>
  <c r="H24" i="18" s="1"/>
  <c r="I57" i="18"/>
  <c r="I50" i="18"/>
  <c r="H112" i="18"/>
  <c r="I46" i="18"/>
  <c r="I38" i="18"/>
  <c r="H20" i="18"/>
  <c r="K97" i="18"/>
  <c r="L36" i="18"/>
  <c r="J32" i="18"/>
  <c r="I170" i="18"/>
  <c r="I74" i="18"/>
  <c r="H170" i="18"/>
  <c r="H74" i="18"/>
  <c r="H61" i="18"/>
  <c r="G37" i="18"/>
  <c r="H37" i="18" s="1"/>
  <c r="I37" i="18" s="1"/>
  <c r="J37" i="18" s="1"/>
  <c r="K37" i="18" s="1"/>
  <c r="L37" i="18" s="1"/>
  <c r="G22" i="18"/>
  <c r="F37" i="18"/>
  <c r="F22" i="18"/>
  <c r="E37" i="18"/>
  <c r="E22" i="18"/>
  <c r="D37" i="18"/>
  <c r="D22" i="18"/>
  <c r="I17" i="18"/>
  <c r="H19" i="18"/>
  <c r="H21" i="18"/>
  <c r="G44" i="18"/>
  <c r="H15" i="18"/>
  <c r="G123" i="18"/>
  <c r="G94" i="18"/>
  <c r="G140" i="18"/>
  <c r="G160" i="18"/>
  <c r="E160" i="18"/>
  <c r="E94" i="18"/>
  <c r="E123" i="18"/>
  <c r="E140" i="18"/>
  <c r="G43" i="18"/>
  <c r="G159" i="18"/>
  <c r="G93" i="18"/>
  <c r="G122" i="18"/>
  <c r="H14" i="18"/>
  <c r="G139" i="18"/>
  <c r="F43" i="18"/>
  <c r="E14" i="18"/>
  <c r="F159" i="18"/>
  <c r="F93" i="18"/>
  <c r="F122" i="18"/>
  <c r="F139" i="18"/>
  <c r="K266" i="17"/>
  <c r="K264" i="17"/>
  <c r="J262" i="17"/>
  <c r="K261" i="17"/>
  <c r="J260" i="17"/>
  <c r="K257" i="17"/>
  <c r="J258" i="17"/>
  <c r="G223" i="17"/>
  <c r="G24" i="17" s="1"/>
  <c r="H222" i="17"/>
  <c r="E214" i="17"/>
  <c r="E219" i="17" s="1"/>
  <c r="E218" i="17" s="1"/>
  <c r="F214" i="17"/>
  <c r="F219" i="17" s="1"/>
  <c r="I183" i="17"/>
  <c r="H279" i="17"/>
  <c r="H88" i="17"/>
  <c r="H170" i="17"/>
  <c r="J161" i="17"/>
  <c r="J162" i="17"/>
  <c r="I161" i="17"/>
  <c r="K162" i="17"/>
  <c r="I163" i="17"/>
  <c r="J163" i="17"/>
  <c r="K163" i="17"/>
  <c r="I162" i="17"/>
  <c r="G161" i="17"/>
  <c r="H162" i="17"/>
  <c r="K161" i="17"/>
  <c r="H161" i="17"/>
  <c r="F117" i="17"/>
  <c r="G117" i="17" s="1"/>
  <c r="H117" i="17" s="1"/>
  <c r="I117" i="17" s="1"/>
  <c r="J117" i="17" s="1"/>
  <c r="K117" i="17" s="1"/>
  <c r="F118" i="17"/>
  <c r="E184" i="17"/>
  <c r="E66" i="17"/>
  <c r="F217" i="17"/>
  <c r="G59" i="17"/>
  <c r="F61" i="17"/>
  <c r="F137" i="17"/>
  <c r="E61" i="17"/>
  <c r="E137" i="17"/>
  <c r="F53" i="17"/>
  <c r="F68" i="17" s="1"/>
  <c r="G193" i="17"/>
  <c r="F136" i="17"/>
  <c r="F129" i="17" s="1"/>
  <c r="F130" i="17"/>
  <c r="E136" i="17"/>
  <c r="E53" i="17"/>
  <c r="E68" i="17" s="1"/>
  <c r="F38" i="17"/>
  <c r="F23" i="17"/>
  <c r="E23" i="17"/>
  <c r="E38" i="17"/>
  <c r="D23" i="17"/>
  <c r="D38" i="17"/>
  <c r="F207" i="17"/>
  <c r="F45" i="17"/>
  <c r="G16" i="17"/>
  <c r="F96" i="17"/>
  <c r="F190" i="17"/>
  <c r="F141" i="17"/>
  <c r="E207" i="17"/>
  <c r="E190" i="17"/>
  <c r="E141" i="17"/>
  <c r="E45" i="17"/>
  <c r="E96" i="17"/>
  <c r="D96" i="17"/>
  <c r="D141" i="17"/>
  <c r="D190" i="17"/>
  <c r="D207" i="17"/>
  <c r="F206" i="17"/>
  <c r="F95" i="17"/>
  <c r="F140" i="17"/>
  <c r="G15" i="17"/>
  <c r="F189" i="17"/>
  <c r="F44" i="17"/>
  <c r="E140" i="17"/>
  <c r="E95" i="17"/>
  <c r="E44" i="17"/>
  <c r="E206" i="17"/>
  <c r="E189" i="17"/>
  <c r="D140" i="17"/>
  <c r="D189" i="17"/>
  <c r="D95" i="17"/>
  <c r="D206" i="17"/>
  <c r="J266" i="16"/>
  <c r="K265" i="16"/>
  <c r="J262" i="16"/>
  <c r="K261" i="16"/>
  <c r="J258" i="16"/>
  <c r="K257" i="16"/>
  <c r="I242" i="16"/>
  <c r="F245" i="16"/>
  <c r="I243" i="16"/>
  <c r="I38" i="16" s="1"/>
  <c r="F243" i="16"/>
  <c r="K245" i="16"/>
  <c r="K40" i="16" s="1"/>
  <c r="J242" i="16"/>
  <c r="H242" i="16"/>
  <c r="G243" i="16"/>
  <c r="G38" i="16" s="1"/>
  <c r="G242" i="16"/>
  <c r="F242" i="16"/>
  <c r="K241" i="16"/>
  <c r="J241" i="16"/>
  <c r="I241" i="16"/>
  <c r="J243" i="16"/>
  <c r="J38" i="16" s="1"/>
  <c r="H241" i="16"/>
  <c r="G241" i="16"/>
  <c r="F241" i="16"/>
  <c r="K242" i="16"/>
  <c r="H243" i="16"/>
  <c r="H38" i="16" s="1"/>
  <c r="H245" i="16"/>
  <c r="H40" i="16" s="1"/>
  <c r="G245" i="16"/>
  <c r="G40" i="16" s="1"/>
  <c r="J245" i="16"/>
  <c r="J40" i="16" s="1"/>
  <c r="K243" i="16"/>
  <c r="K38" i="16" s="1"/>
  <c r="F244" i="16"/>
  <c r="G244" i="16"/>
  <c r="G39" i="16" s="1"/>
  <c r="H244" i="16"/>
  <c r="H39" i="16" s="1"/>
  <c r="I244" i="16"/>
  <c r="I39" i="16" s="1"/>
  <c r="J244" i="16"/>
  <c r="J39" i="16" s="1"/>
  <c r="K244" i="16"/>
  <c r="K39" i="16" s="1"/>
  <c r="I245" i="16"/>
  <c r="I40" i="16" s="1"/>
  <c r="H222" i="16"/>
  <c r="G223" i="16"/>
  <c r="G24" i="16" s="1"/>
  <c r="E214" i="16"/>
  <c r="E219" i="16" s="1"/>
  <c r="E218" i="16" s="1"/>
  <c r="F214" i="16"/>
  <c r="F219" i="16" s="1"/>
  <c r="F218" i="16" s="1"/>
  <c r="G218" i="16" s="1"/>
  <c r="H183" i="16"/>
  <c r="G279" i="16"/>
  <c r="H170" i="16"/>
  <c r="G51" i="16"/>
  <c r="H143" i="16"/>
  <c r="H146" i="16" s="1"/>
  <c r="F117" i="16"/>
  <c r="F118" i="16"/>
  <c r="E66" i="16"/>
  <c r="E184" i="16"/>
  <c r="F217" i="16"/>
  <c r="G59" i="16"/>
  <c r="F61" i="16"/>
  <c r="F137" i="16"/>
  <c r="E137" i="16"/>
  <c r="E61" i="16"/>
  <c r="F53" i="16"/>
  <c r="F68" i="16" s="1"/>
  <c r="F136" i="16"/>
  <c r="F129" i="16" s="1"/>
  <c r="G193" i="16"/>
  <c r="F130" i="16"/>
  <c r="E136" i="16"/>
  <c r="E53" i="16"/>
  <c r="E68" i="16" s="1"/>
  <c r="F38" i="16"/>
  <c r="F23" i="16"/>
  <c r="E23" i="16"/>
  <c r="E38" i="16"/>
  <c r="D23" i="16"/>
  <c r="D38" i="16"/>
  <c r="F96" i="16"/>
  <c r="G16" i="16"/>
  <c r="F141" i="16"/>
  <c r="F45" i="16"/>
  <c r="F190" i="16"/>
  <c r="F270" i="16"/>
  <c r="F207" i="16"/>
  <c r="E96" i="16"/>
  <c r="E207" i="16"/>
  <c r="E190" i="16"/>
  <c r="E45" i="16"/>
  <c r="E141" i="16"/>
  <c r="E270" i="16"/>
  <c r="D96" i="16"/>
  <c r="D207" i="16"/>
  <c r="D190" i="16"/>
  <c r="D270" i="16"/>
  <c r="D141" i="16"/>
  <c r="F95" i="16"/>
  <c r="G15" i="16"/>
  <c r="F206" i="16"/>
  <c r="F269" i="16"/>
  <c r="F44" i="16"/>
  <c r="F189" i="16"/>
  <c r="F140" i="16"/>
  <c r="E44" i="16"/>
  <c r="E269" i="16"/>
  <c r="E95" i="16"/>
  <c r="E140" i="16"/>
  <c r="E189" i="16"/>
  <c r="E206" i="16"/>
  <c r="D95" i="16"/>
  <c r="D140" i="16"/>
  <c r="D189" i="16"/>
  <c r="D206" i="16"/>
  <c r="D269" i="16"/>
  <c r="K199" i="15"/>
  <c r="J200" i="15"/>
  <c r="K195" i="15"/>
  <c r="J196" i="15"/>
  <c r="K191" i="15"/>
  <c r="J192" i="15"/>
  <c r="F176" i="15"/>
  <c r="F177" i="15"/>
  <c r="I175" i="15"/>
  <c r="I22" i="14" s="1"/>
  <c r="J175" i="15"/>
  <c r="J22" i="14" s="1"/>
  <c r="K175" i="15"/>
  <c r="K22" i="14" s="1"/>
  <c r="G175" i="15"/>
  <c r="G22" i="14" s="1"/>
  <c r="G32" i="14" s="1"/>
  <c r="F175" i="15"/>
  <c r="G176" i="15"/>
  <c r="G17" i="14" s="1"/>
  <c r="H176" i="15"/>
  <c r="H17" i="14" s="1"/>
  <c r="I176" i="15"/>
  <c r="I17" i="14" s="1"/>
  <c r="J176" i="15"/>
  <c r="J17" i="14" s="1"/>
  <c r="K176" i="15"/>
  <c r="K17" i="14" s="1"/>
  <c r="K179" i="15"/>
  <c r="K40" i="15" s="1"/>
  <c r="J179" i="15"/>
  <c r="J40" i="15" s="1"/>
  <c r="I179" i="15"/>
  <c r="I40" i="15" s="1"/>
  <c r="H179" i="15"/>
  <c r="H40" i="15" s="1"/>
  <c r="G179" i="15"/>
  <c r="G40" i="15" s="1"/>
  <c r="F179" i="15"/>
  <c r="K178" i="15"/>
  <c r="K39" i="15" s="1"/>
  <c r="J178" i="15"/>
  <c r="J39" i="15" s="1"/>
  <c r="I178" i="15"/>
  <c r="I39" i="15" s="1"/>
  <c r="H178" i="15"/>
  <c r="H39" i="15" s="1"/>
  <c r="G178" i="15"/>
  <c r="G39" i="15" s="1"/>
  <c r="F178" i="15"/>
  <c r="K177" i="15"/>
  <c r="K38" i="15" s="1"/>
  <c r="J177" i="15"/>
  <c r="J38" i="15" s="1"/>
  <c r="I177" i="15"/>
  <c r="I38" i="15" s="1"/>
  <c r="H177" i="15"/>
  <c r="H38" i="15" s="1"/>
  <c r="G177" i="15"/>
  <c r="G38" i="15" s="1"/>
  <c r="H175" i="15"/>
  <c r="H22" i="14" s="1"/>
  <c r="H32" i="14" s="1"/>
  <c r="H156" i="15"/>
  <c r="G157" i="15"/>
  <c r="G24" i="15" s="1"/>
  <c r="F148" i="15"/>
  <c r="F153" i="15" s="1"/>
  <c r="E148" i="15"/>
  <c r="E153" i="15" s="1"/>
  <c r="E152" i="15" s="1"/>
  <c r="I119" i="15"/>
  <c r="H213" i="15"/>
  <c r="H87" i="15"/>
  <c r="I118" i="15"/>
  <c r="H88" i="15"/>
  <c r="H106" i="15"/>
  <c r="H102" i="15"/>
  <c r="G99" i="15"/>
  <c r="E120" i="15"/>
  <c r="E65" i="15"/>
  <c r="E67" i="15" s="1"/>
  <c r="G58" i="15"/>
  <c r="F151" i="15"/>
  <c r="F60" i="15"/>
  <c r="G127" i="15"/>
  <c r="F52" i="15"/>
  <c r="F23" i="15"/>
  <c r="F38" i="15"/>
  <c r="E23" i="15"/>
  <c r="E38" i="15"/>
  <c r="D38" i="15"/>
  <c r="D23" i="15"/>
  <c r="G16" i="15"/>
  <c r="F204" i="15"/>
  <c r="F141" i="15"/>
  <c r="F95" i="15"/>
  <c r="F45" i="15"/>
  <c r="F124" i="15"/>
  <c r="E141" i="15"/>
  <c r="E204" i="15"/>
  <c r="E95" i="15"/>
  <c r="E45" i="15"/>
  <c r="E124" i="15"/>
  <c r="D95" i="15"/>
  <c r="D124" i="15"/>
  <c r="D141" i="15"/>
  <c r="D204" i="15"/>
  <c r="G15" i="15"/>
  <c r="F123" i="15"/>
  <c r="F94" i="15"/>
  <c r="F44" i="15"/>
  <c r="F140" i="15"/>
  <c r="F203" i="15"/>
  <c r="E123" i="15"/>
  <c r="E94" i="15"/>
  <c r="E140" i="15"/>
  <c r="E44" i="15"/>
  <c r="E203" i="15"/>
  <c r="D203" i="15"/>
  <c r="D94" i="15"/>
  <c r="D140" i="15"/>
  <c r="D123" i="15"/>
  <c r="J41" i="14"/>
  <c r="K41" i="14" s="1"/>
  <c r="I12" i="14"/>
  <c r="J12" i="14" s="1"/>
  <c r="K12" i="14" s="1"/>
  <c r="J40" i="14"/>
  <c r="K40" i="14" s="1"/>
  <c r="I11" i="14"/>
  <c r="F34" i="14"/>
  <c r="G34" i="14"/>
  <c r="G33" i="14"/>
  <c r="F33" i="14"/>
  <c r="J41" i="13"/>
  <c r="K41" i="13" s="1"/>
  <c r="I12" i="13"/>
  <c r="J12" i="13" s="1"/>
  <c r="K12" i="13" s="1"/>
  <c r="J40" i="13"/>
  <c r="K40" i="13" s="1"/>
  <c r="I11" i="13"/>
  <c r="J11" i="13" s="1"/>
  <c r="K11" i="13" s="1"/>
  <c r="G34" i="13"/>
  <c r="F34" i="13"/>
  <c r="F33" i="13"/>
  <c r="G33" i="13"/>
  <c r="F32" i="13"/>
  <c r="G32" i="13"/>
  <c r="K37" i="13"/>
  <c r="K13" i="13"/>
  <c r="J37" i="13"/>
  <c r="J13" i="13"/>
  <c r="I13" i="13"/>
  <c r="I14" i="13" s="1"/>
  <c r="I37" i="13"/>
  <c r="H37" i="13"/>
  <c r="H13" i="13"/>
  <c r="G37" i="13"/>
  <c r="G13" i="13"/>
  <c r="G14" i="13" s="1"/>
  <c r="J195" i="11"/>
  <c r="K194" i="11"/>
  <c r="K190" i="11"/>
  <c r="J191" i="11"/>
  <c r="J187" i="11"/>
  <c r="K186" i="11"/>
  <c r="J183" i="11"/>
  <c r="K182" i="11"/>
  <c r="F148" i="11"/>
  <c r="F153" i="11" s="1"/>
  <c r="E148" i="11"/>
  <c r="E153" i="11" s="1"/>
  <c r="E152" i="11" s="1"/>
  <c r="G208" i="11"/>
  <c r="H119" i="11"/>
  <c r="I118" i="11"/>
  <c r="H88" i="11"/>
  <c r="H106" i="11"/>
  <c r="H102" i="11"/>
  <c r="G99" i="11"/>
  <c r="E120" i="11"/>
  <c r="E65" i="11"/>
  <c r="E67" i="11" s="1"/>
  <c r="F151" i="11"/>
  <c r="G58" i="11"/>
  <c r="G56" i="11"/>
  <c r="H56" i="11" s="1"/>
  <c r="I56" i="11" s="1"/>
  <c r="J56" i="11" s="1"/>
  <c r="F60" i="11"/>
  <c r="G127" i="11"/>
  <c r="F52" i="11"/>
  <c r="F67" i="11" s="1"/>
  <c r="K41" i="11"/>
  <c r="J82" i="11"/>
  <c r="J83" i="11" s="1"/>
  <c r="G47" i="11"/>
  <c r="G18" i="11"/>
  <c r="G105" i="11" s="1"/>
  <c r="G111" i="11" s="1"/>
  <c r="G59" i="11"/>
  <c r="G51" i="11"/>
  <c r="G55" i="11"/>
  <c r="H55" i="11" s="1"/>
  <c r="I55" i="11" s="1"/>
  <c r="J55" i="11" s="1"/>
  <c r="G33" i="11"/>
  <c r="F27" i="11"/>
  <c r="F32" i="11"/>
  <c r="F34" i="11" s="1"/>
  <c r="E27" i="11"/>
  <c r="E32" i="11"/>
  <c r="E34" i="11" s="1"/>
  <c r="D27" i="11"/>
  <c r="D32" i="11"/>
  <c r="D34" i="11" s="1"/>
  <c r="H16" i="11"/>
  <c r="G71" i="11"/>
  <c r="G95" i="11"/>
  <c r="G124" i="11"/>
  <c r="G141" i="11"/>
  <c r="G174" i="11"/>
  <c r="G199" i="11"/>
  <c r="G4" i="12"/>
  <c r="G4" i="13"/>
  <c r="G45" i="11"/>
  <c r="H15" i="11"/>
  <c r="G44" i="11"/>
  <c r="G70" i="11"/>
  <c r="G94" i="11"/>
  <c r="G123" i="11"/>
  <c r="G140" i="11"/>
  <c r="G173" i="11"/>
  <c r="G198" i="11"/>
  <c r="G3" i="12"/>
  <c r="G3" i="13"/>
  <c r="K194" i="10"/>
  <c r="J195" i="10"/>
  <c r="K190" i="10"/>
  <c r="J191" i="10"/>
  <c r="J187" i="10"/>
  <c r="K186" i="10"/>
  <c r="J183" i="10"/>
  <c r="K182" i="10"/>
  <c r="E148" i="10"/>
  <c r="E153" i="10" s="1"/>
  <c r="E152" i="10" s="1"/>
  <c r="F148" i="10"/>
  <c r="F153" i="10" s="1"/>
  <c r="F152" i="10" s="1"/>
  <c r="G152" i="10" s="1"/>
  <c r="I119" i="10"/>
  <c r="H87" i="10"/>
  <c r="I118" i="10"/>
  <c r="H88" i="10"/>
  <c r="H106" i="10"/>
  <c r="G105" i="10"/>
  <c r="G111" i="10" s="1"/>
  <c r="H102" i="10"/>
  <c r="G99" i="10"/>
  <c r="E120" i="10"/>
  <c r="E65" i="10"/>
  <c r="E67" i="10" s="1"/>
  <c r="H59" i="10"/>
  <c r="G79" i="10"/>
  <c r="F151" i="10"/>
  <c r="G58" i="10"/>
  <c r="G56" i="10"/>
  <c r="H56" i="10" s="1"/>
  <c r="I56" i="10" s="1"/>
  <c r="J56" i="10" s="1"/>
  <c r="F60" i="10"/>
  <c r="G113" i="10"/>
  <c r="H51" i="10"/>
  <c r="H47" i="10"/>
  <c r="G127" i="10"/>
  <c r="F52" i="10"/>
  <c r="F67" i="10" s="1"/>
  <c r="J98" i="10"/>
  <c r="K37" i="10"/>
  <c r="G62" i="10"/>
  <c r="G75" i="10"/>
  <c r="H33" i="10"/>
  <c r="F38" i="10"/>
  <c r="F23" i="10"/>
  <c r="E38" i="10"/>
  <c r="E23" i="10"/>
  <c r="D23" i="10"/>
  <c r="D38" i="10"/>
  <c r="H18" i="10"/>
  <c r="G20" i="10"/>
  <c r="G22" i="10"/>
  <c r="G21" i="10"/>
  <c r="F45" i="10"/>
  <c r="F199" i="10"/>
  <c r="F141" i="10"/>
  <c r="F95" i="10"/>
  <c r="G16" i="10"/>
  <c r="F124" i="10"/>
  <c r="E199" i="10"/>
  <c r="E141" i="10"/>
  <c r="E95" i="10"/>
  <c r="E45" i="10"/>
  <c r="E124" i="10"/>
  <c r="D95" i="10"/>
  <c r="D199" i="10"/>
  <c r="D141" i="10"/>
  <c r="D124" i="10"/>
  <c r="F44" i="10"/>
  <c r="F94" i="10"/>
  <c r="F123" i="10"/>
  <c r="G15" i="10"/>
  <c r="F140" i="10"/>
  <c r="F198" i="10"/>
  <c r="E123" i="10"/>
  <c r="E198" i="10"/>
  <c r="E94" i="10"/>
  <c r="E44" i="10"/>
  <c r="E140" i="10"/>
  <c r="D198" i="10"/>
  <c r="D123" i="10"/>
  <c r="D94" i="10"/>
  <c r="D140" i="10"/>
  <c r="E147" i="9"/>
  <c r="E152" i="9" s="1"/>
  <c r="E151" i="9" s="1"/>
  <c r="F147" i="9"/>
  <c r="F152" i="9" s="1"/>
  <c r="I118" i="9"/>
  <c r="H86" i="9"/>
  <c r="I117" i="9"/>
  <c r="H87" i="9"/>
  <c r="H105" i="9"/>
  <c r="G104" i="9"/>
  <c r="G110" i="9" s="1"/>
  <c r="H101" i="9"/>
  <c r="G98" i="9"/>
  <c r="E119" i="9"/>
  <c r="E64" i="9"/>
  <c r="E66" i="9" s="1"/>
  <c r="G78" i="9"/>
  <c r="H58" i="9"/>
  <c r="F150" i="9"/>
  <c r="G57" i="9"/>
  <c r="G55" i="9"/>
  <c r="H55" i="9" s="1"/>
  <c r="I55" i="9" s="1"/>
  <c r="J55" i="9" s="1"/>
  <c r="F59" i="9"/>
  <c r="G112" i="9"/>
  <c r="H50" i="9"/>
  <c r="G48" i="9"/>
  <c r="H48" i="9" s="1"/>
  <c r="I48" i="9" s="1"/>
  <c r="J48" i="9" s="1"/>
  <c r="H46" i="9"/>
  <c r="G126" i="9"/>
  <c r="F51" i="9"/>
  <c r="F66" i="9" s="1"/>
  <c r="K36" i="9"/>
  <c r="K54" i="9" s="1"/>
  <c r="J97" i="9"/>
  <c r="G74" i="9"/>
  <c r="G61" i="9"/>
  <c r="H32" i="9"/>
  <c r="F37" i="9"/>
  <c r="F22" i="9"/>
  <c r="E37" i="9"/>
  <c r="E22" i="9"/>
  <c r="D37" i="9"/>
  <c r="D22" i="9"/>
  <c r="H17" i="9"/>
  <c r="G21" i="9"/>
  <c r="G20" i="9"/>
  <c r="G19" i="9"/>
  <c r="H15" i="9"/>
  <c r="G94" i="9"/>
  <c r="G123" i="9"/>
  <c r="G44" i="9"/>
  <c r="G70" i="9"/>
  <c r="G140" i="9"/>
  <c r="F140" i="9"/>
  <c r="E15" i="9"/>
  <c r="F123" i="9"/>
  <c r="F94" i="9"/>
  <c r="F44" i="9"/>
  <c r="E14" i="9"/>
  <c r="F122" i="9"/>
  <c r="F43" i="9"/>
  <c r="F93" i="9"/>
  <c r="F139" i="9"/>
  <c r="G14" i="9"/>
  <c r="H151" i="8"/>
  <c r="H86" i="8"/>
  <c r="I118" i="8"/>
  <c r="H87" i="8"/>
  <c r="I117" i="8"/>
  <c r="G104" i="8"/>
  <c r="G110" i="8" s="1"/>
  <c r="G111" i="8" s="1"/>
  <c r="H105" i="8"/>
  <c r="H101" i="8"/>
  <c r="G98" i="8"/>
  <c r="H61" i="8"/>
  <c r="I58" i="8"/>
  <c r="H78" i="8"/>
  <c r="H57" i="8"/>
  <c r="G84" i="8"/>
  <c r="G150" i="8"/>
  <c r="G152" i="8" s="1"/>
  <c r="F59" i="8"/>
  <c r="F66" i="8" s="1"/>
  <c r="G55" i="8"/>
  <c r="H55" i="8" s="1"/>
  <c r="I55" i="8" s="1"/>
  <c r="J55" i="8" s="1"/>
  <c r="K55" i="8" s="1"/>
  <c r="I50" i="8"/>
  <c r="H77" i="8"/>
  <c r="I77" i="8"/>
  <c r="H112" i="8"/>
  <c r="H46" i="8"/>
  <c r="G74" i="8"/>
  <c r="H32" i="8"/>
  <c r="F37" i="8"/>
  <c r="F22" i="8"/>
  <c r="E37" i="8"/>
  <c r="E22" i="8"/>
  <c r="D37" i="8"/>
  <c r="D22" i="8"/>
  <c r="H17" i="8"/>
  <c r="G19" i="8"/>
  <c r="G20" i="8"/>
  <c r="G21" i="8"/>
  <c r="G15" i="8"/>
  <c r="F44" i="8"/>
  <c r="G14" i="8"/>
  <c r="F43" i="8"/>
  <c r="H151" i="7"/>
  <c r="F147" i="7"/>
  <c r="F152" i="7" s="1"/>
  <c r="E147" i="7"/>
  <c r="E152" i="7" s="1"/>
  <c r="I118" i="7"/>
  <c r="H86" i="7"/>
  <c r="I117" i="7"/>
  <c r="H87" i="7"/>
  <c r="H105" i="7"/>
  <c r="G104" i="7"/>
  <c r="G110" i="7" s="1"/>
  <c r="H101" i="7"/>
  <c r="G98" i="7"/>
  <c r="I97" i="7"/>
  <c r="H81" i="7"/>
  <c r="H82" i="7" s="1"/>
  <c r="G78" i="7"/>
  <c r="H58" i="7"/>
  <c r="F150" i="7"/>
  <c r="F59" i="7"/>
  <c r="G57" i="7"/>
  <c r="E150" i="7"/>
  <c r="E59" i="7"/>
  <c r="E66" i="7" s="1"/>
  <c r="G112" i="7"/>
  <c r="H50" i="7"/>
  <c r="H46" i="7"/>
  <c r="F51" i="7"/>
  <c r="F66" i="7" s="1"/>
  <c r="G126" i="7"/>
  <c r="H38" i="7"/>
  <c r="G20" i="7"/>
  <c r="H32" i="7"/>
  <c r="G61" i="7"/>
  <c r="G74" i="7"/>
  <c r="F37" i="7"/>
  <c r="G37" i="7" s="1"/>
  <c r="H37" i="7" s="1"/>
  <c r="I37" i="7" s="1"/>
  <c r="J37" i="7" s="1"/>
  <c r="K37" i="7" s="1"/>
  <c r="F22" i="7"/>
  <c r="E37" i="7"/>
  <c r="E22" i="7"/>
  <c r="D22" i="7"/>
  <c r="D37" i="7"/>
  <c r="H17" i="7"/>
  <c r="G19" i="7"/>
  <c r="G21" i="7"/>
  <c r="G15" i="7"/>
  <c r="F94" i="7"/>
  <c r="F44" i="7"/>
  <c r="F140" i="7"/>
  <c r="F123" i="7"/>
  <c r="E123" i="7"/>
  <c r="E140" i="7"/>
  <c r="E44" i="7"/>
  <c r="E94" i="7"/>
  <c r="D123" i="7"/>
  <c r="D140" i="7"/>
  <c r="D94" i="7"/>
  <c r="F122" i="7"/>
  <c r="F43" i="7"/>
  <c r="F93" i="7"/>
  <c r="G14" i="7"/>
  <c r="F139" i="7"/>
  <c r="E122" i="7"/>
  <c r="E43" i="7"/>
  <c r="E139" i="7"/>
  <c r="E93" i="7"/>
  <c r="D93" i="7"/>
  <c r="D139" i="7"/>
  <c r="D122" i="7"/>
  <c r="E147" i="6"/>
  <c r="E152" i="6" s="1"/>
  <c r="E151" i="6" s="1"/>
  <c r="F147" i="6"/>
  <c r="F152" i="6" s="1"/>
  <c r="I118" i="6"/>
  <c r="H86" i="6"/>
  <c r="I117" i="6"/>
  <c r="H87" i="6"/>
  <c r="G104" i="6"/>
  <c r="G110" i="6" s="1"/>
  <c r="H105" i="6"/>
  <c r="H101" i="6"/>
  <c r="G98" i="6"/>
  <c r="E119" i="6"/>
  <c r="E64" i="6"/>
  <c r="E66" i="6" s="1"/>
  <c r="G78" i="6"/>
  <c r="H58" i="6"/>
  <c r="F150" i="6"/>
  <c r="G57" i="6"/>
  <c r="F59" i="6"/>
  <c r="G55" i="6"/>
  <c r="H55" i="6" s="1"/>
  <c r="I55" i="6" s="1"/>
  <c r="J55" i="6" s="1"/>
  <c r="I50" i="6"/>
  <c r="H112" i="6"/>
  <c r="G111" i="6"/>
  <c r="G77" i="6" s="1"/>
  <c r="H109" i="6"/>
  <c r="H46" i="6"/>
  <c r="F51" i="6"/>
  <c r="F66" i="6" s="1"/>
  <c r="G126" i="6"/>
  <c r="K36" i="6"/>
  <c r="J97" i="6"/>
  <c r="G61" i="6"/>
  <c r="G74" i="6"/>
  <c r="H32" i="6"/>
  <c r="F37" i="6"/>
  <c r="F22" i="6"/>
  <c r="E37" i="6"/>
  <c r="E22" i="6"/>
  <c r="D22" i="6"/>
  <c r="D37" i="6"/>
  <c r="G20" i="6"/>
  <c r="G21" i="6"/>
  <c r="G19" i="6"/>
  <c r="H17" i="6"/>
  <c r="G94" i="6"/>
  <c r="G44" i="6"/>
  <c r="G140" i="6"/>
  <c r="G70" i="6"/>
  <c r="H15" i="6"/>
  <c r="G123" i="6"/>
  <c r="F123" i="6"/>
  <c r="F94" i="6"/>
  <c r="F44" i="6"/>
  <c r="F140" i="6"/>
  <c r="E140" i="6"/>
  <c r="E44" i="6"/>
  <c r="E123" i="6"/>
  <c r="D15" i="6"/>
  <c r="E94" i="6"/>
  <c r="F139" i="6"/>
  <c r="F93" i="6"/>
  <c r="F122" i="6"/>
  <c r="F43" i="6"/>
  <c r="G14" i="6"/>
  <c r="E122" i="6"/>
  <c r="D14" i="6"/>
  <c r="E93" i="6"/>
  <c r="E139" i="6"/>
  <c r="E43" i="6"/>
  <c r="I155" i="5"/>
  <c r="H145" i="5"/>
  <c r="G152" i="5"/>
  <c r="H151" i="5"/>
  <c r="H118" i="5"/>
  <c r="G86" i="5"/>
  <c r="G87" i="5"/>
  <c r="H117" i="5"/>
  <c r="G104" i="5"/>
  <c r="G110" i="5" s="1"/>
  <c r="G111" i="5" s="1"/>
  <c r="G77" i="5" s="1"/>
  <c r="H105" i="5"/>
  <c r="H101" i="5"/>
  <c r="G98" i="5"/>
  <c r="H58" i="5"/>
  <c r="G78" i="5"/>
  <c r="H57" i="5"/>
  <c r="G84" i="5"/>
  <c r="G150" i="5"/>
  <c r="G55" i="5"/>
  <c r="H55" i="5" s="1"/>
  <c r="I55" i="5" s="1"/>
  <c r="J55" i="5" s="1"/>
  <c r="F59" i="5"/>
  <c r="F66" i="5" s="1"/>
  <c r="I50" i="5"/>
  <c r="H112" i="5"/>
  <c r="H46" i="5"/>
  <c r="K36" i="5"/>
  <c r="J97" i="5"/>
  <c r="G74" i="5"/>
  <c r="H32" i="5"/>
  <c r="G61" i="5"/>
  <c r="F22" i="5"/>
  <c r="F37" i="5"/>
  <c r="E22" i="5"/>
  <c r="E37" i="5"/>
  <c r="D37" i="5"/>
  <c r="D22" i="5"/>
  <c r="G21" i="5"/>
  <c r="G20" i="5"/>
  <c r="G19" i="5"/>
  <c r="H17" i="5"/>
  <c r="G15" i="5"/>
  <c r="F44" i="5"/>
  <c r="F94" i="5"/>
  <c r="E94" i="5"/>
  <c r="E44" i="5"/>
  <c r="F122" i="5"/>
  <c r="F93" i="5"/>
  <c r="E14" i="5"/>
  <c r="F139" i="5"/>
  <c r="F43" i="5"/>
  <c r="G14" i="5"/>
  <c r="J118" i="4"/>
  <c r="I86" i="4"/>
  <c r="I117" i="4"/>
  <c r="H87" i="4"/>
  <c r="H105" i="4"/>
  <c r="G104" i="4"/>
  <c r="G98" i="4"/>
  <c r="G99" i="4" s="1"/>
  <c r="H101" i="4"/>
  <c r="G49" i="4"/>
  <c r="H96" i="4"/>
  <c r="H58" i="4"/>
  <c r="G78" i="4"/>
  <c r="H57" i="4"/>
  <c r="G84" i="4"/>
  <c r="G88" i="4" s="1"/>
  <c r="G55" i="4"/>
  <c r="H55" i="4" s="1"/>
  <c r="I55" i="4" s="1"/>
  <c r="J55" i="4" s="1"/>
  <c r="F59" i="4"/>
  <c r="G112" i="4"/>
  <c r="H50" i="4"/>
  <c r="G48" i="4"/>
  <c r="H48" i="4" s="1"/>
  <c r="I48" i="4" s="1"/>
  <c r="J48" i="4" s="1"/>
  <c r="H46" i="4"/>
  <c r="F51" i="4"/>
  <c r="F66" i="4" s="1"/>
  <c r="K36" i="4"/>
  <c r="K54" i="4" s="1"/>
  <c r="J97" i="4"/>
  <c r="G74" i="4"/>
  <c r="G61" i="4"/>
  <c r="H32" i="4"/>
  <c r="F22" i="4"/>
  <c r="F37" i="4"/>
  <c r="E37" i="4"/>
  <c r="E22" i="4"/>
  <c r="D22" i="4"/>
  <c r="D37" i="4"/>
  <c r="G21" i="4"/>
  <c r="H17" i="4"/>
  <c r="G19" i="4"/>
  <c r="G20" i="4"/>
  <c r="G94" i="4"/>
  <c r="G70" i="4"/>
  <c r="H15" i="4"/>
  <c r="G44" i="4"/>
  <c r="F44" i="4"/>
  <c r="F94" i="4"/>
  <c r="E44" i="4"/>
  <c r="D15" i="4"/>
  <c r="D94" i="4" s="1"/>
  <c r="E94" i="4"/>
  <c r="F43" i="4"/>
  <c r="F93" i="4"/>
  <c r="G14" i="4"/>
  <c r="E93" i="4"/>
  <c r="E43" i="4"/>
  <c r="D14" i="4"/>
  <c r="D93" i="4" s="1"/>
  <c r="H58" i="3"/>
  <c r="G78" i="3"/>
  <c r="G84" i="3"/>
  <c r="G88" i="3" s="1"/>
  <c r="H57" i="3"/>
  <c r="G55" i="3"/>
  <c r="H55" i="3" s="1"/>
  <c r="I55" i="3" s="1"/>
  <c r="J55" i="3" s="1"/>
  <c r="K55" i="3" s="1"/>
  <c r="F59" i="3"/>
  <c r="F66" i="3" s="1"/>
  <c r="H46" i="3"/>
  <c r="G74" i="3"/>
  <c r="G61" i="3"/>
  <c r="H32" i="3"/>
  <c r="F22" i="3"/>
  <c r="F37" i="3"/>
  <c r="E22" i="3"/>
  <c r="E37" i="3"/>
  <c r="D37" i="3"/>
  <c r="D22" i="3"/>
  <c r="G19" i="3"/>
  <c r="H17" i="3"/>
  <c r="G21" i="3"/>
  <c r="G20" i="3"/>
  <c r="G44" i="3"/>
  <c r="G70" i="3"/>
  <c r="H15" i="3"/>
  <c r="D15" i="3"/>
  <c r="E44" i="3"/>
  <c r="F43" i="3"/>
  <c r="G14" i="3"/>
  <c r="D14" i="3"/>
  <c r="E43" i="3"/>
  <c r="F37" i="1"/>
  <c r="F22" i="1"/>
  <c r="E37" i="1"/>
  <c r="E22" i="1"/>
  <c r="D22" i="1"/>
  <c r="D37" i="1"/>
  <c r="D15" i="1"/>
  <c r="E44" i="1"/>
  <c r="H151" i="2"/>
  <c r="E147" i="2"/>
  <c r="E152" i="2" s="1"/>
  <c r="F147" i="2"/>
  <c r="F152" i="2" s="1"/>
  <c r="I118" i="2"/>
  <c r="H86" i="2"/>
  <c r="H87" i="2"/>
  <c r="I117" i="2"/>
  <c r="G104" i="2"/>
  <c r="G110" i="2" s="1"/>
  <c r="H105" i="2"/>
  <c r="H101" i="2"/>
  <c r="G98" i="2"/>
  <c r="I97" i="2"/>
  <c r="H81" i="2"/>
  <c r="H82" i="2" s="1"/>
  <c r="H61" i="2"/>
  <c r="H78" i="2"/>
  <c r="I58" i="2"/>
  <c r="F59" i="2"/>
  <c r="F150" i="2"/>
  <c r="G57" i="2"/>
  <c r="E150" i="2"/>
  <c r="E59" i="2"/>
  <c r="E66" i="2" s="1"/>
  <c r="H50" i="2"/>
  <c r="G112" i="2"/>
  <c r="H46" i="2"/>
  <c r="G126" i="2"/>
  <c r="F51" i="2"/>
  <c r="F66" i="2" s="1"/>
  <c r="G20" i="2"/>
  <c r="H38" i="2"/>
  <c r="I32" i="2"/>
  <c r="H74" i="2"/>
  <c r="F37" i="2"/>
  <c r="G37" i="2" s="1"/>
  <c r="H37" i="2" s="1"/>
  <c r="I37" i="2" s="1"/>
  <c r="J37" i="2" s="1"/>
  <c r="K37" i="2" s="1"/>
  <c r="F22" i="2"/>
  <c r="E37" i="2"/>
  <c r="E22" i="2"/>
  <c r="D37" i="2"/>
  <c r="D22" i="2"/>
  <c r="G21" i="2"/>
  <c r="H17" i="2"/>
  <c r="G19" i="2"/>
  <c r="H15" i="2"/>
  <c r="G70" i="2"/>
  <c r="G44" i="2"/>
  <c r="G123" i="2"/>
  <c r="G140" i="2"/>
  <c r="G94" i="2"/>
  <c r="H14" i="2"/>
  <c r="G139" i="2"/>
  <c r="G43" i="2"/>
  <c r="G69" i="2"/>
  <c r="G122" i="2"/>
  <c r="G93" i="2"/>
  <c r="G152" i="19"/>
  <c r="G151" i="19" s="1"/>
  <c r="H151" i="19" s="1"/>
  <c r="K54" i="18"/>
  <c r="L54" i="18" s="1"/>
  <c r="K48" i="18"/>
  <c r="L48" i="18" s="1"/>
  <c r="K48" i="8"/>
  <c r="K55" i="7"/>
  <c r="K48" i="3"/>
  <c r="K54" i="2"/>
  <c r="K50" i="3"/>
  <c r="K55" i="18"/>
  <c r="L55" i="18" s="1"/>
  <c r="K97" i="8"/>
  <c r="K81" i="8" s="1"/>
  <c r="K82" i="8" s="1"/>
  <c r="K54" i="8"/>
  <c r="K48" i="7"/>
  <c r="K55" i="2"/>
  <c r="K54" i="3"/>
  <c r="H170" i="19" l="1"/>
  <c r="H61" i="19"/>
  <c r="H74" i="19"/>
  <c r="I32" i="19"/>
  <c r="K32" i="14"/>
  <c r="J32" i="14"/>
  <c r="L190" i="19"/>
  <c r="K191" i="19"/>
  <c r="K183" i="19"/>
  <c r="K36" i="19" s="1"/>
  <c r="K189" i="19"/>
  <c r="K118" i="19"/>
  <c r="J86" i="19"/>
  <c r="J169" i="19" s="1"/>
  <c r="I104" i="19"/>
  <c r="I110" i="19" s="1"/>
  <c r="J105" i="19"/>
  <c r="J101" i="19"/>
  <c r="I98" i="19"/>
  <c r="H99" i="19"/>
  <c r="H106" i="19"/>
  <c r="H30" i="19" s="1"/>
  <c r="H73" i="19" s="1"/>
  <c r="I57" i="19"/>
  <c r="H150" i="19"/>
  <c r="H84" i="19"/>
  <c r="I46" i="19"/>
  <c r="I50" i="19"/>
  <c r="H112" i="19"/>
  <c r="I58" i="19"/>
  <c r="H78" i="19"/>
  <c r="I61" i="19"/>
  <c r="I170" i="19"/>
  <c r="J32" i="19"/>
  <c r="I74" i="19"/>
  <c r="G26" i="19"/>
  <c r="G31" i="19"/>
  <c r="G33" i="19" s="1"/>
  <c r="F26" i="19"/>
  <c r="F31" i="19"/>
  <c r="F33" i="19" s="1"/>
  <c r="E26" i="19"/>
  <c r="E31" i="19"/>
  <c r="E33" i="19" s="1"/>
  <c r="D26" i="19"/>
  <c r="D31" i="19"/>
  <c r="D33" i="19" s="1"/>
  <c r="I19" i="19"/>
  <c r="I20" i="19"/>
  <c r="J17" i="19"/>
  <c r="I21" i="19"/>
  <c r="H22" i="19"/>
  <c r="H18" i="19"/>
  <c r="I15" i="19"/>
  <c r="H70" i="19"/>
  <c r="H44" i="19"/>
  <c r="H94" i="19"/>
  <c r="H123" i="19"/>
  <c r="H140" i="19"/>
  <c r="H160" i="19"/>
  <c r="H182" i="19"/>
  <c r="F93" i="19"/>
  <c r="F43" i="19"/>
  <c r="F122" i="19"/>
  <c r="F139" i="19"/>
  <c r="F159" i="19"/>
  <c r="E14" i="19"/>
  <c r="I14" i="19"/>
  <c r="H43" i="19"/>
  <c r="H122" i="19"/>
  <c r="H139" i="19"/>
  <c r="H159" i="19"/>
  <c r="H181" i="19"/>
  <c r="H69" i="19"/>
  <c r="H93" i="19"/>
  <c r="J151" i="18"/>
  <c r="K118" i="18"/>
  <c r="J86" i="18"/>
  <c r="J169" i="18" s="1"/>
  <c r="K117" i="18"/>
  <c r="J87" i="18"/>
  <c r="J105" i="18"/>
  <c r="I104" i="18"/>
  <c r="I110" i="18" s="1"/>
  <c r="J101" i="18"/>
  <c r="I98" i="18"/>
  <c r="I106" i="18" s="1"/>
  <c r="I30" i="18" s="1"/>
  <c r="I73" i="18" s="1"/>
  <c r="H99" i="18"/>
  <c r="H106" i="18"/>
  <c r="H30" i="18" s="1"/>
  <c r="H73" i="18" s="1"/>
  <c r="J58" i="18"/>
  <c r="I78" i="18"/>
  <c r="J57" i="18"/>
  <c r="I84" i="18"/>
  <c r="I150" i="18"/>
  <c r="I152" i="18" s="1"/>
  <c r="I142" i="18" s="1"/>
  <c r="I24" i="18" s="1"/>
  <c r="J50" i="18"/>
  <c r="I112" i="18"/>
  <c r="I109" i="18"/>
  <c r="H111" i="18"/>
  <c r="H77" i="18" s="1"/>
  <c r="J46" i="18"/>
  <c r="J38" i="18"/>
  <c r="I20" i="18"/>
  <c r="L97" i="18"/>
  <c r="L81" i="18" s="1"/>
  <c r="L82" i="18" s="1"/>
  <c r="K81" i="18"/>
  <c r="K82" i="18" s="1"/>
  <c r="K32" i="18"/>
  <c r="J74" i="18"/>
  <c r="J170" i="18"/>
  <c r="I61" i="18"/>
  <c r="G26" i="18"/>
  <c r="G31" i="18"/>
  <c r="G33" i="18" s="1"/>
  <c r="F26" i="18"/>
  <c r="F31" i="18"/>
  <c r="F33" i="18" s="1"/>
  <c r="E26" i="18"/>
  <c r="E31" i="18"/>
  <c r="E33" i="18" s="1"/>
  <c r="D31" i="18"/>
  <c r="D33" i="18" s="1"/>
  <c r="D26" i="18"/>
  <c r="I19" i="18"/>
  <c r="I21" i="18"/>
  <c r="J17" i="18"/>
  <c r="H18" i="18"/>
  <c r="H22" i="18"/>
  <c r="I15" i="18"/>
  <c r="H44" i="18"/>
  <c r="H70" i="18"/>
  <c r="H94" i="18"/>
  <c r="H123" i="18"/>
  <c r="H140" i="18"/>
  <c r="H160" i="18"/>
  <c r="H69" i="18"/>
  <c r="H93" i="18"/>
  <c r="H122" i="18"/>
  <c r="H139" i="18"/>
  <c r="H159" i="18"/>
  <c r="I14" i="18"/>
  <c r="H43" i="18"/>
  <c r="E93" i="18"/>
  <c r="E122" i="18"/>
  <c r="E139" i="18"/>
  <c r="E159" i="18"/>
  <c r="D14" i="18"/>
  <c r="K262" i="17"/>
  <c r="K260" i="17"/>
  <c r="K244" i="17"/>
  <c r="K39" i="17" s="1"/>
  <c r="K258" i="17"/>
  <c r="K243" i="17"/>
  <c r="K38" i="17" s="1"/>
  <c r="K256" i="17"/>
  <c r="I222" i="17"/>
  <c r="J183" i="17"/>
  <c r="I279" i="17"/>
  <c r="I88" i="17"/>
  <c r="I170" i="17"/>
  <c r="H59" i="17"/>
  <c r="G86" i="17"/>
  <c r="G217" i="17"/>
  <c r="F27" i="17"/>
  <c r="F32" i="17"/>
  <c r="F34" i="17" s="1"/>
  <c r="E27" i="17"/>
  <c r="E32" i="17"/>
  <c r="E34" i="17" s="1"/>
  <c r="D27" i="17"/>
  <c r="D32" i="17"/>
  <c r="D34" i="17" s="1"/>
  <c r="H16" i="17"/>
  <c r="G45" i="17"/>
  <c r="G72" i="17"/>
  <c r="G96" i="17"/>
  <c r="G141" i="17"/>
  <c r="G190" i="17"/>
  <c r="G207" i="17"/>
  <c r="G240" i="17"/>
  <c r="G270" i="17"/>
  <c r="H15" i="17"/>
  <c r="G44" i="17"/>
  <c r="G71" i="17"/>
  <c r="G95" i="17"/>
  <c r="G140" i="17"/>
  <c r="G189" i="17"/>
  <c r="G206" i="17"/>
  <c r="G239" i="17"/>
  <c r="G269" i="17"/>
  <c r="K266" i="16"/>
  <c r="K264" i="16"/>
  <c r="K262" i="16"/>
  <c r="K260" i="16"/>
  <c r="K258" i="16"/>
  <c r="K256" i="16"/>
  <c r="I222" i="16"/>
  <c r="I183" i="16"/>
  <c r="H279" i="16"/>
  <c r="H88" i="16"/>
  <c r="I170" i="16"/>
  <c r="H51" i="16"/>
  <c r="I143" i="16"/>
  <c r="I146" i="16" s="1"/>
  <c r="H59" i="16"/>
  <c r="G86" i="16"/>
  <c r="G217" i="16"/>
  <c r="F27" i="16"/>
  <c r="F32" i="16"/>
  <c r="F34" i="16" s="1"/>
  <c r="E27" i="16"/>
  <c r="E32" i="16"/>
  <c r="E34" i="16" s="1"/>
  <c r="D27" i="16"/>
  <c r="D32" i="16"/>
  <c r="D34" i="16" s="1"/>
  <c r="H16" i="16"/>
  <c r="G45" i="16"/>
  <c r="G72" i="16"/>
  <c r="G96" i="16"/>
  <c r="G141" i="16"/>
  <c r="G190" i="16"/>
  <c r="G207" i="16"/>
  <c r="G240" i="16"/>
  <c r="G270" i="16"/>
  <c r="H15" i="16"/>
  <c r="G44" i="16"/>
  <c r="G71" i="16"/>
  <c r="G95" i="16"/>
  <c r="G140" i="16"/>
  <c r="C161" i="16" s="1"/>
  <c r="G189" i="16"/>
  <c r="G206" i="16"/>
  <c r="G239" i="16"/>
  <c r="G269" i="16"/>
  <c r="K200" i="15"/>
  <c r="K198" i="15"/>
  <c r="K196" i="15"/>
  <c r="K194" i="15"/>
  <c r="K192" i="15"/>
  <c r="K190" i="15"/>
  <c r="G27" i="14"/>
  <c r="G7" i="14"/>
  <c r="H27" i="14"/>
  <c r="H7" i="14"/>
  <c r="I27" i="14"/>
  <c r="I7" i="14"/>
  <c r="J27" i="14"/>
  <c r="J7" i="14"/>
  <c r="K27" i="14"/>
  <c r="K7" i="14"/>
  <c r="I156" i="15"/>
  <c r="J119" i="15"/>
  <c r="I213" i="15"/>
  <c r="I87" i="15"/>
  <c r="J118" i="15"/>
  <c r="I88" i="15"/>
  <c r="I106" i="15"/>
  <c r="I102" i="15"/>
  <c r="H99" i="15"/>
  <c r="G100" i="15"/>
  <c r="H58" i="15"/>
  <c r="G85" i="15"/>
  <c r="G151" i="15"/>
  <c r="F27" i="15"/>
  <c r="F32" i="15"/>
  <c r="F34" i="15" s="1"/>
  <c r="E27" i="15"/>
  <c r="E32" i="15"/>
  <c r="E34" i="15" s="1"/>
  <c r="D27" i="15"/>
  <c r="D32" i="15"/>
  <c r="D34" i="15" s="1"/>
  <c r="H16" i="15"/>
  <c r="G45" i="15"/>
  <c r="G71" i="15"/>
  <c r="G95" i="15"/>
  <c r="G124" i="15"/>
  <c r="G141" i="15"/>
  <c r="G174" i="15"/>
  <c r="G204" i="15"/>
  <c r="G4" i="14"/>
  <c r="H15" i="15"/>
  <c r="G44" i="15"/>
  <c r="G70" i="15"/>
  <c r="G94" i="15"/>
  <c r="G123" i="15"/>
  <c r="G140" i="15"/>
  <c r="G173" i="15"/>
  <c r="G203" i="15"/>
  <c r="G3" i="14"/>
  <c r="K195" i="11"/>
  <c r="K178" i="11"/>
  <c r="K40" i="11" s="1"/>
  <c r="K193" i="11"/>
  <c r="K191" i="11"/>
  <c r="K177" i="11"/>
  <c r="K39" i="11" s="1"/>
  <c r="K189" i="11"/>
  <c r="K187" i="11"/>
  <c r="K176" i="11"/>
  <c r="K38" i="11" s="1"/>
  <c r="K185" i="11"/>
  <c r="K183" i="11"/>
  <c r="K175" i="11"/>
  <c r="K37" i="11" s="1"/>
  <c r="K181" i="11"/>
  <c r="I119" i="11"/>
  <c r="H208" i="11"/>
  <c r="H87" i="11"/>
  <c r="J118" i="11"/>
  <c r="I88" i="11"/>
  <c r="I106" i="11"/>
  <c r="I102" i="11"/>
  <c r="H99" i="11"/>
  <c r="G100" i="11"/>
  <c r="G107" i="11"/>
  <c r="G31" i="11" s="1"/>
  <c r="G74" i="11" s="1"/>
  <c r="H58" i="11"/>
  <c r="G85" i="11"/>
  <c r="G151" i="11"/>
  <c r="H47" i="11"/>
  <c r="G21" i="11"/>
  <c r="H18" i="11"/>
  <c r="H105" i="11" s="1"/>
  <c r="G20" i="11"/>
  <c r="G22" i="11"/>
  <c r="H59" i="11"/>
  <c r="G79" i="11"/>
  <c r="G113" i="11"/>
  <c r="H51" i="11"/>
  <c r="H33" i="11"/>
  <c r="G62" i="11"/>
  <c r="G75" i="11"/>
  <c r="G209" i="11"/>
  <c r="F29" i="11"/>
  <c r="F41" i="11"/>
  <c r="E29" i="11"/>
  <c r="E41" i="11"/>
  <c r="D29" i="11"/>
  <c r="D41" i="11"/>
  <c r="I16" i="11"/>
  <c r="H45" i="11"/>
  <c r="H71" i="11"/>
  <c r="H95" i="11"/>
  <c r="H124" i="11"/>
  <c r="H141" i="11"/>
  <c r="H174" i="11"/>
  <c r="H199" i="11"/>
  <c r="H4" i="12"/>
  <c r="H4" i="13"/>
  <c r="I15" i="11"/>
  <c r="H70" i="11"/>
  <c r="H94" i="11"/>
  <c r="H123" i="11"/>
  <c r="H140" i="11"/>
  <c r="H173" i="11"/>
  <c r="H198" i="11"/>
  <c r="H3" i="12"/>
  <c r="H3" i="13"/>
  <c r="H44" i="11"/>
  <c r="K195" i="10"/>
  <c r="K193" i="10"/>
  <c r="K191" i="10"/>
  <c r="K189" i="10"/>
  <c r="K187" i="10"/>
  <c r="K185" i="10"/>
  <c r="K183" i="10"/>
  <c r="K181" i="10"/>
  <c r="J119" i="10"/>
  <c r="I87" i="10"/>
  <c r="J118" i="10"/>
  <c r="I88" i="10"/>
  <c r="I106" i="10"/>
  <c r="H105" i="10"/>
  <c r="H111" i="10" s="1"/>
  <c r="I102" i="10"/>
  <c r="H99" i="10"/>
  <c r="H107" i="10" s="1"/>
  <c r="H31" i="10" s="1"/>
  <c r="H74" i="10" s="1"/>
  <c r="G100" i="10"/>
  <c r="G107" i="10"/>
  <c r="G31" i="10" s="1"/>
  <c r="G74" i="10" s="1"/>
  <c r="I59" i="10"/>
  <c r="H79" i="10"/>
  <c r="H58" i="10"/>
  <c r="G85" i="10"/>
  <c r="G151" i="10"/>
  <c r="H110" i="10"/>
  <c r="G112" i="10"/>
  <c r="G78" i="10" s="1"/>
  <c r="I51" i="10"/>
  <c r="H113" i="10"/>
  <c r="I47" i="10"/>
  <c r="K98" i="10"/>
  <c r="K82" i="10" s="1"/>
  <c r="K83" i="10" s="1"/>
  <c r="J82" i="10"/>
  <c r="J83" i="10" s="1"/>
  <c r="K55" i="10"/>
  <c r="K49" i="10"/>
  <c r="H62" i="10"/>
  <c r="I33" i="10"/>
  <c r="H75" i="10"/>
  <c r="F27" i="10"/>
  <c r="F32" i="10"/>
  <c r="F34" i="10" s="1"/>
  <c r="E27" i="10"/>
  <c r="E32" i="10"/>
  <c r="E34" i="10" s="1"/>
  <c r="D27" i="10"/>
  <c r="D32" i="10"/>
  <c r="D34" i="10" s="1"/>
  <c r="I18" i="10"/>
  <c r="H20" i="10"/>
  <c r="H21" i="10"/>
  <c r="H22" i="10"/>
  <c r="G23" i="10"/>
  <c r="G19" i="10"/>
  <c r="H16" i="10"/>
  <c r="G45" i="10"/>
  <c r="G71" i="10"/>
  <c r="G95" i="10"/>
  <c r="G124" i="10"/>
  <c r="G141" i="10"/>
  <c r="G174" i="10"/>
  <c r="G199" i="10"/>
  <c r="H15" i="10"/>
  <c r="G44" i="10"/>
  <c r="G70" i="10"/>
  <c r="G94" i="10"/>
  <c r="G123" i="10"/>
  <c r="G140" i="10"/>
  <c r="G173" i="10"/>
  <c r="G198" i="10"/>
  <c r="J118" i="9"/>
  <c r="I86" i="9"/>
  <c r="J117" i="9"/>
  <c r="I87" i="9"/>
  <c r="I105" i="9"/>
  <c r="H104" i="9"/>
  <c r="H110" i="9" s="1"/>
  <c r="I101" i="9"/>
  <c r="H98" i="9"/>
  <c r="H106" i="9" s="1"/>
  <c r="H30" i="9" s="1"/>
  <c r="H73" i="9" s="1"/>
  <c r="G99" i="9"/>
  <c r="G106" i="9"/>
  <c r="G30" i="9" s="1"/>
  <c r="G73" i="9" s="1"/>
  <c r="I58" i="9"/>
  <c r="H78" i="9"/>
  <c r="H57" i="9"/>
  <c r="G84" i="9"/>
  <c r="G150" i="9"/>
  <c r="H109" i="9"/>
  <c r="G111" i="9"/>
  <c r="G77" i="9" s="1"/>
  <c r="I50" i="9"/>
  <c r="H112" i="9"/>
  <c r="I46" i="9"/>
  <c r="K97" i="9"/>
  <c r="K81" i="9" s="1"/>
  <c r="K82" i="9" s="1"/>
  <c r="J81" i="9"/>
  <c r="J82" i="9" s="1"/>
  <c r="H61" i="9"/>
  <c r="I32" i="9"/>
  <c r="H74" i="9"/>
  <c r="F26" i="9"/>
  <c r="F31" i="9"/>
  <c r="F33" i="9" s="1"/>
  <c r="E26" i="9"/>
  <c r="E31" i="9"/>
  <c r="E33" i="9" s="1"/>
  <c r="D26" i="9"/>
  <c r="D31" i="9"/>
  <c r="D33" i="9" s="1"/>
  <c r="H20" i="9"/>
  <c r="H21" i="9"/>
  <c r="I17" i="9"/>
  <c r="H19" i="9"/>
  <c r="G18" i="9"/>
  <c r="G22" i="9"/>
  <c r="H44" i="9"/>
  <c r="I15" i="9"/>
  <c r="H70" i="9"/>
  <c r="H94" i="9"/>
  <c r="H123" i="9"/>
  <c r="H140" i="9"/>
  <c r="D15" i="9"/>
  <c r="E44" i="9"/>
  <c r="E94" i="9"/>
  <c r="E123" i="9"/>
  <c r="E140" i="9"/>
  <c r="E43" i="9"/>
  <c r="E93" i="9"/>
  <c r="E122" i="9"/>
  <c r="E139" i="9"/>
  <c r="D14" i="9"/>
  <c r="G43" i="9"/>
  <c r="G69" i="9"/>
  <c r="G93" i="9"/>
  <c r="G122" i="9"/>
  <c r="G139" i="9"/>
  <c r="H14" i="9"/>
  <c r="I151" i="8"/>
  <c r="I86" i="8"/>
  <c r="J118" i="8"/>
  <c r="I87" i="8"/>
  <c r="J117" i="8"/>
  <c r="I105" i="8"/>
  <c r="H104" i="8"/>
  <c r="H110" i="8" s="1"/>
  <c r="H98" i="8"/>
  <c r="H106" i="8" s="1"/>
  <c r="H30" i="8" s="1"/>
  <c r="H73" i="8" s="1"/>
  <c r="I101" i="8"/>
  <c r="G99" i="8"/>
  <c r="G106" i="8"/>
  <c r="G30" i="8" s="1"/>
  <c r="G73" i="8" s="1"/>
  <c r="I61" i="8"/>
  <c r="J58" i="8"/>
  <c r="I78" i="8"/>
  <c r="I57" i="8"/>
  <c r="H84" i="8"/>
  <c r="H150" i="8"/>
  <c r="H152" i="8" s="1"/>
  <c r="J50" i="8"/>
  <c r="J77" i="8"/>
  <c r="I112" i="8"/>
  <c r="I109" i="8"/>
  <c r="H111" i="8"/>
  <c r="I46" i="8"/>
  <c r="I32" i="8"/>
  <c r="H74" i="8"/>
  <c r="F26" i="8"/>
  <c r="F31" i="8"/>
  <c r="F33" i="8" s="1"/>
  <c r="E26" i="8"/>
  <c r="E31" i="8"/>
  <c r="E33" i="8" s="1"/>
  <c r="D26" i="8"/>
  <c r="D31" i="8"/>
  <c r="D33" i="8" s="1"/>
  <c r="I17" i="8"/>
  <c r="H19" i="8"/>
  <c r="H20" i="8"/>
  <c r="H21" i="8"/>
  <c r="G22" i="8"/>
  <c r="G18" i="8"/>
  <c r="H15" i="8"/>
  <c r="G44" i="8"/>
  <c r="G70" i="8"/>
  <c r="G94" i="8"/>
  <c r="G123" i="8"/>
  <c r="G140" i="8"/>
  <c r="H14" i="8"/>
  <c r="G43" i="8"/>
  <c r="G69" i="8"/>
  <c r="G93" i="8"/>
  <c r="G122" i="8"/>
  <c r="G139" i="8"/>
  <c r="I151" i="7"/>
  <c r="J118" i="7"/>
  <c r="I86" i="7"/>
  <c r="J117" i="7"/>
  <c r="I87" i="7"/>
  <c r="I105" i="7"/>
  <c r="H104" i="7"/>
  <c r="H110" i="7" s="1"/>
  <c r="I101" i="7"/>
  <c r="H98" i="7"/>
  <c r="H106" i="7" s="1"/>
  <c r="H30" i="7" s="1"/>
  <c r="H73" i="7" s="1"/>
  <c r="G99" i="7"/>
  <c r="G106" i="7"/>
  <c r="G30" i="7" s="1"/>
  <c r="G73" i="7" s="1"/>
  <c r="J97" i="7"/>
  <c r="I81" i="7"/>
  <c r="I82" i="7" s="1"/>
  <c r="I58" i="7"/>
  <c r="H78" i="7"/>
  <c r="H57" i="7"/>
  <c r="G84" i="7"/>
  <c r="G150" i="7"/>
  <c r="H109" i="7"/>
  <c r="G111" i="7"/>
  <c r="G77" i="7" s="1"/>
  <c r="I50" i="7"/>
  <c r="H112" i="7"/>
  <c r="I46" i="7"/>
  <c r="I38" i="7"/>
  <c r="H20" i="7"/>
  <c r="I32" i="7"/>
  <c r="H74" i="7"/>
  <c r="H61" i="7"/>
  <c r="F26" i="7"/>
  <c r="F31" i="7"/>
  <c r="F33" i="7" s="1"/>
  <c r="E26" i="7"/>
  <c r="E31" i="7"/>
  <c r="E33" i="7" s="1"/>
  <c r="D26" i="7"/>
  <c r="D31" i="7"/>
  <c r="D33" i="7" s="1"/>
  <c r="I17" i="7"/>
  <c r="H19" i="7"/>
  <c r="H21" i="7"/>
  <c r="G22" i="7"/>
  <c r="G18" i="7"/>
  <c r="H15" i="7"/>
  <c r="G44" i="7"/>
  <c r="G70" i="7"/>
  <c r="G94" i="7"/>
  <c r="G123" i="7"/>
  <c r="G140" i="7"/>
  <c r="H14" i="7"/>
  <c r="G43" i="7"/>
  <c r="G69" i="7"/>
  <c r="G93" i="7"/>
  <c r="G122" i="7"/>
  <c r="G139" i="7"/>
  <c r="I86" i="6"/>
  <c r="J118" i="6"/>
  <c r="J117" i="6"/>
  <c r="I87" i="6"/>
  <c r="H104" i="6"/>
  <c r="H110" i="6" s="1"/>
  <c r="I105" i="6"/>
  <c r="H98" i="6"/>
  <c r="H106" i="6" s="1"/>
  <c r="H30" i="6" s="1"/>
  <c r="H73" i="6" s="1"/>
  <c r="I101" i="6"/>
  <c r="G99" i="6"/>
  <c r="G106" i="6"/>
  <c r="G30" i="6" s="1"/>
  <c r="G73" i="6" s="1"/>
  <c r="H78" i="6"/>
  <c r="I58" i="6"/>
  <c r="G84" i="6"/>
  <c r="H57" i="6"/>
  <c r="G150" i="6"/>
  <c r="J50" i="6"/>
  <c r="I112" i="6"/>
  <c r="I109" i="6"/>
  <c r="H111" i="6"/>
  <c r="H77" i="6" s="1"/>
  <c r="I46" i="6"/>
  <c r="K48" i="6"/>
  <c r="K54" i="6"/>
  <c r="J81" i="6"/>
  <c r="J82" i="6" s="1"/>
  <c r="K97" i="6"/>
  <c r="K81" i="6" s="1"/>
  <c r="K82" i="6" s="1"/>
  <c r="H61" i="6"/>
  <c r="I32" i="6"/>
  <c r="H74" i="6"/>
  <c r="F26" i="6"/>
  <c r="F31" i="6"/>
  <c r="F33" i="6" s="1"/>
  <c r="E26" i="6"/>
  <c r="E31" i="6"/>
  <c r="E33" i="6" s="1"/>
  <c r="D26" i="6"/>
  <c r="D31" i="6"/>
  <c r="D33" i="6" s="1"/>
  <c r="G18" i="6"/>
  <c r="G22" i="6"/>
  <c r="H19" i="6"/>
  <c r="I17" i="6"/>
  <c r="H21" i="6"/>
  <c r="H20" i="6"/>
  <c r="I15" i="6"/>
  <c r="H70" i="6"/>
  <c r="H123" i="6"/>
  <c r="H140" i="6"/>
  <c r="H44" i="6"/>
  <c r="H94" i="6"/>
  <c r="D94" i="6"/>
  <c r="D123" i="6"/>
  <c r="D140" i="6"/>
  <c r="G122" i="6"/>
  <c r="G69" i="6"/>
  <c r="G93" i="6"/>
  <c r="G139" i="6"/>
  <c r="G43" i="6"/>
  <c r="H14" i="6"/>
  <c r="D93" i="6"/>
  <c r="D122" i="6"/>
  <c r="D139" i="6"/>
  <c r="J155" i="5"/>
  <c r="I145" i="5"/>
  <c r="I151" i="5"/>
  <c r="H86" i="5"/>
  <c r="I118" i="5"/>
  <c r="H87" i="5"/>
  <c r="I117" i="5"/>
  <c r="I105" i="5"/>
  <c r="H104" i="5"/>
  <c r="H110" i="5" s="1"/>
  <c r="I101" i="5"/>
  <c r="H98" i="5"/>
  <c r="H106" i="5" s="1"/>
  <c r="H30" i="5" s="1"/>
  <c r="H73" i="5" s="1"/>
  <c r="G99" i="5"/>
  <c r="G106" i="5"/>
  <c r="G30" i="5" s="1"/>
  <c r="G73" i="5" s="1"/>
  <c r="I58" i="5"/>
  <c r="H78" i="5"/>
  <c r="I57" i="5"/>
  <c r="H84" i="5"/>
  <c r="H150" i="5"/>
  <c r="H152" i="5" s="1"/>
  <c r="J50" i="5"/>
  <c r="I112" i="5"/>
  <c r="I109" i="5"/>
  <c r="H111" i="5"/>
  <c r="H77" i="5" s="1"/>
  <c r="I46" i="5"/>
  <c r="K48" i="5"/>
  <c r="K54" i="5"/>
  <c r="K97" i="5"/>
  <c r="K81" i="5" s="1"/>
  <c r="K82" i="5" s="1"/>
  <c r="J81" i="5"/>
  <c r="J82" i="5" s="1"/>
  <c r="I32" i="5"/>
  <c r="H74" i="5"/>
  <c r="H61" i="5"/>
  <c r="F26" i="5"/>
  <c r="F31" i="5"/>
  <c r="F33" i="5" s="1"/>
  <c r="E26" i="5"/>
  <c r="E31" i="5"/>
  <c r="E33" i="5" s="1"/>
  <c r="D26" i="5"/>
  <c r="D31" i="5"/>
  <c r="D33" i="5" s="1"/>
  <c r="G22" i="5"/>
  <c r="G18" i="5"/>
  <c r="I17" i="5"/>
  <c r="H19" i="5"/>
  <c r="H20" i="5"/>
  <c r="H21" i="5"/>
  <c r="H15" i="5"/>
  <c r="G44" i="5"/>
  <c r="G70" i="5"/>
  <c r="G94" i="5"/>
  <c r="G123" i="5"/>
  <c r="G140" i="5"/>
  <c r="E122" i="5"/>
  <c r="D14" i="5"/>
  <c r="E139" i="5"/>
  <c r="E43" i="5"/>
  <c r="E93" i="5"/>
  <c r="H14" i="5"/>
  <c r="G43" i="5"/>
  <c r="G69" i="5"/>
  <c r="G93" i="5"/>
  <c r="G122" i="5"/>
  <c r="G139" i="5"/>
  <c r="J86" i="4"/>
  <c r="K118" i="4"/>
  <c r="K86" i="4" s="1"/>
  <c r="J117" i="4"/>
  <c r="I87" i="4"/>
  <c r="H104" i="4"/>
  <c r="I105" i="4"/>
  <c r="G106" i="4"/>
  <c r="G30" i="4" s="1"/>
  <c r="G73" i="4" s="1"/>
  <c r="G110" i="4"/>
  <c r="H98" i="4"/>
  <c r="H99" i="4" s="1"/>
  <c r="I101" i="4"/>
  <c r="H49" i="4"/>
  <c r="I96" i="4"/>
  <c r="I58" i="4"/>
  <c r="H78" i="4"/>
  <c r="I57" i="4"/>
  <c r="H84" i="4"/>
  <c r="H88" i="4" s="1"/>
  <c r="G111" i="4"/>
  <c r="G77" i="4" s="1"/>
  <c r="H109" i="4"/>
  <c r="H112" i="4"/>
  <c r="I50" i="4"/>
  <c r="I46" i="4"/>
  <c r="K97" i="4"/>
  <c r="K81" i="4" s="1"/>
  <c r="K82" i="4" s="1"/>
  <c r="J81" i="4"/>
  <c r="J82" i="4" s="1"/>
  <c r="H61" i="4"/>
  <c r="I32" i="4"/>
  <c r="H74" i="4"/>
  <c r="F26" i="4"/>
  <c r="F31" i="4"/>
  <c r="F33" i="4" s="1"/>
  <c r="E31" i="4"/>
  <c r="E33" i="4" s="1"/>
  <c r="E26" i="4"/>
  <c r="D26" i="4"/>
  <c r="D31" i="4"/>
  <c r="D33" i="4" s="1"/>
  <c r="H21" i="4"/>
  <c r="I17" i="4"/>
  <c r="H19" i="4"/>
  <c r="H20" i="4"/>
  <c r="G22" i="4"/>
  <c r="G18" i="4"/>
  <c r="I15" i="4"/>
  <c r="H44" i="4"/>
  <c r="H70" i="4"/>
  <c r="H94" i="4"/>
  <c r="G43" i="4"/>
  <c r="H14" i="4"/>
  <c r="G69" i="4"/>
  <c r="G93" i="4"/>
  <c r="I58" i="3"/>
  <c r="H78" i="3"/>
  <c r="H84" i="3"/>
  <c r="H88" i="3" s="1"/>
  <c r="I57" i="3"/>
  <c r="I46" i="3"/>
  <c r="G64" i="3"/>
  <c r="H61" i="3"/>
  <c r="I32" i="3"/>
  <c r="H74" i="3"/>
  <c r="F26" i="3"/>
  <c r="F31" i="3"/>
  <c r="F33" i="3" s="1"/>
  <c r="E26" i="3"/>
  <c r="E31" i="3"/>
  <c r="E33" i="3" s="1"/>
  <c r="D26" i="3"/>
  <c r="D31" i="3"/>
  <c r="D33" i="3" s="1"/>
  <c r="G22" i="3"/>
  <c r="G18" i="3"/>
  <c r="I17" i="3"/>
  <c r="H19" i="3"/>
  <c r="H20" i="3"/>
  <c r="H21" i="3"/>
  <c r="I15" i="3"/>
  <c r="H44" i="3"/>
  <c r="H70" i="3"/>
  <c r="G43" i="3"/>
  <c r="G69" i="3"/>
  <c r="H14" i="3"/>
  <c r="F26" i="1"/>
  <c r="F31" i="1"/>
  <c r="F33" i="1" s="1"/>
  <c r="E26" i="1"/>
  <c r="E31" i="1"/>
  <c r="E33" i="1" s="1"/>
  <c r="D26" i="1"/>
  <c r="D31" i="1"/>
  <c r="D33" i="1" s="1"/>
  <c r="I151" i="2"/>
  <c r="I86" i="2"/>
  <c r="J118" i="2"/>
  <c r="J117" i="2"/>
  <c r="I87" i="2"/>
  <c r="I105" i="2"/>
  <c r="H104" i="2"/>
  <c r="H110" i="2" s="1"/>
  <c r="H98" i="2"/>
  <c r="H106" i="2" s="1"/>
  <c r="H30" i="2" s="1"/>
  <c r="H73" i="2" s="1"/>
  <c r="I101" i="2"/>
  <c r="G99" i="2"/>
  <c r="G106" i="2"/>
  <c r="G30" i="2" s="1"/>
  <c r="G73" i="2" s="1"/>
  <c r="J97" i="2"/>
  <c r="I81" i="2"/>
  <c r="I82" i="2" s="1"/>
  <c r="I61" i="2"/>
  <c r="I78" i="2"/>
  <c r="J58" i="2"/>
  <c r="G84" i="2"/>
  <c r="H57" i="2"/>
  <c r="G150" i="2"/>
  <c r="H112" i="2"/>
  <c r="I50" i="2"/>
  <c r="H109" i="2"/>
  <c r="G111" i="2"/>
  <c r="G77" i="2" s="1"/>
  <c r="I46" i="2"/>
  <c r="I38" i="2"/>
  <c r="H20" i="2"/>
  <c r="J32" i="2"/>
  <c r="I74" i="2"/>
  <c r="F26" i="2"/>
  <c r="F31" i="2"/>
  <c r="F33" i="2" s="1"/>
  <c r="E26" i="2"/>
  <c r="E31" i="2"/>
  <c r="E33" i="2" s="1"/>
  <c r="D26" i="2"/>
  <c r="D31" i="2"/>
  <c r="D33" i="2" s="1"/>
  <c r="I17" i="2"/>
  <c r="H19" i="2"/>
  <c r="H21" i="2"/>
  <c r="G22" i="2"/>
  <c r="G18" i="2"/>
  <c r="I15" i="2"/>
  <c r="H44" i="2"/>
  <c r="H123" i="2"/>
  <c r="H140" i="2"/>
  <c r="H70" i="2"/>
  <c r="H94" i="2"/>
  <c r="I14" i="2"/>
  <c r="H93" i="2"/>
  <c r="H122" i="2"/>
  <c r="H69" i="2"/>
  <c r="H43" i="2"/>
  <c r="H139" i="2"/>
  <c r="H152" i="19"/>
  <c r="I151" i="19"/>
  <c r="F151" i="19"/>
  <c r="F218" i="17"/>
  <c r="G218" i="17" s="1"/>
  <c r="F152" i="15"/>
  <c r="G152" i="15" s="1"/>
  <c r="F67" i="15"/>
  <c r="J11" i="14"/>
  <c r="K11" i="14" s="1"/>
  <c r="J14" i="13"/>
  <c r="H14" i="13"/>
  <c r="I32" i="14"/>
  <c r="K56" i="10"/>
  <c r="F151" i="9"/>
  <c r="G151" i="9" s="1"/>
  <c r="K55" i="9"/>
  <c r="K48" i="9"/>
  <c r="F151" i="6"/>
  <c r="G151" i="6" s="1"/>
  <c r="K55" i="6"/>
  <c r="K55" i="4"/>
  <c r="K48" i="4"/>
  <c r="K55" i="5"/>
  <c r="I175" i="18"/>
  <c r="K14" i="13"/>
  <c r="F152" i="11"/>
  <c r="G152" i="11" s="1"/>
  <c r="H175" i="18"/>
  <c r="H176" i="18" s="1"/>
  <c r="H163" i="18"/>
  <c r="H218" i="16"/>
  <c r="G219" i="16"/>
  <c r="G209" i="16" s="1"/>
  <c r="G25" i="16" s="1"/>
  <c r="G153" i="10"/>
  <c r="H152" i="10"/>
  <c r="H175" i="19" l="1"/>
  <c r="H176" i="19" s="1"/>
  <c r="H163" i="19"/>
  <c r="H166" i="19" s="1"/>
  <c r="I106" i="19"/>
  <c r="I30" i="19" s="1"/>
  <c r="I73" i="19" s="1"/>
  <c r="L191" i="19"/>
  <c r="L183" i="19"/>
  <c r="L36" i="19" s="1"/>
  <c r="L189" i="19"/>
  <c r="K97" i="19"/>
  <c r="K55" i="19"/>
  <c r="K48" i="19"/>
  <c r="K54" i="19"/>
  <c r="L118" i="19"/>
  <c r="L86" i="19" s="1"/>
  <c r="L169" i="19" s="1"/>
  <c r="K86" i="19"/>
  <c r="K169" i="19" s="1"/>
  <c r="K105" i="19"/>
  <c r="J104" i="19"/>
  <c r="J110" i="19" s="1"/>
  <c r="K101" i="19"/>
  <c r="J98" i="19"/>
  <c r="I96" i="19"/>
  <c r="I99" i="19" s="1"/>
  <c r="H49" i="19"/>
  <c r="J57" i="19"/>
  <c r="I84" i="19"/>
  <c r="I150" i="19"/>
  <c r="J46" i="19"/>
  <c r="J50" i="19"/>
  <c r="I112" i="19"/>
  <c r="I109" i="19"/>
  <c r="H111" i="19"/>
  <c r="H77" i="19" s="1"/>
  <c r="J58" i="19"/>
  <c r="I78" i="19"/>
  <c r="J61" i="19"/>
  <c r="K32" i="19"/>
  <c r="J74" i="19"/>
  <c r="J170" i="19"/>
  <c r="G28" i="19"/>
  <c r="G40" i="19"/>
  <c r="H40" i="19" s="1"/>
  <c r="F28" i="19"/>
  <c r="F40" i="19"/>
  <c r="E28" i="19"/>
  <c r="E40" i="19"/>
  <c r="D28" i="19"/>
  <c r="D40" i="19"/>
  <c r="I22" i="19"/>
  <c r="I18" i="19"/>
  <c r="K17" i="19"/>
  <c r="J19" i="19"/>
  <c r="J20" i="19"/>
  <c r="J21" i="19"/>
  <c r="H31" i="19"/>
  <c r="H33" i="19" s="1"/>
  <c r="H47" i="19"/>
  <c r="H53" i="19"/>
  <c r="J15" i="19"/>
  <c r="I70" i="19"/>
  <c r="I44" i="19"/>
  <c r="I94" i="19"/>
  <c r="I123" i="19"/>
  <c r="I140" i="19"/>
  <c r="I160" i="19"/>
  <c r="I182" i="19"/>
  <c r="E43" i="19"/>
  <c r="E93" i="19"/>
  <c r="E122" i="19"/>
  <c r="E139" i="19"/>
  <c r="E159" i="19"/>
  <c r="D14" i="19"/>
  <c r="D159" i="19" s="1"/>
  <c r="J14" i="19"/>
  <c r="I43" i="19"/>
  <c r="I93" i="19"/>
  <c r="I122" i="19"/>
  <c r="I139" i="19"/>
  <c r="I159" i="19"/>
  <c r="I181" i="19"/>
  <c r="I69" i="19"/>
  <c r="K151" i="18"/>
  <c r="L118" i="18"/>
  <c r="L86" i="18" s="1"/>
  <c r="L169" i="18" s="1"/>
  <c r="K86" i="18"/>
  <c r="K169" i="18" s="1"/>
  <c r="L117" i="18"/>
  <c r="L87" i="18" s="1"/>
  <c r="K87" i="18"/>
  <c r="K105" i="18"/>
  <c r="J104" i="18"/>
  <c r="J110" i="18" s="1"/>
  <c r="K101" i="18"/>
  <c r="J98" i="18"/>
  <c r="J106" i="18" s="1"/>
  <c r="J30" i="18" s="1"/>
  <c r="J73" i="18" s="1"/>
  <c r="I96" i="18"/>
  <c r="I99" i="18" s="1"/>
  <c r="H49" i="18"/>
  <c r="K58" i="18"/>
  <c r="J78" i="18"/>
  <c r="K57" i="18"/>
  <c r="J84" i="18"/>
  <c r="J150" i="18"/>
  <c r="J152" i="18" s="1"/>
  <c r="J142" i="18" s="1"/>
  <c r="J24" i="18" s="1"/>
  <c r="K50" i="18"/>
  <c r="J112" i="18"/>
  <c r="J109" i="18"/>
  <c r="I111" i="18"/>
  <c r="I77" i="18" s="1"/>
  <c r="K46" i="18"/>
  <c r="K38" i="18"/>
  <c r="J20" i="18"/>
  <c r="L32" i="18"/>
  <c r="K74" i="18"/>
  <c r="K170" i="18"/>
  <c r="J61" i="18"/>
  <c r="G40" i="18"/>
  <c r="H40" i="18" s="1"/>
  <c r="G28" i="18"/>
  <c r="F28" i="18"/>
  <c r="F40" i="18"/>
  <c r="E40" i="18"/>
  <c r="E28" i="18"/>
  <c r="D40" i="18"/>
  <c r="D28" i="18"/>
  <c r="I22" i="18"/>
  <c r="I18" i="18"/>
  <c r="K17" i="18"/>
  <c r="J21" i="18"/>
  <c r="J19" i="18"/>
  <c r="H47" i="18"/>
  <c r="H53" i="18"/>
  <c r="H26" i="18"/>
  <c r="H31" i="18"/>
  <c r="H33" i="18" s="1"/>
  <c r="I44" i="18"/>
  <c r="J15" i="18"/>
  <c r="I70" i="18"/>
  <c r="I94" i="18"/>
  <c r="I123" i="18"/>
  <c r="I140" i="18"/>
  <c r="I160" i="18"/>
  <c r="J14" i="18"/>
  <c r="I43" i="18"/>
  <c r="I69" i="18"/>
  <c r="I93" i="18"/>
  <c r="I122" i="18"/>
  <c r="I139" i="18"/>
  <c r="I159" i="18"/>
  <c r="J222" i="17"/>
  <c r="K183" i="17"/>
  <c r="J279" i="17"/>
  <c r="J88" i="17"/>
  <c r="J170" i="17"/>
  <c r="I59" i="17"/>
  <c r="H86" i="17"/>
  <c r="H217" i="17"/>
  <c r="F29" i="17"/>
  <c r="F41" i="17"/>
  <c r="E29" i="17"/>
  <c r="E41" i="17"/>
  <c r="D29" i="17"/>
  <c r="D41" i="17"/>
  <c r="I16" i="17"/>
  <c r="H45" i="17"/>
  <c r="H72" i="17"/>
  <c r="H96" i="17"/>
  <c r="H141" i="17"/>
  <c r="H190" i="17"/>
  <c r="H207" i="17"/>
  <c r="H270" i="17"/>
  <c r="H240" i="17"/>
  <c r="I15" i="17"/>
  <c r="H44" i="17"/>
  <c r="H71" i="17"/>
  <c r="H95" i="17"/>
  <c r="H140" i="17"/>
  <c r="H189" i="17"/>
  <c r="H206" i="17"/>
  <c r="H269" i="17"/>
  <c r="H239" i="17"/>
  <c r="G160" i="17"/>
  <c r="G166" i="17" s="1"/>
  <c r="G145" i="17" s="1"/>
  <c r="C161" i="17"/>
  <c r="J222" i="16"/>
  <c r="J183" i="16"/>
  <c r="I279" i="16"/>
  <c r="I88" i="16"/>
  <c r="J170" i="16"/>
  <c r="I51" i="16"/>
  <c r="J143" i="16"/>
  <c r="I59" i="16"/>
  <c r="H86" i="16"/>
  <c r="H217" i="16"/>
  <c r="H219" i="16" s="1"/>
  <c r="F29" i="16"/>
  <c r="F41" i="16"/>
  <c r="E29" i="16"/>
  <c r="E41" i="16"/>
  <c r="D29" i="16"/>
  <c r="D41" i="16"/>
  <c r="I16" i="16"/>
  <c r="H45" i="16"/>
  <c r="H72" i="16"/>
  <c r="H96" i="16"/>
  <c r="H141" i="16"/>
  <c r="H190" i="16"/>
  <c r="H207" i="16"/>
  <c r="H240" i="16"/>
  <c r="H270" i="16"/>
  <c r="I15" i="16"/>
  <c r="H44" i="16"/>
  <c r="H71" i="16"/>
  <c r="H95" i="16"/>
  <c r="H140" i="16"/>
  <c r="C162" i="16" s="1"/>
  <c r="H189" i="16"/>
  <c r="H206" i="16"/>
  <c r="H239" i="16"/>
  <c r="H269" i="16"/>
  <c r="G13" i="14"/>
  <c r="G14" i="14" s="1"/>
  <c r="G37" i="14"/>
  <c r="H13" i="14"/>
  <c r="H37" i="14"/>
  <c r="I13" i="14"/>
  <c r="I37" i="14"/>
  <c r="J13" i="14"/>
  <c r="J37" i="14"/>
  <c r="K13" i="14"/>
  <c r="K37" i="14"/>
  <c r="J156" i="15"/>
  <c r="K119" i="15"/>
  <c r="J213" i="15"/>
  <c r="J87" i="15"/>
  <c r="K118" i="15"/>
  <c r="K88" i="15" s="1"/>
  <c r="J88" i="15"/>
  <c r="J106" i="15"/>
  <c r="J102" i="15"/>
  <c r="I99" i="15"/>
  <c r="H97" i="15"/>
  <c r="H100" i="15" s="1"/>
  <c r="G50" i="15"/>
  <c r="I58" i="15"/>
  <c r="H85" i="15"/>
  <c r="H151" i="15"/>
  <c r="F29" i="15"/>
  <c r="F41" i="15"/>
  <c r="E29" i="15"/>
  <c r="E41" i="15"/>
  <c r="D29" i="15"/>
  <c r="D41" i="15"/>
  <c r="I16" i="15"/>
  <c r="H45" i="15"/>
  <c r="H71" i="15"/>
  <c r="H95" i="15"/>
  <c r="H124" i="15"/>
  <c r="H141" i="15"/>
  <c r="H174" i="15"/>
  <c r="H204" i="15"/>
  <c r="H4" i="14"/>
  <c r="I15" i="15"/>
  <c r="H44" i="15"/>
  <c r="H70" i="15"/>
  <c r="H94" i="15"/>
  <c r="H123" i="15"/>
  <c r="H140" i="15"/>
  <c r="H173" i="15"/>
  <c r="H203" i="15"/>
  <c r="H3" i="14"/>
  <c r="K55" i="11"/>
  <c r="K98" i="11"/>
  <c r="K82" i="11" s="1"/>
  <c r="K83" i="11" s="1"/>
  <c r="K56" i="11"/>
  <c r="K49" i="11"/>
  <c r="J119" i="11"/>
  <c r="I208" i="11"/>
  <c r="I87" i="11"/>
  <c r="K118" i="11"/>
  <c r="K88" i="11" s="1"/>
  <c r="J88" i="11"/>
  <c r="J106" i="11"/>
  <c r="J102" i="11"/>
  <c r="I99" i="11"/>
  <c r="H97" i="11"/>
  <c r="H100" i="11" s="1"/>
  <c r="G50" i="11"/>
  <c r="H85" i="11"/>
  <c r="H151" i="11"/>
  <c r="I58" i="11"/>
  <c r="I47" i="11"/>
  <c r="H21" i="11"/>
  <c r="I18" i="11"/>
  <c r="I105" i="11" s="1"/>
  <c r="H20" i="11"/>
  <c r="H22" i="11"/>
  <c r="G23" i="11"/>
  <c r="G19" i="11"/>
  <c r="H79" i="11"/>
  <c r="I59" i="11"/>
  <c r="H110" i="11"/>
  <c r="G112" i="11"/>
  <c r="G78" i="11" s="1"/>
  <c r="I51" i="11"/>
  <c r="H113" i="11"/>
  <c r="I33" i="11"/>
  <c r="H75" i="11"/>
  <c r="H209" i="11"/>
  <c r="H214" i="11" s="1"/>
  <c r="H62" i="11"/>
  <c r="F117" i="11"/>
  <c r="F201" i="11"/>
  <c r="F218" i="11"/>
  <c r="E117" i="11"/>
  <c r="E201" i="11"/>
  <c r="E218" i="11"/>
  <c r="D117" i="11"/>
  <c r="D201" i="11"/>
  <c r="D218" i="11"/>
  <c r="J16" i="11"/>
  <c r="I71" i="11"/>
  <c r="I95" i="11"/>
  <c r="I124" i="11"/>
  <c r="I141" i="11"/>
  <c r="I174" i="11"/>
  <c r="I199" i="11"/>
  <c r="I4" i="12"/>
  <c r="I4" i="13"/>
  <c r="I45" i="11"/>
  <c r="J15" i="11"/>
  <c r="I44" i="11"/>
  <c r="I70" i="11"/>
  <c r="I94" i="11"/>
  <c r="I123" i="11"/>
  <c r="I140" i="11"/>
  <c r="I173" i="11"/>
  <c r="I198" i="11"/>
  <c r="I3" i="12"/>
  <c r="I3" i="13"/>
  <c r="K119" i="10"/>
  <c r="K87" i="10" s="1"/>
  <c r="J87" i="10"/>
  <c r="K118" i="10"/>
  <c r="K88" i="10" s="1"/>
  <c r="J88" i="10"/>
  <c r="J106" i="10"/>
  <c r="I105" i="10"/>
  <c r="I111" i="10" s="1"/>
  <c r="J102" i="10"/>
  <c r="I99" i="10"/>
  <c r="I107" i="10" s="1"/>
  <c r="I31" i="10" s="1"/>
  <c r="I74" i="10" s="1"/>
  <c r="H97" i="10"/>
  <c r="H100" i="10" s="1"/>
  <c r="G50" i="10"/>
  <c r="J59" i="10"/>
  <c r="I79" i="10"/>
  <c r="I58" i="10"/>
  <c r="H85" i="10"/>
  <c r="H151" i="10"/>
  <c r="J51" i="10"/>
  <c r="I113" i="10"/>
  <c r="I110" i="10"/>
  <c r="H112" i="10"/>
  <c r="H78" i="10" s="1"/>
  <c r="J47" i="10"/>
  <c r="I62" i="10"/>
  <c r="J33" i="10"/>
  <c r="I75" i="10"/>
  <c r="F29" i="10"/>
  <c r="F41" i="10"/>
  <c r="E29" i="10"/>
  <c r="E41" i="10"/>
  <c r="D29" i="10"/>
  <c r="D41" i="10"/>
  <c r="J18" i="10"/>
  <c r="I20" i="10"/>
  <c r="I21" i="10"/>
  <c r="I22" i="10"/>
  <c r="H23" i="10"/>
  <c r="H19" i="10"/>
  <c r="G32" i="10"/>
  <c r="G34" i="10" s="1"/>
  <c r="G48" i="10"/>
  <c r="G54" i="10"/>
  <c r="I16" i="10"/>
  <c r="H45" i="10"/>
  <c r="H71" i="10"/>
  <c r="H95" i="10"/>
  <c r="H124" i="10"/>
  <c r="H141" i="10"/>
  <c r="H174" i="10"/>
  <c r="H199" i="10"/>
  <c r="I15" i="10"/>
  <c r="H44" i="10"/>
  <c r="H70" i="10"/>
  <c r="H94" i="10"/>
  <c r="H123" i="10"/>
  <c r="H140" i="10"/>
  <c r="H173" i="10"/>
  <c r="H198" i="10"/>
  <c r="K118" i="9"/>
  <c r="K86" i="9" s="1"/>
  <c r="J86" i="9"/>
  <c r="K117" i="9"/>
  <c r="K87" i="9" s="1"/>
  <c r="J87" i="9"/>
  <c r="J105" i="9"/>
  <c r="I104" i="9"/>
  <c r="I110" i="9" s="1"/>
  <c r="J101" i="9"/>
  <c r="I98" i="9"/>
  <c r="I106" i="9" s="1"/>
  <c r="I30" i="9" s="1"/>
  <c r="I73" i="9" s="1"/>
  <c r="H96" i="9"/>
  <c r="H99" i="9" s="1"/>
  <c r="G49" i="9"/>
  <c r="J58" i="9"/>
  <c r="I78" i="9"/>
  <c r="I57" i="9"/>
  <c r="H84" i="9"/>
  <c r="H150" i="9"/>
  <c r="J50" i="9"/>
  <c r="I112" i="9"/>
  <c r="I109" i="9"/>
  <c r="H111" i="9"/>
  <c r="H77" i="9" s="1"/>
  <c r="J46" i="9"/>
  <c r="I61" i="9"/>
  <c r="I74" i="9"/>
  <c r="J32" i="9"/>
  <c r="F40" i="9"/>
  <c r="F28" i="9"/>
  <c r="F116" i="9" s="1"/>
  <c r="E40" i="9"/>
  <c r="E28" i="9"/>
  <c r="E116" i="9" s="1"/>
  <c r="D40" i="9"/>
  <c r="D28" i="9"/>
  <c r="D116" i="9" s="1"/>
  <c r="I20" i="9"/>
  <c r="I21" i="9"/>
  <c r="J17" i="9"/>
  <c r="I19" i="9"/>
  <c r="H18" i="9"/>
  <c r="H22" i="9"/>
  <c r="G53" i="9"/>
  <c r="G47" i="9"/>
  <c r="G31" i="9"/>
  <c r="G33" i="9" s="1"/>
  <c r="J15" i="9"/>
  <c r="I44" i="9"/>
  <c r="I70" i="9"/>
  <c r="I94" i="9"/>
  <c r="I123" i="9"/>
  <c r="I140" i="9"/>
  <c r="D94" i="9"/>
  <c r="D123" i="9"/>
  <c r="D140" i="9"/>
  <c r="D93" i="9"/>
  <c r="D122" i="9"/>
  <c r="D139" i="9"/>
  <c r="I14" i="9"/>
  <c r="H43" i="9"/>
  <c r="H69" i="9"/>
  <c r="H93" i="9"/>
  <c r="H122" i="9"/>
  <c r="H139" i="9"/>
  <c r="J151" i="8"/>
  <c r="K118" i="8"/>
  <c r="K86" i="8" s="1"/>
  <c r="J86" i="8"/>
  <c r="J87" i="8"/>
  <c r="K117" i="8"/>
  <c r="K87" i="8" s="1"/>
  <c r="J105" i="8"/>
  <c r="I104" i="8"/>
  <c r="I110" i="8" s="1"/>
  <c r="J101" i="8"/>
  <c r="I98" i="8"/>
  <c r="I106" i="8" s="1"/>
  <c r="I30" i="8" s="1"/>
  <c r="I73" i="8" s="1"/>
  <c r="H96" i="8"/>
  <c r="H99" i="8" s="1"/>
  <c r="G49" i="8"/>
  <c r="J61" i="8"/>
  <c r="K58" i="8"/>
  <c r="K78" i="8" s="1"/>
  <c r="J78" i="8"/>
  <c r="J57" i="8"/>
  <c r="I84" i="8"/>
  <c r="I150" i="8"/>
  <c r="I152" i="8" s="1"/>
  <c r="K50" i="8"/>
  <c r="K112" i="8" s="1"/>
  <c r="J112" i="8"/>
  <c r="K77" i="8"/>
  <c r="J109" i="8"/>
  <c r="I111" i="8"/>
  <c r="J46" i="8"/>
  <c r="J32" i="8"/>
  <c r="I74" i="8"/>
  <c r="F28" i="8"/>
  <c r="F116" i="8" s="1"/>
  <c r="F40" i="8"/>
  <c r="E28" i="8"/>
  <c r="E116" i="8" s="1"/>
  <c r="E40" i="8"/>
  <c r="D28" i="8"/>
  <c r="D116" i="8" s="1"/>
  <c r="D40" i="8"/>
  <c r="J17" i="8"/>
  <c r="I19" i="8"/>
  <c r="I20" i="8"/>
  <c r="I21" i="8"/>
  <c r="H22" i="8"/>
  <c r="H18" i="8"/>
  <c r="G31" i="8"/>
  <c r="G33" i="8" s="1"/>
  <c r="G47" i="8"/>
  <c r="G53" i="8"/>
  <c r="I15" i="8"/>
  <c r="H44" i="8"/>
  <c r="H70" i="8"/>
  <c r="H94" i="8"/>
  <c r="H123" i="8"/>
  <c r="H140" i="8"/>
  <c r="I14" i="8"/>
  <c r="H43" i="8"/>
  <c r="H69" i="8"/>
  <c r="H93" i="8"/>
  <c r="H122" i="8"/>
  <c r="H139" i="8"/>
  <c r="J151" i="7"/>
  <c r="K118" i="7"/>
  <c r="K86" i="7" s="1"/>
  <c r="J86" i="7"/>
  <c r="K117" i="7"/>
  <c r="K87" i="7" s="1"/>
  <c r="J87" i="7"/>
  <c r="J105" i="7"/>
  <c r="I104" i="7"/>
  <c r="I110" i="7" s="1"/>
  <c r="J101" i="7"/>
  <c r="I98" i="7"/>
  <c r="I106" i="7" s="1"/>
  <c r="I30" i="7" s="1"/>
  <c r="I73" i="7" s="1"/>
  <c r="H96" i="7"/>
  <c r="H99" i="7" s="1"/>
  <c r="G49" i="7"/>
  <c r="K97" i="7"/>
  <c r="K81" i="7" s="1"/>
  <c r="K82" i="7" s="1"/>
  <c r="J81" i="7"/>
  <c r="J82" i="7" s="1"/>
  <c r="J58" i="7"/>
  <c r="I78" i="7"/>
  <c r="I57" i="7"/>
  <c r="H84" i="7"/>
  <c r="H150" i="7"/>
  <c r="J50" i="7"/>
  <c r="I112" i="7"/>
  <c r="I109" i="7"/>
  <c r="H111" i="7"/>
  <c r="H77" i="7" s="1"/>
  <c r="J46" i="7"/>
  <c r="J38" i="7"/>
  <c r="I20" i="7"/>
  <c r="J32" i="7"/>
  <c r="I74" i="7"/>
  <c r="I61" i="7"/>
  <c r="F28" i="7"/>
  <c r="F116" i="7" s="1"/>
  <c r="F40" i="7"/>
  <c r="G40" i="7" s="1"/>
  <c r="E28" i="7"/>
  <c r="E116" i="7" s="1"/>
  <c r="E40" i="7"/>
  <c r="D28" i="7"/>
  <c r="D116" i="7" s="1"/>
  <c r="D40" i="7"/>
  <c r="J17" i="7"/>
  <c r="I19" i="7"/>
  <c r="I21" i="7"/>
  <c r="H22" i="7"/>
  <c r="H18" i="7"/>
  <c r="G31" i="7"/>
  <c r="G33" i="7" s="1"/>
  <c r="G47" i="7"/>
  <c r="G53" i="7"/>
  <c r="I15" i="7"/>
  <c r="H44" i="7"/>
  <c r="H70" i="7"/>
  <c r="H94" i="7"/>
  <c r="H123" i="7"/>
  <c r="H140" i="7"/>
  <c r="I14" i="7"/>
  <c r="H43" i="7"/>
  <c r="H69" i="7"/>
  <c r="H93" i="7"/>
  <c r="H122" i="7"/>
  <c r="H139" i="7"/>
  <c r="J86" i="6"/>
  <c r="K118" i="6"/>
  <c r="K86" i="6" s="1"/>
  <c r="K117" i="6"/>
  <c r="K87" i="6" s="1"/>
  <c r="J87" i="6"/>
  <c r="J105" i="6"/>
  <c r="I104" i="6"/>
  <c r="I110" i="6" s="1"/>
  <c r="I98" i="6"/>
  <c r="I106" i="6" s="1"/>
  <c r="I30" i="6" s="1"/>
  <c r="I73" i="6" s="1"/>
  <c r="J101" i="6"/>
  <c r="G49" i="6"/>
  <c r="H96" i="6"/>
  <c r="H99" i="6" s="1"/>
  <c r="I78" i="6"/>
  <c r="J58" i="6"/>
  <c r="H84" i="6"/>
  <c r="H150" i="6"/>
  <c r="I57" i="6"/>
  <c r="K50" i="6"/>
  <c r="K112" i="6" s="1"/>
  <c r="J112" i="6"/>
  <c r="I111" i="6"/>
  <c r="I77" i="6" s="1"/>
  <c r="J109" i="6"/>
  <c r="J46" i="6"/>
  <c r="I61" i="6"/>
  <c r="I74" i="6"/>
  <c r="J32" i="6"/>
  <c r="F28" i="6"/>
  <c r="F116" i="6" s="1"/>
  <c r="F40" i="6"/>
  <c r="E28" i="6"/>
  <c r="E116" i="6" s="1"/>
  <c r="E40" i="6"/>
  <c r="D40" i="6"/>
  <c r="D28" i="6"/>
  <c r="D116" i="6" s="1"/>
  <c r="G53" i="6"/>
  <c r="G47" i="6"/>
  <c r="G31" i="6"/>
  <c r="G33" i="6" s="1"/>
  <c r="H18" i="6"/>
  <c r="H22" i="6"/>
  <c r="J17" i="6"/>
  <c r="I21" i="6"/>
  <c r="I19" i="6"/>
  <c r="I20" i="6"/>
  <c r="I123" i="6"/>
  <c r="I140" i="6"/>
  <c r="J15" i="6"/>
  <c r="I70" i="6"/>
  <c r="I94" i="6"/>
  <c r="I44" i="6"/>
  <c r="I14" i="6"/>
  <c r="H69" i="6"/>
  <c r="H43" i="6"/>
  <c r="H93" i="6"/>
  <c r="H139" i="6"/>
  <c r="H122" i="6"/>
  <c r="K155" i="5"/>
  <c r="J145" i="5"/>
  <c r="J151" i="5"/>
  <c r="I86" i="5"/>
  <c r="J118" i="5"/>
  <c r="J117" i="5"/>
  <c r="I87" i="5"/>
  <c r="I104" i="5"/>
  <c r="I110" i="5" s="1"/>
  <c r="J105" i="5"/>
  <c r="J101" i="5"/>
  <c r="I98" i="5"/>
  <c r="I106" i="5" s="1"/>
  <c r="I30" i="5" s="1"/>
  <c r="I73" i="5" s="1"/>
  <c r="H96" i="5"/>
  <c r="H99" i="5" s="1"/>
  <c r="G49" i="5"/>
  <c r="J58" i="5"/>
  <c r="I78" i="5"/>
  <c r="J57" i="5"/>
  <c r="I84" i="5"/>
  <c r="I150" i="5"/>
  <c r="I152" i="5" s="1"/>
  <c r="K50" i="5"/>
  <c r="K112" i="5" s="1"/>
  <c r="J112" i="5"/>
  <c r="J109" i="5"/>
  <c r="I111" i="5"/>
  <c r="I77" i="5" s="1"/>
  <c r="J46" i="5"/>
  <c r="J32" i="5"/>
  <c r="I74" i="5"/>
  <c r="I61" i="5"/>
  <c r="F28" i="5"/>
  <c r="F116" i="5" s="1"/>
  <c r="F40" i="5"/>
  <c r="E28" i="5"/>
  <c r="E116" i="5" s="1"/>
  <c r="E40" i="5"/>
  <c r="D28" i="5"/>
  <c r="D116" i="5" s="1"/>
  <c r="D40" i="5"/>
  <c r="G31" i="5"/>
  <c r="G33" i="5" s="1"/>
  <c r="G47" i="5"/>
  <c r="G53" i="5"/>
  <c r="J17" i="5"/>
  <c r="I19" i="5"/>
  <c r="I20" i="5"/>
  <c r="I21" i="5"/>
  <c r="H22" i="5"/>
  <c r="H18" i="5"/>
  <c r="I15" i="5"/>
  <c r="H44" i="5"/>
  <c r="H70" i="5"/>
  <c r="H94" i="5"/>
  <c r="H140" i="5"/>
  <c r="H123" i="5"/>
  <c r="D93" i="5"/>
  <c r="D122" i="5"/>
  <c r="D139" i="5"/>
  <c r="I14" i="5"/>
  <c r="H43" i="5"/>
  <c r="H69" i="5"/>
  <c r="H93" i="5"/>
  <c r="H122" i="5"/>
  <c r="H139" i="5"/>
  <c r="J87" i="4"/>
  <c r="K117" i="4"/>
  <c r="K87" i="4" s="1"/>
  <c r="H106" i="4"/>
  <c r="H30" i="4" s="1"/>
  <c r="H73" i="4" s="1"/>
  <c r="H110" i="4"/>
  <c r="I104" i="4"/>
  <c r="J105" i="4"/>
  <c r="I98" i="4"/>
  <c r="I99" i="4" s="1"/>
  <c r="J101" i="4"/>
  <c r="I78" i="4"/>
  <c r="J58" i="4"/>
  <c r="I84" i="4"/>
  <c r="I88" i="4" s="1"/>
  <c r="J57" i="4"/>
  <c r="I109" i="4"/>
  <c r="H111" i="4"/>
  <c r="H77" i="4" s="1"/>
  <c r="I112" i="4"/>
  <c r="J50" i="4"/>
  <c r="J46" i="4"/>
  <c r="I61" i="4"/>
  <c r="J32" i="4"/>
  <c r="I74" i="4"/>
  <c r="F40" i="4"/>
  <c r="F28" i="4"/>
  <c r="F116" i="4" s="1"/>
  <c r="E40" i="4"/>
  <c r="E28" i="4"/>
  <c r="E116" i="4" s="1"/>
  <c r="D28" i="4"/>
  <c r="D116" i="4" s="1"/>
  <c r="D40" i="4"/>
  <c r="J17" i="4"/>
  <c r="I21" i="4"/>
  <c r="I20" i="4"/>
  <c r="I19" i="4"/>
  <c r="H18" i="4"/>
  <c r="H22" i="4"/>
  <c r="G26" i="4"/>
  <c r="G31" i="4"/>
  <c r="G33" i="4" s="1"/>
  <c r="G47" i="4"/>
  <c r="G53" i="4"/>
  <c r="I44" i="4"/>
  <c r="I70" i="4"/>
  <c r="J15" i="4"/>
  <c r="I94" i="4"/>
  <c r="I14" i="4"/>
  <c r="H69" i="4"/>
  <c r="H43" i="4"/>
  <c r="H93" i="4"/>
  <c r="I78" i="3"/>
  <c r="J58" i="3"/>
  <c r="J57" i="3"/>
  <c r="I84" i="3"/>
  <c r="I88" i="3" s="1"/>
  <c r="J46" i="3"/>
  <c r="I61" i="3"/>
  <c r="H64" i="3"/>
  <c r="I74" i="3"/>
  <c r="J32" i="3"/>
  <c r="F28" i="3"/>
  <c r="F40" i="3"/>
  <c r="E28" i="3"/>
  <c r="E40" i="3"/>
  <c r="D28" i="3"/>
  <c r="D40" i="3"/>
  <c r="G26" i="3"/>
  <c r="G31" i="3"/>
  <c r="G33" i="3" s="1"/>
  <c r="G53" i="3"/>
  <c r="G47" i="3"/>
  <c r="J17" i="3"/>
  <c r="I20" i="3"/>
  <c r="I21" i="3"/>
  <c r="I19" i="3"/>
  <c r="H22" i="3"/>
  <c r="H18" i="3"/>
  <c r="J15" i="3"/>
  <c r="I70" i="3"/>
  <c r="I44" i="3"/>
  <c r="I14" i="3"/>
  <c r="H43" i="3"/>
  <c r="H69" i="3"/>
  <c r="F28" i="1"/>
  <c r="F40" i="1"/>
  <c r="E28" i="1"/>
  <c r="E40" i="1"/>
  <c r="D40" i="1"/>
  <c r="D28" i="1"/>
  <c r="J151" i="2"/>
  <c r="J86" i="2"/>
  <c r="K118" i="2"/>
  <c r="K86" i="2" s="1"/>
  <c r="J87" i="2"/>
  <c r="K117" i="2"/>
  <c r="K87" i="2" s="1"/>
  <c r="J105" i="2"/>
  <c r="I104" i="2"/>
  <c r="I110" i="2" s="1"/>
  <c r="I98" i="2"/>
  <c r="I106" i="2" s="1"/>
  <c r="I30" i="2" s="1"/>
  <c r="I73" i="2" s="1"/>
  <c r="J101" i="2"/>
  <c r="H96" i="2"/>
  <c r="H99" i="2" s="1"/>
  <c r="G49" i="2"/>
  <c r="K97" i="2"/>
  <c r="K81" i="2" s="1"/>
  <c r="K82" i="2" s="1"/>
  <c r="J81" i="2"/>
  <c r="J82" i="2" s="1"/>
  <c r="J61" i="2"/>
  <c r="J78" i="2"/>
  <c r="K58" i="2"/>
  <c r="K78" i="2" s="1"/>
  <c r="H84" i="2"/>
  <c r="H150" i="2"/>
  <c r="I57" i="2"/>
  <c r="I109" i="2"/>
  <c r="H111" i="2"/>
  <c r="H77" i="2" s="1"/>
  <c r="I112" i="2"/>
  <c r="J50" i="2"/>
  <c r="J46" i="2"/>
  <c r="J38" i="2"/>
  <c r="I20" i="2"/>
  <c r="K32" i="2"/>
  <c r="K74" i="2" s="1"/>
  <c r="J74" i="2"/>
  <c r="F28" i="2"/>
  <c r="F116" i="2" s="1"/>
  <c r="F40" i="2"/>
  <c r="G40" i="2" s="1"/>
  <c r="E28" i="2"/>
  <c r="E116" i="2" s="1"/>
  <c r="E40" i="2"/>
  <c r="D28" i="2"/>
  <c r="D116" i="2" s="1"/>
  <c r="D40" i="2"/>
  <c r="J17" i="2"/>
  <c r="I19" i="2"/>
  <c r="I21" i="2"/>
  <c r="H22" i="2"/>
  <c r="H18" i="2"/>
  <c r="G31" i="2"/>
  <c r="G33" i="2" s="1"/>
  <c r="G53" i="2"/>
  <c r="G47" i="2"/>
  <c r="J15" i="2"/>
  <c r="I94" i="2"/>
  <c r="I70" i="2"/>
  <c r="I140" i="2"/>
  <c r="I123" i="2"/>
  <c r="I44" i="2"/>
  <c r="J14" i="2"/>
  <c r="I69" i="2"/>
  <c r="I122" i="2"/>
  <c r="I93" i="2"/>
  <c r="I139" i="2"/>
  <c r="I43" i="2"/>
  <c r="J151" i="19"/>
  <c r="I152" i="19"/>
  <c r="H218" i="17"/>
  <c r="G219" i="17"/>
  <c r="G209" i="17" s="1"/>
  <c r="G25" i="17" s="1"/>
  <c r="G153" i="15"/>
  <c r="G143" i="15" s="1"/>
  <c r="G25" i="15" s="1"/>
  <c r="H152" i="15"/>
  <c r="G152" i="9"/>
  <c r="H151" i="9"/>
  <c r="H151" i="6"/>
  <c r="G152" i="6"/>
  <c r="G153" i="11"/>
  <c r="H152" i="11"/>
  <c r="H177" i="18"/>
  <c r="I174" i="18"/>
  <c r="I176" i="18" s="1"/>
  <c r="H166" i="18"/>
  <c r="I163" i="18"/>
  <c r="I218" i="16"/>
  <c r="H153" i="10"/>
  <c r="I152" i="10"/>
  <c r="J175" i="18"/>
  <c r="H107" i="11"/>
  <c r="H31" i="11" s="1"/>
  <c r="H74" i="11" s="1"/>
  <c r="H111" i="11"/>
  <c r="G214" i="11"/>
  <c r="G215" i="11" s="1"/>
  <c r="G202" i="11"/>
  <c r="G152" i="7"/>
  <c r="H152" i="7"/>
  <c r="G152" i="2"/>
  <c r="H152" i="2"/>
  <c r="H177" i="19" l="1"/>
  <c r="I174" i="19"/>
  <c r="J106" i="19"/>
  <c r="J30" i="19" s="1"/>
  <c r="J73" i="19" s="1"/>
  <c r="J14" i="14"/>
  <c r="K14" i="14"/>
  <c r="I14" i="14"/>
  <c r="H14" i="14"/>
  <c r="H37" i="15" s="1"/>
  <c r="L48" i="19"/>
  <c r="L54" i="19"/>
  <c r="L55" i="19"/>
  <c r="K81" i="19"/>
  <c r="K82" i="19" s="1"/>
  <c r="L97" i="19"/>
  <c r="L81" i="19" s="1"/>
  <c r="L82" i="19" s="1"/>
  <c r="L105" i="19"/>
  <c r="K104" i="19"/>
  <c r="K110" i="19" s="1"/>
  <c r="L101" i="19"/>
  <c r="K98" i="19"/>
  <c r="J96" i="19"/>
  <c r="J99" i="19" s="1"/>
  <c r="I49" i="19"/>
  <c r="K57" i="19"/>
  <c r="J150" i="19"/>
  <c r="J84" i="19"/>
  <c r="K46" i="19"/>
  <c r="K50" i="19"/>
  <c r="J112" i="19"/>
  <c r="J109" i="19"/>
  <c r="I111" i="19"/>
  <c r="I77" i="19" s="1"/>
  <c r="K58" i="19"/>
  <c r="J78" i="19"/>
  <c r="K61" i="19"/>
  <c r="K170" i="19"/>
  <c r="L32" i="19"/>
  <c r="K74" i="19"/>
  <c r="G116" i="19"/>
  <c r="G162" i="19"/>
  <c r="I40" i="19"/>
  <c r="F116" i="19"/>
  <c r="F162" i="19"/>
  <c r="E116" i="19"/>
  <c r="E162" i="19"/>
  <c r="D116" i="19"/>
  <c r="D162" i="19"/>
  <c r="I31" i="19"/>
  <c r="I33" i="19" s="1"/>
  <c r="K21" i="19"/>
  <c r="L17" i="19"/>
  <c r="K19" i="19"/>
  <c r="K20" i="19"/>
  <c r="J22" i="19"/>
  <c r="J18" i="19"/>
  <c r="H75" i="19"/>
  <c r="I47" i="19"/>
  <c r="I75" i="19" s="1"/>
  <c r="I53" i="19"/>
  <c r="H76" i="19"/>
  <c r="J70" i="19"/>
  <c r="K15" i="19"/>
  <c r="J44" i="19"/>
  <c r="J94" i="19"/>
  <c r="J123" i="19"/>
  <c r="J140" i="19"/>
  <c r="J160" i="19"/>
  <c r="J182" i="19"/>
  <c r="K14" i="19"/>
  <c r="J43" i="19"/>
  <c r="J122" i="19"/>
  <c r="J139" i="19"/>
  <c r="J159" i="19"/>
  <c r="J181" i="19"/>
  <c r="J69" i="19"/>
  <c r="J93" i="19"/>
  <c r="L151" i="18"/>
  <c r="L105" i="18"/>
  <c r="K104" i="18"/>
  <c r="K110" i="18" s="1"/>
  <c r="L101" i="18"/>
  <c r="L98" i="18" s="1"/>
  <c r="K98" i="18"/>
  <c r="I49" i="18"/>
  <c r="J96" i="18"/>
  <c r="J99" i="18" s="1"/>
  <c r="L58" i="18"/>
  <c r="L78" i="18" s="1"/>
  <c r="K78" i="18"/>
  <c r="L57" i="18"/>
  <c r="K84" i="18"/>
  <c r="K150" i="18"/>
  <c r="K152" i="18" s="1"/>
  <c r="K142" i="18" s="1"/>
  <c r="K24" i="18" s="1"/>
  <c r="L50" i="18"/>
  <c r="L112" i="18" s="1"/>
  <c r="K112" i="18"/>
  <c r="K109" i="18"/>
  <c r="J111" i="18"/>
  <c r="J77" i="18" s="1"/>
  <c r="L46" i="18"/>
  <c r="L38" i="18"/>
  <c r="K20" i="18"/>
  <c r="L74" i="18"/>
  <c r="L170" i="18"/>
  <c r="L175" i="18" s="1"/>
  <c r="K61" i="18"/>
  <c r="I40" i="18"/>
  <c r="H27" i="18"/>
  <c r="H28" i="18" s="1"/>
  <c r="G116" i="18"/>
  <c r="G162" i="18"/>
  <c r="F116" i="18"/>
  <c r="F162" i="18"/>
  <c r="E116" i="18"/>
  <c r="E162" i="18"/>
  <c r="I26" i="18"/>
  <c r="I31" i="18"/>
  <c r="I33" i="18" s="1"/>
  <c r="K19" i="18"/>
  <c r="L17" i="18"/>
  <c r="K21" i="18"/>
  <c r="J18" i="18"/>
  <c r="J22" i="18"/>
  <c r="H75" i="18"/>
  <c r="I47" i="18"/>
  <c r="I75" i="18" s="1"/>
  <c r="I53" i="18"/>
  <c r="H59" i="18"/>
  <c r="H76" i="18"/>
  <c r="H72" i="18"/>
  <c r="H79" i="18" s="1"/>
  <c r="H116" i="18"/>
  <c r="H119" i="18" s="1"/>
  <c r="H162" i="18"/>
  <c r="K15" i="18"/>
  <c r="J70" i="18"/>
  <c r="J94" i="18"/>
  <c r="J123" i="18"/>
  <c r="J140" i="18"/>
  <c r="J160" i="18"/>
  <c r="J44" i="18"/>
  <c r="K14" i="18"/>
  <c r="J43" i="18"/>
  <c r="J69" i="18"/>
  <c r="J93" i="18"/>
  <c r="J122" i="18"/>
  <c r="J139" i="18"/>
  <c r="J159" i="18"/>
  <c r="K222" i="17"/>
  <c r="K279" i="17"/>
  <c r="K88" i="17"/>
  <c r="K170" i="17"/>
  <c r="J59" i="17"/>
  <c r="I86" i="17"/>
  <c r="I217" i="17"/>
  <c r="F181" i="17"/>
  <c r="F186" i="17" s="1"/>
  <c r="G186" i="17" s="1"/>
  <c r="F272" i="17"/>
  <c r="E181" i="17"/>
  <c r="E186" i="17" s="1"/>
  <c r="E272" i="17"/>
  <c r="D181" i="17"/>
  <c r="D186" i="17" s="1"/>
  <c r="D272" i="17"/>
  <c r="J16" i="17"/>
  <c r="I45" i="17"/>
  <c r="I72" i="17"/>
  <c r="I96" i="17"/>
  <c r="I141" i="17"/>
  <c r="I190" i="17"/>
  <c r="I207" i="17"/>
  <c r="I240" i="17"/>
  <c r="I270" i="17"/>
  <c r="J15" i="17"/>
  <c r="I44" i="17"/>
  <c r="I71" i="17"/>
  <c r="I95" i="17"/>
  <c r="I140" i="17"/>
  <c r="I189" i="17"/>
  <c r="I206" i="17"/>
  <c r="I239" i="17"/>
  <c r="I269" i="17"/>
  <c r="H160" i="17"/>
  <c r="H166" i="17" s="1"/>
  <c r="H145" i="17" s="1"/>
  <c r="C162" i="17"/>
  <c r="G148" i="17"/>
  <c r="G146" i="17"/>
  <c r="K222" i="16"/>
  <c r="K183" i="16"/>
  <c r="J279" i="16"/>
  <c r="J88" i="16"/>
  <c r="K170" i="16"/>
  <c r="J59" i="16"/>
  <c r="I86" i="16"/>
  <c r="I217" i="16"/>
  <c r="I219" i="16" s="1"/>
  <c r="F181" i="16"/>
  <c r="F186" i="16" s="1"/>
  <c r="G186" i="16" s="1"/>
  <c r="F272" i="16"/>
  <c r="E181" i="16"/>
  <c r="E186" i="16" s="1"/>
  <c r="E272" i="16"/>
  <c r="D181" i="16"/>
  <c r="D186" i="16" s="1"/>
  <c r="D272" i="16"/>
  <c r="J16" i="16"/>
  <c r="I45" i="16"/>
  <c r="I72" i="16"/>
  <c r="I96" i="16"/>
  <c r="I141" i="16"/>
  <c r="I190" i="16"/>
  <c r="I207" i="16"/>
  <c r="I240" i="16"/>
  <c r="I270" i="16"/>
  <c r="J15" i="16"/>
  <c r="I44" i="16"/>
  <c r="I71" i="16"/>
  <c r="I95" i="16"/>
  <c r="I140" i="16"/>
  <c r="C163" i="16" s="1"/>
  <c r="I189" i="16"/>
  <c r="I206" i="16"/>
  <c r="I239" i="16"/>
  <c r="I269" i="16"/>
  <c r="G37" i="15"/>
  <c r="G37" i="16"/>
  <c r="G37" i="17"/>
  <c r="K156" i="15"/>
  <c r="K213" i="15"/>
  <c r="K87" i="15"/>
  <c r="K106" i="15"/>
  <c r="K102" i="15"/>
  <c r="H50" i="15"/>
  <c r="I97" i="15"/>
  <c r="I100" i="15" s="1"/>
  <c r="J58" i="15"/>
  <c r="I85" i="15"/>
  <c r="I151" i="15"/>
  <c r="F117" i="15"/>
  <c r="F206" i="15"/>
  <c r="E117" i="15"/>
  <c r="E206" i="15"/>
  <c r="D117" i="15"/>
  <c r="D206" i="15"/>
  <c r="J16" i="15"/>
  <c r="I45" i="15"/>
  <c r="I71" i="15"/>
  <c r="I95" i="15"/>
  <c r="I124" i="15"/>
  <c r="I141" i="15"/>
  <c r="I174" i="15"/>
  <c r="I204" i="15"/>
  <c r="I4" i="14"/>
  <c r="J15" i="15"/>
  <c r="I44" i="15"/>
  <c r="I70" i="15"/>
  <c r="I94" i="15"/>
  <c r="I123" i="15"/>
  <c r="I140" i="15"/>
  <c r="I173" i="15"/>
  <c r="I203" i="15"/>
  <c r="I3" i="14"/>
  <c r="K119" i="11"/>
  <c r="J208" i="11"/>
  <c r="J87" i="11"/>
  <c r="K106" i="11"/>
  <c r="K102" i="11"/>
  <c r="K99" i="11" s="1"/>
  <c r="J99" i="11"/>
  <c r="H50" i="11"/>
  <c r="I97" i="11"/>
  <c r="I100" i="11" s="1"/>
  <c r="J58" i="11"/>
  <c r="I85" i="11"/>
  <c r="I151" i="11"/>
  <c r="J47" i="11"/>
  <c r="I21" i="11"/>
  <c r="J18" i="11"/>
  <c r="J105" i="11" s="1"/>
  <c r="I20" i="11"/>
  <c r="I22" i="11"/>
  <c r="H23" i="11"/>
  <c r="H19" i="11"/>
  <c r="G32" i="11"/>
  <c r="G34" i="11" s="1"/>
  <c r="G48" i="11"/>
  <c r="G54" i="11"/>
  <c r="J59" i="11"/>
  <c r="I79" i="11"/>
  <c r="I113" i="11"/>
  <c r="J51" i="11"/>
  <c r="I110" i="11"/>
  <c r="H112" i="11"/>
  <c r="H78" i="11" s="1"/>
  <c r="J33" i="11"/>
  <c r="I75" i="11"/>
  <c r="I209" i="11"/>
  <c r="I214" i="11" s="1"/>
  <c r="I62" i="11"/>
  <c r="F203" i="11"/>
  <c r="F206" i="11"/>
  <c r="E203" i="11"/>
  <c r="E206" i="11"/>
  <c r="D203" i="11"/>
  <c r="D206" i="11"/>
  <c r="K16" i="11"/>
  <c r="J45" i="11"/>
  <c r="J71" i="11"/>
  <c r="J95" i="11"/>
  <c r="J124" i="11"/>
  <c r="J141" i="11"/>
  <c r="J174" i="11"/>
  <c r="J199" i="11"/>
  <c r="J4" i="12"/>
  <c r="J4" i="13"/>
  <c r="K15" i="11"/>
  <c r="J70" i="11"/>
  <c r="J94" i="11"/>
  <c r="J123" i="11"/>
  <c r="J140" i="11"/>
  <c r="J173" i="11"/>
  <c r="J198" i="11"/>
  <c r="J3" i="12"/>
  <c r="J3" i="13"/>
  <c r="J44" i="11"/>
  <c r="K106" i="10"/>
  <c r="J105" i="10"/>
  <c r="J111" i="10" s="1"/>
  <c r="K102" i="10"/>
  <c r="K99" i="10" s="1"/>
  <c r="J99" i="10"/>
  <c r="J107" i="10" s="1"/>
  <c r="J31" i="10" s="1"/>
  <c r="J74" i="10" s="1"/>
  <c r="H50" i="10"/>
  <c r="I97" i="10"/>
  <c r="I100" i="10" s="1"/>
  <c r="K59" i="10"/>
  <c r="K79" i="10" s="1"/>
  <c r="J79" i="10"/>
  <c r="J58" i="10"/>
  <c r="I85" i="10"/>
  <c r="I151" i="10"/>
  <c r="I153" i="10" s="1"/>
  <c r="K51" i="10"/>
  <c r="K113" i="10" s="1"/>
  <c r="J113" i="10"/>
  <c r="J110" i="10"/>
  <c r="I112" i="10"/>
  <c r="I78" i="10" s="1"/>
  <c r="K47" i="10"/>
  <c r="J62" i="10"/>
  <c r="K33" i="10"/>
  <c r="K75" i="10" s="1"/>
  <c r="J75" i="10"/>
  <c r="F117" i="10"/>
  <c r="F201" i="10"/>
  <c r="E117" i="10"/>
  <c r="E201" i="10"/>
  <c r="D117" i="10"/>
  <c r="D201" i="10"/>
  <c r="K18" i="10"/>
  <c r="J20" i="10"/>
  <c r="J21" i="10"/>
  <c r="J22" i="10"/>
  <c r="I23" i="10"/>
  <c r="I19" i="10"/>
  <c r="H32" i="10"/>
  <c r="H34" i="10" s="1"/>
  <c r="G76" i="10"/>
  <c r="H48" i="10"/>
  <c r="H54" i="10"/>
  <c r="G77" i="10"/>
  <c r="J16" i="10"/>
  <c r="I45" i="10"/>
  <c r="I71" i="10"/>
  <c r="I95" i="10"/>
  <c r="I124" i="10"/>
  <c r="I141" i="10"/>
  <c r="I174" i="10"/>
  <c r="I199" i="10"/>
  <c r="J15" i="10"/>
  <c r="I44" i="10"/>
  <c r="I70" i="10"/>
  <c r="I94" i="10"/>
  <c r="I123" i="10"/>
  <c r="I140" i="10"/>
  <c r="I173" i="10"/>
  <c r="I198" i="10"/>
  <c r="K105" i="9"/>
  <c r="J104" i="9"/>
  <c r="J110" i="9" s="1"/>
  <c r="K101" i="9"/>
  <c r="K98" i="9" s="1"/>
  <c r="J98" i="9"/>
  <c r="J106" i="9" s="1"/>
  <c r="J30" i="9" s="1"/>
  <c r="J73" i="9" s="1"/>
  <c r="H49" i="9"/>
  <c r="I96" i="9"/>
  <c r="I99" i="9" s="1"/>
  <c r="K58" i="9"/>
  <c r="K78" i="9" s="1"/>
  <c r="J78" i="9"/>
  <c r="J57" i="9"/>
  <c r="I84" i="9"/>
  <c r="I150" i="9"/>
  <c r="J112" i="9"/>
  <c r="K50" i="9"/>
  <c r="K112" i="9" s="1"/>
  <c r="J109" i="9"/>
  <c r="I111" i="9"/>
  <c r="I77" i="9" s="1"/>
  <c r="K46" i="9"/>
  <c r="J61" i="9"/>
  <c r="K32" i="9"/>
  <c r="K74" i="9" s="1"/>
  <c r="J74" i="9"/>
  <c r="K17" i="9"/>
  <c r="J20" i="9"/>
  <c r="J21" i="9"/>
  <c r="J19" i="9"/>
  <c r="I18" i="9"/>
  <c r="I22" i="9"/>
  <c r="H31" i="9"/>
  <c r="H33" i="9" s="1"/>
  <c r="H53" i="9"/>
  <c r="G76" i="9"/>
  <c r="G75" i="9"/>
  <c r="H47" i="9"/>
  <c r="H75" i="9" s="1"/>
  <c r="J70" i="9"/>
  <c r="J94" i="9"/>
  <c r="J123" i="9"/>
  <c r="J140" i="9"/>
  <c r="K15" i="9"/>
  <c r="J44" i="9"/>
  <c r="I69" i="9"/>
  <c r="I93" i="9"/>
  <c r="I122" i="9"/>
  <c r="I139" i="9"/>
  <c r="J14" i="9"/>
  <c r="I43" i="9"/>
  <c r="K151" i="8"/>
  <c r="K105" i="8"/>
  <c r="J104" i="8"/>
  <c r="J110" i="8" s="1"/>
  <c r="K101" i="8"/>
  <c r="K98" i="8" s="1"/>
  <c r="J98" i="8"/>
  <c r="J106" i="8" s="1"/>
  <c r="J30" i="8" s="1"/>
  <c r="J73" i="8" s="1"/>
  <c r="H49" i="8"/>
  <c r="I96" i="8"/>
  <c r="I99" i="8" s="1"/>
  <c r="K61" i="8"/>
  <c r="K57" i="8"/>
  <c r="J84" i="8"/>
  <c r="J150" i="8"/>
  <c r="J152" i="8" s="1"/>
  <c r="K109" i="8"/>
  <c r="J111" i="8"/>
  <c r="K46" i="8"/>
  <c r="K32" i="8"/>
  <c r="K74" i="8" s="1"/>
  <c r="J74" i="8"/>
  <c r="K17" i="8"/>
  <c r="J19" i="8"/>
  <c r="J20" i="8"/>
  <c r="J21" i="8"/>
  <c r="I22" i="8"/>
  <c r="I18" i="8"/>
  <c r="H31" i="8"/>
  <c r="H33" i="8" s="1"/>
  <c r="G75" i="8"/>
  <c r="H47" i="8"/>
  <c r="H53" i="8"/>
  <c r="G76" i="8"/>
  <c r="J15" i="8"/>
  <c r="I44" i="8"/>
  <c r="I70" i="8"/>
  <c r="I94" i="8"/>
  <c r="I123" i="8"/>
  <c r="I140" i="8"/>
  <c r="J14" i="8"/>
  <c r="I43" i="8"/>
  <c r="I69" i="8"/>
  <c r="I93" i="8"/>
  <c r="I122" i="8"/>
  <c r="I139" i="8"/>
  <c r="K151" i="7"/>
  <c r="K105" i="7"/>
  <c r="J104" i="7"/>
  <c r="J110" i="7" s="1"/>
  <c r="K101" i="7"/>
  <c r="K98" i="7" s="1"/>
  <c r="J98" i="7"/>
  <c r="J106" i="7" s="1"/>
  <c r="J30" i="7" s="1"/>
  <c r="J73" i="7" s="1"/>
  <c r="H49" i="7"/>
  <c r="I96" i="7"/>
  <c r="I99" i="7" s="1"/>
  <c r="K58" i="7"/>
  <c r="K78" i="7" s="1"/>
  <c r="J78" i="7"/>
  <c r="J57" i="7"/>
  <c r="I84" i="7"/>
  <c r="I150" i="7"/>
  <c r="K50" i="7"/>
  <c r="K112" i="7" s="1"/>
  <c r="J112" i="7"/>
  <c r="J109" i="7"/>
  <c r="I111" i="7"/>
  <c r="I77" i="7" s="1"/>
  <c r="K46" i="7"/>
  <c r="K38" i="7"/>
  <c r="J20" i="7"/>
  <c r="K32" i="7"/>
  <c r="K74" i="7" s="1"/>
  <c r="J74" i="7"/>
  <c r="J61" i="7"/>
  <c r="H40" i="7"/>
  <c r="K17" i="7"/>
  <c r="J19" i="7"/>
  <c r="J21" i="7"/>
  <c r="I22" i="7"/>
  <c r="I18" i="7"/>
  <c r="H31" i="7"/>
  <c r="H33" i="7" s="1"/>
  <c r="G75" i="7"/>
  <c r="H47" i="7"/>
  <c r="H53" i="7"/>
  <c r="G76" i="7"/>
  <c r="J15" i="7"/>
  <c r="I44" i="7"/>
  <c r="I70" i="7"/>
  <c r="I94" i="7"/>
  <c r="I123" i="7"/>
  <c r="I140" i="7"/>
  <c r="J14" i="7"/>
  <c r="I43" i="7"/>
  <c r="I69" i="7"/>
  <c r="I93" i="7"/>
  <c r="I122" i="7"/>
  <c r="I139" i="7"/>
  <c r="K105" i="6"/>
  <c r="J104" i="6"/>
  <c r="J110" i="6" s="1"/>
  <c r="J98" i="6"/>
  <c r="J106" i="6" s="1"/>
  <c r="J30" i="6" s="1"/>
  <c r="J73" i="6" s="1"/>
  <c r="K101" i="6"/>
  <c r="K98" i="6" s="1"/>
  <c r="H49" i="6"/>
  <c r="I96" i="6"/>
  <c r="I99" i="6" s="1"/>
  <c r="K58" i="6"/>
  <c r="K78" i="6" s="1"/>
  <c r="J78" i="6"/>
  <c r="J57" i="6"/>
  <c r="I84" i="6"/>
  <c r="I150" i="6"/>
  <c r="K109" i="6"/>
  <c r="J111" i="6"/>
  <c r="J77" i="6" s="1"/>
  <c r="K46" i="6"/>
  <c r="J61" i="6"/>
  <c r="K32" i="6"/>
  <c r="K74" i="6" s="1"/>
  <c r="J74" i="6"/>
  <c r="H53" i="6"/>
  <c r="G76" i="6"/>
  <c r="G75" i="6"/>
  <c r="H47" i="6"/>
  <c r="H31" i="6"/>
  <c r="H33" i="6" s="1"/>
  <c r="J20" i="6"/>
  <c r="K17" i="6"/>
  <c r="J19" i="6"/>
  <c r="J21" i="6"/>
  <c r="I18" i="6"/>
  <c r="I22" i="6"/>
  <c r="J70" i="6"/>
  <c r="J123" i="6"/>
  <c r="J140" i="6"/>
  <c r="K15" i="6"/>
  <c r="J44" i="6"/>
  <c r="J94" i="6"/>
  <c r="I93" i="6"/>
  <c r="I122" i="6"/>
  <c r="I139" i="6"/>
  <c r="J14" i="6"/>
  <c r="I69" i="6"/>
  <c r="I43" i="6"/>
  <c r="K145" i="5"/>
  <c r="K151" i="5"/>
  <c r="K118" i="5"/>
  <c r="K86" i="5" s="1"/>
  <c r="J86" i="5"/>
  <c r="K117" i="5"/>
  <c r="K87" i="5" s="1"/>
  <c r="J87" i="5"/>
  <c r="K105" i="5"/>
  <c r="J104" i="5"/>
  <c r="J110" i="5" s="1"/>
  <c r="K101" i="5"/>
  <c r="K98" i="5" s="1"/>
  <c r="J98" i="5"/>
  <c r="J106" i="5" s="1"/>
  <c r="J30" i="5" s="1"/>
  <c r="J73" i="5" s="1"/>
  <c r="H49" i="5"/>
  <c r="I96" i="5"/>
  <c r="I99" i="5" s="1"/>
  <c r="K58" i="5"/>
  <c r="K78" i="5" s="1"/>
  <c r="J78" i="5"/>
  <c r="K57" i="5"/>
  <c r="J84" i="5"/>
  <c r="J150" i="5"/>
  <c r="J152" i="5" s="1"/>
  <c r="K109" i="5"/>
  <c r="J111" i="5"/>
  <c r="J77" i="5" s="1"/>
  <c r="K46" i="5"/>
  <c r="K32" i="5"/>
  <c r="K74" i="5" s="1"/>
  <c r="J74" i="5"/>
  <c r="J61" i="5"/>
  <c r="G75" i="5"/>
  <c r="H47" i="5"/>
  <c r="H53" i="5"/>
  <c r="G76" i="5"/>
  <c r="K17" i="5"/>
  <c r="J19" i="5"/>
  <c r="J20" i="5"/>
  <c r="J21" i="5"/>
  <c r="I22" i="5"/>
  <c r="I18" i="5"/>
  <c r="H31" i="5"/>
  <c r="H33" i="5" s="1"/>
  <c r="J15" i="5"/>
  <c r="I44" i="5"/>
  <c r="I70" i="5"/>
  <c r="I94" i="5"/>
  <c r="I123" i="5"/>
  <c r="I140" i="5"/>
  <c r="J14" i="5"/>
  <c r="I43" i="5"/>
  <c r="I69" i="5"/>
  <c r="I93" i="5"/>
  <c r="I122" i="5"/>
  <c r="I139" i="5"/>
  <c r="I106" i="4"/>
  <c r="I30" i="4" s="1"/>
  <c r="I73" i="4" s="1"/>
  <c r="I110" i="4"/>
  <c r="J104" i="4"/>
  <c r="K105" i="4"/>
  <c r="J98" i="4"/>
  <c r="K101" i="4"/>
  <c r="K98" i="4" s="1"/>
  <c r="J78" i="4"/>
  <c r="K58" i="4"/>
  <c r="K78" i="4" s="1"/>
  <c r="K57" i="4"/>
  <c r="K84" i="4" s="1"/>
  <c r="K88" i="4" s="1"/>
  <c r="J84" i="4"/>
  <c r="J88" i="4" s="1"/>
  <c r="J109" i="4"/>
  <c r="I111" i="4"/>
  <c r="I77" i="4" s="1"/>
  <c r="J112" i="4"/>
  <c r="K50" i="4"/>
  <c r="K112" i="4" s="1"/>
  <c r="K46" i="4"/>
  <c r="J61" i="4"/>
  <c r="J74" i="4"/>
  <c r="K32" i="4"/>
  <c r="K74" i="4" s="1"/>
  <c r="F122" i="4"/>
  <c r="G122" i="4" s="1"/>
  <c r="H122" i="4" s="1"/>
  <c r="I122" i="4" s="1"/>
  <c r="J122" i="4" s="1"/>
  <c r="K122" i="4" s="1"/>
  <c r="F121" i="4"/>
  <c r="G121" i="4" s="1"/>
  <c r="H121" i="4" s="1"/>
  <c r="I121" i="4" s="1"/>
  <c r="J121" i="4" s="1"/>
  <c r="K121" i="4" s="1"/>
  <c r="E121" i="4"/>
  <c r="E122" i="4"/>
  <c r="D122" i="4"/>
  <c r="D121" i="4"/>
  <c r="J19" i="4"/>
  <c r="K17" i="4"/>
  <c r="J20" i="4"/>
  <c r="J21" i="4"/>
  <c r="I18" i="4"/>
  <c r="I22" i="4"/>
  <c r="H26" i="4"/>
  <c r="H31" i="4"/>
  <c r="H33" i="4" s="1"/>
  <c r="G28" i="4"/>
  <c r="G27" i="4"/>
  <c r="G75" i="4"/>
  <c r="H47" i="4"/>
  <c r="H75" i="4" s="1"/>
  <c r="G76" i="4"/>
  <c r="H53" i="4"/>
  <c r="G59" i="4"/>
  <c r="J44" i="4"/>
  <c r="J70" i="4"/>
  <c r="K15" i="4"/>
  <c r="J94" i="4"/>
  <c r="I43" i="4"/>
  <c r="I69" i="4"/>
  <c r="I93" i="4"/>
  <c r="J14" i="4"/>
  <c r="K58" i="3"/>
  <c r="K78" i="3" s="1"/>
  <c r="J78" i="3"/>
  <c r="J84" i="3"/>
  <c r="J88" i="3" s="1"/>
  <c r="K57" i="3"/>
  <c r="K84" i="3" s="1"/>
  <c r="K88" i="3" s="1"/>
  <c r="K46" i="3"/>
  <c r="I64" i="3"/>
  <c r="J61" i="3"/>
  <c r="K32" i="3"/>
  <c r="K74" i="3" s="1"/>
  <c r="J74" i="3"/>
  <c r="G27" i="3"/>
  <c r="G28" i="3"/>
  <c r="G72" i="3" s="1"/>
  <c r="G76" i="3"/>
  <c r="H53" i="3"/>
  <c r="G59" i="3"/>
  <c r="G75" i="3"/>
  <c r="H47" i="3"/>
  <c r="J19" i="3"/>
  <c r="K17" i="3"/>
  <c r="J20" i="3"/>
  <c r="J21" i="3"/>
  <c r="I22" i="3"/>
  <c r="I18" i="3"/>
  <c r="H26" i="3"/>
  <c r="H31" i="3"/>
  <c r="H33" i="3" s="1"/>
  <c r="J44" i="3"/>
  <c r="J70" i="3"/>
  <c r="K15" i="3"/>
  <c r="I69" i="3"/>
  <c r="J14" i="3"/>
  <c r="I43" i="3"/>
  <c r="K151" i="2"/>
  <c r="J104" i="2"/>
  <c r="J110" i="2" s="1"/>
  <c r="K105" i="2"/>
  <c r="K101" i="2"/>
  <c r="K98" i="2" s="1"/>
  <c r="J98" i="2"/>
  <c r="J106" i="2" s="1"/>
  <c r="J30" i="2" s="1"/>
  <c r="J73" i="2" s="1"/>
  <c r="H49" i="2"/>
  <c r="I96" i="2"/>
  <c r="I99" i="2" s="1"/>
  <c r="K61" i="2"/>
  <c r="I150" i="2"/>
  <c r="J57" i="2"/>
  <c r="I84" i="2"/>
  <c r="I111" i="2"/>
  <c r="I77" i="2" s="1"/>
  <c r="J109" i="2"/>
  <c r="J112" i="2"/>
  <c r="K50" i="2"/>
  <c r="K112" i="2" s="1"/>
  <c r="K46" i="2"/>
  <c r="J20" i="2"/>
  <c r="K38" i="2"/>
  <c r="H40" i="2"/>
  <c r="K17" i="2"/>
  <c r="J19" i="2"/>
  <c r="J21" i="2"/>
  <c r="I22" i="2"/>
  <c r="I18" i="2"/>
  <c r="H31" i="2"/>
  <c r="H33" i="2" s="1"/>
  <c r="G76" i="2"/>
  <c r="H53" i="2"/>
  <c r="G75" i="2"/>
  <c r="H47" i="2"/>
  <c r="K15" i="2"/>
  <c r="J123" i="2"/>
  <c r="J44" i="2"/>
  <c r="J70" i="2"/>
  <c r="J140" i="2"/>
  <c r="J94" i="2"/>
  <c r="K14" i="2"/>
  <c r="J69" i="2"/>
  <c r="J93" i="2"/>
  <c r="J122" i="2"/>
  <c r="J139" i="2"/>
  <c r="J43" i="2"/>
  <c r="K151" i="19"/>
  <c r="J152" i="19"/>
  <c r="H219" i="17"/>
  <c r="I218" i="17"/>
  <c r="H153" i="15"/>
  <c r="I152" i="15"/>
  <c r="H152" i="9"/>
  <c r="I151" i="9"/>
  <c r="I151" i="6"/>
  <c r="H152" i="6"/>
  <c r="H153" i="11"/>
  <c r="I152" i="11"/>
  <c r="I177" i="18"/>
  <c r="J174" i="18"/>
  <c r="J176" i="18" s="1"/>
  <c r="J163" i="18"/>
  <c r="I166" i="18"/>
  <c r="J218" i="16"/>
  <c r="J152" i="10"/>
  <c r="G216" i="11"/>
  <c r="H213" i="11"/>
  <c r="H215" i="11" s="1"/>
  <c r="G205" i="11"/>
  <c r="H202" i="11"/>
  <c r="F219" i="11"/>
  <c r="E219" i="11"/>
  <c r="K175" i="18"/>
  <c r="I107" i="11"/>
  <c r="I31" i="11" s="1"/>
  <c r="I74" i="11" s="1"/>
  <c r="I111" i="11"/>
  <c r="I49" i="4"/>
  <c r="J96" i="4"/>
  <c r="H37" i="17" l="1"/>
  <c r="H107" i="17" s="1"/>
  <c r="H37" i="16"/>
  <c r="J37" i="15"/>
  <c r="J98" i="15" s="1"/>
  <c r="J37" i="16"/>
  <c r="J144" i="16" s="1"/>
  <c r="J37" i="17"/>
  <c r="I37" i="17"/>
  <c r="I107" i="17" s="1"/>
  <c r="I37" i="15"/>
  <c r="I37" i="16"/>
  <c r="K37" i="15"/>
  <c r="K37" i="16"/>
  <c r="K37" i="17"/>
  <c r="K107" i="17" s="1"/>
  <c r="L98" i="19"/>
  <c r="K106" i="19"/>
  <c r="K30" i="19" s="1"/>
  <c r="K73" i="19" s="1"/>
  <c r="J49" i="19"/>
  <c r="K96" i="19"/>
  <c r="K99" i="19" s="1"/>
  <c r="L57" i="19"/>
  <c r="K84" i="19"/>
  <c r="K150" i="19"/>
  <c r="L46" i="19"/>
  <c r="L50" i="19"/>
  <c r="L112" i="19" s="1"/>
  <c r="K112" i="19"/>
  <c r="K109" i="19"/>
  <c r="J111" i="19"/>
  <c r="J77" i="19" s="1"/>
  <c r="L58" i="19"/>
  <c r="L78" i="19" s="1"/>
  <c r="K78" i="19"/>
  <c r="L61" i="19"/>
  <c r="L74" i="19"/>
  <c r="L170" i="19"/>
  <c r="G164" i="19"/>
  <c r="G167" i="19"/>
  <c r="J40" i="19"/>
  <c r="F164" i="19"/>
  <c r="F167" i="19"/>
  <c r="E164" i="19"/>
  <c r="E167" i="19"/>
  <c r="D164" i="19"/>
  <c r="D167" i="19"/>
  <c r="L21" i="19"/>
  <c r="L19" i="19"/>
  <c r="L20" i="19"/>
  <c r="K22" i="19"/>
  <c r="K18" i="19"/>
  <c r="J31" i="19"/>
  <c r="J33" i="19" s="1"/>
  <c r="J47" i="19"/>
  <c r="J75" i="19" s="1"/>
  <c r="J53" i="19"/>
  <c r="I76" i="19"/>
  <c r="K44" i="19"/>
  <c r="K123" i="19"/>
  <c r="K140" i="19"/>
  <c r="K160" i="19"/>
  <c r="K182" i="19"/>
  <c r="L15" i="19"/>
  <c r="K70" i="19"/>
  <c r="K94" i="19"/>
  <c r="L14" i="19"/>
  <c r="K43" i="19"/>
  <c r="K93" i="19"/>
  <c r="K122" i="19"/>
  <c r="K139" i="19"/>
  <c r="K159" i="19"/>
  <c r="K181" i="19"/>
  <c r="K69" i="19"/>
  <c r="J49" i="18"/>
  <c r="K96" i="18"/>
  <c r="K99" i="18" s="1"/>
  <c r="L84" i="18"/>
  <c r="L150" i="18"/>
  <c r="L109" i="18"/>
  <c r="K111" i="18"/>
  <c r="K77" i="18" s="1"/>
  <c r="L61" i="18"/>
  <c r="J40" i="18"/>
  <c r="I27" i="18"/>
  <c r="I28" i="18" s="1"/>
  <c r="G164" i="18"/>
  <c r="G167" i="18"/>
  <c r="G179" i="18"/>
  <c r="G180" i="18" s="1"/>
  <c r="F164" i="18"/>
  <c r="F167" i="18"/>
  <c r="F179" i="18"/>
  <c r="F180" i="18" s="1"/>
  <c r="E164" i="18"/>
  <c r="E167" i="18"/>
  <c r="E179" i="18"/>
  <c r="I72" i="18"/>
  <c r="I79" i="18" s="1"/>
  <c r="I116" i="18"/>
  <c r="I162" i="18"/>
  <c r="K22" i="18"/>
  <c r="K18" i="18"/>
  <c r="L19" i="18"/>
  <c r="L21" i="18"/>
  <c r="J26" i="18"/>
  <c r="J31" i="18"/>
  <c r="J33" i="18" s="1"/>
  <c r="J47" i="18"/>
  <c r="J75" i="18" s="1"/>
  <c r="J53" i="18"/>
  <c r="I59" i="18"/>
  <c r="I76" i="18"/>
  <c r="H128" i="18"/>
  <c r="H129" i="18" s="1"/>
  <c r="H133" i="18" s="1"/>
  <c r="H135" i="18" s="1"/>
  <c r="I115" i="18"/>
  <c r="I119" i="18" s="1"/>
  <c r="H62" i="18"/>
  <c r="H64" i="18" s="1"/>
  <c r="H164" i="18"/>
  <c r="H167" i="18"/>
  <c r="H179" i="18"/>
  <c r="H180" i="18" s="1"/>
  <c r="K70" i="18"/>
  <c r="K94" i="18"/>
  <c r="K123" i="18"/>
  <c r="K140" i="18"/>
  <c r="K160" i="18"/>
  <c r="L15" i="18"/>
  <c r="K44" i="18"/>
  <c r="K43" i="18"/>
  <c r="L14" i="18"/>
  <c r="K69" i="18"/>
  <c r="K93" i="18"/>
  <c r="K122" i="18"/>
  <c r="K139" i="18"/>
  <c r="K159" i="18"/>
  <c r="K59" i="17"/>
  <c r="J86" i="17"/>
  <c r="J217" i="17"/>
  <c r="H186" i="17"/>
  <c r="F277" i="17"/>
  <c r="F274" i="17"/>
  <c r="E274" i="17"/>
  <c r="E277" i="17"/>
  <c r="D274" i="17"/>
  <c r="D277" i="17"/>
  <c r="K16" i="17"/>
  <c r="J45" i="17"/>
  <c r="J72" i="17"/>
  <c r="J96" i="17"/>
  <c r="J141" i="17"/>
  <c r="J190" i="17"/>
  <c r="J207" i="17"/>
  <c r="J270" i="17"/>
  <c r="J240" i="17"/>
  <c r="K15" i="17"/>
  <c r="J44" i="17"/>
  <c r="J71" i="17"/>
  <c r="J95" i="17"/>
  <c r="J140" i="17"/>
  <c r="J189" i="17"/>
  <c r="J206" i="17"/>
  <c r="J269" i="17"/>
  <c r="J239" i="17"/>
  <c r="I160" i="17"/>
  <c r="I166" i="17" s="1"/>
  <c r="I145" i="17" s="1"/>
  <c r="C163" i="17"/>
  <c r="H148" i="17"/>
  <c r="H143" i="17"/>
  <c r="H146" i="17" s="1"/>
  <c r="G51" i="17"/>
  <c r="K279" i="16"/>
  <c r="K88" i="16"/>
  <c r="K59" i="16"/>
  <c r="J86" i="16"/>
  <c r="J217" i="16"/>
  <c r="H186" i="16"/>
  <c r="F274" i="16"/>
  <c r="F277" i="16"/>
  <c r="E274" i="16"/>
  <c r="E277" i="16"/>
  <c r="D274" i="16"/>
  <c r="D277" i="16"/>
  <c r="K16" i="16"/>
  <c r="J45" i="16"/>
  <c r="J72" i="16"/>
  <c r="J96" i="16"/>
  <c r="J141" i="16"/>
  <c r="J190" i="16"/>
  <c r="J207" i="16"/>
  <c r="J240" i="16"/>
  <c r="J270" i="16"/>
  <c r="K15" i="16"/>
  <c r="J44" i="16"/>
  <c r="J71" i="16"/>
  <c r="J95" i="16"/>
  <c r="J140" i="16"/>
  <c r="C164" i="16" s="1"/>
  <c r="J189" i="16"/>
  <c r="J206" i="16"/>
  <c r="J239" i="16"/>
  <c r="J269" i="16"/>
  <c r="G56" i="15"/>
  <c r="H56" i="15" s="1"/>
  <c r="G49" i="15"/>
  <c r="H49" i="15" s="1"/>
  <c r="G47" i="15"/>
  <c r="G51" i="15"/>
  <c r="G55" i="15"/>
  <c r="H55" i="15" s="1"/>
  <c r="G59" i="15"/>
  <c r="G18" i="15"/>
  <c r="G33" i="15"/>
  <c r="G57" i="16"/>
  <c r="G49" i="16"/>
  <c r="G50" i="16"/>
  <c r="G52" i="16"/>
  <c r="G56" i="16"/>
  <c r="G60" i="16"/>
  <c r="G134" i="16"/>
  <c r="G18" i="16"/>
  <c r="G33" i="16"/>
  <c r="G57" i="17"/>
  <c r="G49" i="17"/>
  <c r="G50" i="17"/>
  <c r="G52" i="17"/>
  <c r="G56" i="17"/>
  <c r="G60" i="17"/>
  <c r="G107" i="17"/>
  <c r="G134" i="17"/>
  <c r="G18" i="17"/>
  <c r="G33" i="17"/>
  <c r="I50" i="15"/>
  <c r="J97" i="15"/>
  <c r="K58" i="15"/>
  <c r="J85" i="15"/>
  <c r="J151" i="15"/>
  <c r="F208" i="15"/>
  <c r="F211" i="15"/>
  <c r="E208" i="15"/>
  <c r="E211" i="15"/>
  <c r="D208" i="15"/>
  <c r="D211" i="15"/>
  <c r="K16" i="15"/>
  <c r="J45" i="15"/>
  <c r="J71" i="15"/>
  <c r="J95" i="15"/>
  <c r="J124" i="15"/>
  <c r="J141" i="15"/>
  <c r="J174" i="15"/>
  <c r="J204" i="15"/>
  <c r="J4" i="14"/>
  <c r="K15" i="15"/>
  <c r="J44" i="15"/>
  <c r="J70" i="15"/>
  <c r="J94" i="15"/>
  <c r="J123" i="15"/>
  <c r="J140" i="15"/>
  <c r="J173" i="15"/>
  <c r="J203" i="15"/>
  <c r="J3" i="14"/>
  <c r="K208" i="11"/>
  <c r="K87" i="11"/>
  <c r="I50" i="11"/>
  <c r="J97" i="11"/>
  <c r="J100" i="11" s="1"/>
  <c r="K58" i="11"/>
  <c r="J85" i="11"/>
  <c r="J151" i="11"/>
  <c r="K47" i="11"/>
  <c r="J21" i="11"/>
  <c r="K18" i="11"/>
  <c r="J20" i="11"/>
  <c r="J22" i="11"/>
  <c r="I23" i="11"/>
  <c r="I19" i="11"/>
  <c r="H32" i="11"/>
  <c r="H34" i="11" s="1"/>
  <c r="G76" i="11"/>
  <c r="H48" i="11"/>
  <c r="H54" i="11"/>
  <c r="G77" i="11"/>
  <c r="J79" i="11"/>
  <c r="K59" i="11"/>
  <c r="K79" i="11" s="1"/>
  <c r="J110" i="11"/>
  <c r="I112" i="11"/>
  <c r="I78" i="11" s="1"/>
  <c r="K51" i="11"/>
  <c r="K113" i="11" s="1"/>
  <c r="J113" i="11"/>
  <c r="K33" i="11"/>
  <c r="J75" i="11"/>
  <c r="J209" i="11"/>
  <c r="J214" i="11" s="1"/>
  <c r="J62" i="11"/>
  <c r="K71" i="11"/>
  <c r="K95" i="11"/>
  <c r="K124" i="11"/>
  <c r="K141" i="11"/>
  <c r="K174" i="11"/>
  <c r="K199" i="11"/>
  <c r="K4" i="12"/>
  <c r="K4" i="13"/>
  <c r="K45" i="11"/>
  <c r="K70" i="11"/>
  <c r="K94" i="11"/>
  <c r="K123" i="11"/>
  <c r="K140" i="11"/>
  <c r="K173" i="11"/>
  <c r="K198" i="11"/>
  <c r="K3" i="12"/>
  <c r="K3" i="13"/>
  <c r="K44" i="11"/>
  <c r="I50" i="10"/>
  <c r="J97" i="10"/>
  <c r="J100" i="10" s="1"/>
  <c r="K58" i="10"/>
  <c r="J85" i="10"/>
  <c r="J151" i="10"/>
  <c r="K110" i="10"/>
  <c r="J112" i="10"/>
  <c r="J78" i="10" s="1"/>
  <c r="K62" i="10"/>
  <c r="F203" i="10"/>
  <c r="F206" i="10"/>
  <c r="E203" i="10"/>
  <c r="E206" i="10"/>
  <c r="D203" i="10"/>
  <c r="D206" i="10"/>
  <c r="K21" i="10"/>
  <c r="K20" i="10"/>
  <c r="K22" i="10"/>
  <c r="J23" i="10"/>
  <c r="J19" i="10"/>
  <c r="I32" i="10"/>
  <c r="I34" i="10" s="1"/>
  <c r="H76" i="10"/>
  <c r="I48" i="10"/>
  <c r="I54" i="10"/>
  <c r="H77" i="10"/>
  <c r="K16" i="10"/>
  <c r="J45" i="10"/>
  <c r="J71" i="10"/>
  <c r="J95" i="10"/>
  <c r="J124" i="10"/>
  <c r="J141" i="10"/>
  <c r="J174" i="10"/>
  <c r="J199" i="10"/>
  <c r="K15" i="10"/>
  <c r="J44" i="10"/>
  <c r="J70" i="10"/>
  <c r="J94" i="10"/>
  <c r="J123" i="10"/>
  <c r="J140" i="10"/>
  <c r="J173" i="10"/>
  <c r="J198" i="10"/>
  <c r="I49" i="9"/>
  <c r="J96" i="9"/>
  <c r="J99" i="9" s="1"/>
  <c r="K57" i="9"/>
  <c r="J84" i="9"/>
  <c r="J150" i="9"/>
  <c r="K109" i="9"/>
  <c r="J111" i="9"/>
  <c r="J77" i="9" s="1"/>
  <c r="K61" i="9"/>
  <c r="K20" i="9"/>
  <c r="K19" i="9"/>
  <c r="K21" i="9"/>
  <c r="J18" i="9"/>
  <c r="J22" i="9"/>
  <c r="I31" i="9"/>
  <c r="I33" i="9" s="1"/>
  <c r="I53" i="9"/>
  <c r="H76" i="9"/>
  <c r="I47" i="9"/>
  <c r="I75" i="9" s="1"/>
  <c r="K44" i="9"/>
  <c r="K70" i="9"/>
  <c r="K94" i="9"/>
  <c r="K123" i="9"/>
  <c r="K140" i="9"/>
  <c r="K14" i="9"/>
  <c r="J43" i="9"/>
  <c r="J69" i="9"/>
  <c r="J93" i="9"/>
  <c r="J122" i="9"/>
  <c r="J139" i="9"/>
  <c r="I49" i="8"/>
  <c r="J96" i="8"/>
  <c r="J99" i="8" s="1"/>
  <c r="K84" i="8"/>
  <c r="K150" i="8"/>
  <c r="K20" i="8"/>
  <c r="K19" i="8"/>
  <c r="K21" i="8"/>
  <c r="J22" i="8"/>
  <c r="J18" i="8"/>
  <c r="I31" i="8"/>
  <c r="I33" i="8" s="1"/>
  <c r="H75" i="8"/>
  <c r="I47" i="8"/>
  <c r="I53" i="8"/>
  <c r="H76" i="8"/>
  <c r="K15" i="8"/>
  <c r="J44" i="8"/>
  <c r="J70" i="8"/>
  <c r="J94" i="8"/>
  <c r="J123" i="8"/>
  <c r="J140" i="8"/>
  <c r="K14" i="8"/>
  <c r="J43" i="8"/>
  <c r="J69" i="8"/>
  <c r="J93" i="8"/>
  <c r="J122" i="8"/>
  <c r="J139" i="8"/>
  <c r="I49" i="7"/>
  <c r="J96" i="7"/>
  <c r="J99" i="7" s="1"/>
  <c r="K57" i="7"/>
  <c r="J84" i="7"/>
  <c r="J150" i="7"/>
  <c r="K109" i="7"/>
  <c r="J111" i="7"/>
  <c r="J77" i="7" s="1"/>
  <c r="K61" i="7"/>
  <c r="I40" i="7"/>
  <c r="K19" i="7"/>
  <c r="K21" i="7"/>
  <c r="J22" i="7"/>
  <c r="J18" i="7"/>
  <c r="I31" i="7"/>
  <c r="I33" i="7" s="1"/>
  <c r="H75" i="7"/>
  <c r="I47" i="7"/>
  <c r="I53" i="7"/>
  <c r="H76" i="7"/>
  <c r="K15" i="7"/>
  <c r="J44" i="7"/>
  <c r="J70" i="7"/>
  <c r="J94" i="7"/>
  <c r="J123" i="7"/>
  <c r="J140" i="7"/>
  <c r="K14" i="7"/>
  <c r="J43" i="7"/>
  <c r="J69" i="7"/>
  <c r="J93" i="7"/>
  <c r="J122" i="7"/>
  <c r="J139" i="7"/>
  <c r="I49" i="6"/>
  <c r="J96" i="6"/>
  <c r="J99" i="6" s="1"/>
  <c r="K57" i="6"/>
  <c r="J84" i="6"/>
  <c r="J150" i="6"/>
  <c r="K61" i="6"/>
  <c r="H76" i="6"/>
  <c r="I53" i="6"/>
  <c r="H75" i="6"/>
  <c r="I47" i="6"/>
  <c r="K20" i="6"/>
  <c r="K21" i="6"/>
  <c r="K19" i="6"/>
  <c r="J18" i="6"/>
  <c r="J22" i="6"/>
  <c r="I31" i="6"/>
  <c r="I33" i="6" s="1"/>
  <c r="K123" i="6"/>
  <c r="K140" i="6"/>
  <c r="K44" i="6"/>
  <c r="K70" i="6"/>
  <c r="K94" i="6"/>
  <c r="J69" i="6"/>
  <c r="J43" i="6"/>
  <c r="J122" i="6"/>
  <c r="J139" i="6"/>
  <c r="K14" i="6"/>
  <c r="J93" i="6"/>
  <c r="I49" i="5"/>
  <c r="J96" i="5"/>
  <c r="J99" i="5" s="1"/>
  <c r="K84" i="5"/>
  <c r="K150" i="5"/>
  <c r="K152" i="5" s="1"/>
  <c r="K61" i="5"/>
  <c r="H75" i="5"/>
  <c r="I47" i="5"/>
  <c r="I53" i="5"/>
  <c r="H76" i="5"/>
  <c r="K20" i="5"/>
  <c r="K19" i="5"/>
  <c r="K21" i="5"/>
  <c r="J22" i="5"/>
  <c r="J18" i="5"/>
  <c r="I31" i="5"/>
  <c r="I33" i="5" s="1"/>
  <c r="K15" i="5"/>
  <c r="J44" i="5"/>
  <c r="J70" i="5"/>
  <c r="J94" i="5"/>
  <c r="J123" i="5"/>
  <c r="J140" i="5"/>
  <c r="K14" i="5"/>
  <c r="J43" i="5"/>
  <c r="J69" i="5"/>
  <c r="J93" i="5"/>
  <c r="J122" i="5"/>
  <c r="J139" i="5"/>
  <c r="J106" i="4"/>
  <c r="J30" i="4" s="1"/>
  <c r="J73" i="4" s="1"/>
  <c r="J110" i="4"/>
  <c r="J111" i="4"/>
  <c r="J77" i="4" s="1"/>
  <c r="K109" i="4"/>
  <c r="K61" i="4"/>
  <c r="J22" i="4"/>
  <c r="J18" i="4"/>
  <c r="K20" i="4"/>
  <c r="K21" i="4"/>
  <c r="K19" i="4"/>
  <c r="I26" i="4"/>
  <c r="I31" i="4"/>
  <c r="I33" i="4" s="1"/>
  <c r="H27" i="4"/>
  <c r="H28" i="4"/>
  <c r="G72" i="4"/>
  <c r="G79" i="4" s="1"/>
  <c r="G90" i="4" s="1"/>
  <c r="G45" i="4" s="1"/>
  <c r="G116" i="4"/>
  <c r="G119" i="4" s="1"/>
  <c r="I47" i="4"/>
  <c r="I75" i="4" s="1"/>
  <c r="I53" i="4"/>
  <c r="H59" i="4"/>
  <c r="H76" i="4"/>
  <c r="K70" i="4"/>
  <c r="K94" i="4"/>
  <c r="K44" i="4"/>
  <c r="K14" i="4"/>
  <c r="J93" i="4"/>
  <c r="J43" i="4"/>
  <c r="J69" i="4"/>
  <c r="J64" i="3"/>
  <c r="K61" i="3"/>
  <c r="K64" i="3" s="1"/>
  <c r="H59" i="3"/>
  <c r="H76" i="3"/>
  <c r="I53" i="3"/>
  <c r="H75" i="3"/>
  <c r="I47" i="3"/>
  <c r="J22" i="3"/>
  <c r="J18" i="3"/>
  <c r="K20" i="3"/>
  <c r="K21" i="3"/>
  <c r="K19" i="3"/>
  <c r="I26" i="3"/>
  <c r="I31" i="3"/>
  <c r="I33" i="3" s="1"/>
  <c r="H27" i="3"/>
  <c r="H28" i="3"/>
  <c r="H72" i="3" s="1"/>
  <c r="H79" i="3" s="1"/>
  <c r="H90" i="3" s="1"/>
  <c r="K44" i="3"/>
  <c r="K70" i="3"/>
  <c r="J43" i="3"/>
  <c r="J69" i="3"/>
  <c r="K14" i="3"/>
  <c r="I49" i="2"/>
  <c r="J96" i="2"/>
  <c r="J99" i="2" s="1"/>
  <c r="J150" i="2"/>
  <c r="J84" i="2"/>
  <c r="K57" i="2"/>
  <c r="J111" i="2"/>
  <c r="J77" i="2" s="1"/>
  <c r="K109" i="2"/>
  <c r="I40" i="2"/>
  <c r="K19" i="2"/>
  <c r="K21" i="2"/>
  <c r="J22" i="2"/>
  <c r="J18" i="2"/>
  <c r="I31" i="2"/>
  <c r="I33" i="2" s="1"/>
  <c r="I53" i="2"/>
  <c r="H76" i="2"/>
  <c r="H75" i="2"/>
  <c r="I47" i="2"/>
  <c r="K94" i="2"/>
  <c r="K123" i="2"/>
  <c r="K140" i="2"/>
  <c r="K44" i="2"/>
  <c r="K70" i="2"/>
  <c r="K69" i="2"/>
  <c r="K122" i="2"/>
  <c r="K139" i="2"/>
  <c r="K43" i="2"/>
  <c r="K93" i="2"/>
  <c r="L151" i="19"/>
  <c r="K152" i="19"/>
  <c r="J218" i="17"/>
  <c r="I219" i="17"/>
  <c r="J152" i="15"/>
  <c r="I153" i="15"/>
  <c r="J151" i="9"/>
  <c r="I152" i="9"/>
  <c r="I152" i="6"/>
  <c r="J151" i="6"/>
  <c r="J152" i="11"/>
  <c r="I153" i="11"/>
  <c r="J177" i="18"/>
  <c r="K174" i="18"/>
  <c r="K176" i="18" s="1"/>
  <c r="K163" i="18"/>
  <c r="J166" i="18"/>
  <c r="K218" i="16"/>
  <c r="J219" i="16"/>
  <c r="K152" i="10"/>
  <c r="J153" i="10"/>
  <c r="H216" i="11"/>
  <c r="I213" i="11"/>
  <c r="I215" i="11" s="1"/>
  <c r="I202" i="11"/>
  <c r="H205" i="11"/>
  <c r="K104" i="6"/>
  <c r="K104" i="7"/>
  <c r="K20" i="7"/>
  <c r="G79" i="3"/>
  <c r="G90" i="3" s="1"/>
  <c r="G45" i="3" s="1"/>
  <c r="G51" i="3" s="1"/>
  <c r="G66" i="3" s="1"/>
  <c r="K104" i="2"/>
  <c r="K20" i="2"/>
  <c r="J99" i="4"/>
  <c r="K152" i="8"/>
  <c r="L20" i="18"/>
  <c r="K104" i="9"/>
  <c r="K104" i="8"/>
  <c r="K104" i="5"/>
  <c r="L152" i="18"/>
  <c r="L142" i="18" s="1"/>
  <c r="L24" i="18" s="1"/>
  <c r="K105" i="10"/>
  <c r="L104" i="19"/>
  <c r="L104" i="18"/>
  <c r="K106" i="18"/>
  <c r="K30" i="18" s="1"/>
  <c r="K73" i="18" s="1"/>
  <c r="K104" i="4"/>
  <c r="J107" i="11"/>
  <c r="J31" i="11" s="1"/>
  <c r="J74" i="11" s="1"/>
  <c r="J111" i="11"/>
  <c r="I152" i="7"/>
  <c r="J152" i="7"/>
  <c r="I152" i="2"/>
  <c r="J152" i="2"/>
  <c r="I56" i="15" l="1"/>
  <c r="J56" i="15" s="1"/>
  <c r="K56" i="15" s="1"/>
  <c r="I49" i="15"/>
  <c r="J49" i="15" s="1"/>
  <c r="K49" i="15" s="1"/>
  <c r="I55" i="15"/>
  <c r="J55" i="15" s="1"/>
  <c r="K55" i="15" s="1"/>
  <c r="K98" i="15"/>
  <c r="K144" i="16"/>
  <c r="H50" i="16"/>
  <c r="H56" i="16"/>
  <c r="H134" i="16"/>
  <c r="H57" i="17"/>
  <c r="I57" i="17" s="1"/>
  <c r="J57" i="17" s="1"/>
  <c r="H49" i="17"/>
  <c r="I49" i="17" s="1"/>
  <c r="J49" i="17" s="1"/>
  <c r="H50" i="17"/>
  <c r="I50" i="17" s="1"/>
  <c r="J50" i="17" s="1"/>
  <c r="H56" i="17"/>
  <c r="I56" i="17" s="1"/>
  <c r="J56" i="17" s="1"/>
  <c r="H134" i="17"/>
  <c r="I134" i="17" s="1"/>
  <c r="J134" i="17" s="1"/>
  <c r="J99" i="15"/>
  <c r="J100" i="15" s="1"/>
  <c r="J82" i="15"/>
  <c r="J83" i="15" s="1"/>
  <c r="J146" i="16"/>
  <c r="J148" i="16"/>
  <c r="J83" i="16"/>
  <c r="J84" i="16" s="1"/>
  <c r="J107" i="17"/>
  <c r="J144" i="17"/>
  <c r="H57" i="16"/>
  <c r="I57" i="16" s="1"/>
  <c r="J57" i="16" s="1"/>
  <c r="K57" i="16" s="1"/>
  <c r="I56" i="16"/>
  <c r="J56" i="16" s="1"/>
  <c r="K56" i="16" s="1"/>
  <c r="I134" i="16"/>
  <c r="J134" i="16" s="1"/>
  <c r="K134" i="16" s="1"/>
  <c r="I50" i="16"/>
  <c r="J50" i="16" s="1"/>
  <c r="K50" i="16" s="1"/>
  <c r="K56" i="17"/>
  <c r="K134" i="17"/>
  <c r="K57" i="17"/>
  <c r="K49" i="17"/>
  <c r="K50" i="17"/>
  <c r="L96" i="19"/>
  <c r="L99" i="19" s="1"/>
  <c r="L49" i="19" s="1"/>
  <c r="K49" i="19"/>
  <c r="L150" i="19"/>
  <c r="L152" i="19" s="1"/>
  <c r="L84" i="19"/>
  <c r="L109" i="19"/>
  <c r="K111" i="19"/>
  <c r="K77" i="19" s="1"/>
  <c r="K40" i="19"/>
  <c r="L22" i="19"/>
  <c r="L18" i="19"/>
  <c r="K31" i="19"/>
  <c r="K33" i="19" s="1"/>
  <c r="K47" i="19"/>
  <c r="K75" i="19" s="1"/>
  <c r="K53" i="19"/>
  <c r="J76" i="19"/>
  <c r="L70" i="19"/>
  <c r="L44" i="19"/>
  <c r="L94" i="19"/>
  <c r="L123" i="19"/>
  <c r="L140" i="19"/>
  <c r="L160" i="19"/>
  <c r="L182" i="19"/>
  <c r="L43" i="19"/>
  <c r="L122" i="19"/>
  <c r="L139" i="19"/>
  <c r="L159" i="19"/>
  <c r="L181" i="19"/>
  <c r="L69" i="19"/>
  <c r="L93" i="19"/>
  <c r="K49" i="18"/>
  <c r="L96" i="18"/>
  <c r="L99" i="18" s="1"/>
  <c r="L49" i="18" s="1"/>
  <c r="K40" i="18"/>
  <c r="J27" i="18"/>
  <c r="J28" i="18" s="1"/>
  <c r="I128" i="18"/>
  <c r="I164" i="18"/>
  <c r="I167" i="18"/>
  <c r="I179" i="18"/>
  <c r="I180" i="18" s="1"/>
  <c r="K26" i="18"/>
  <c r="K31" i="18"/>
  <c r="K33" i="18" s="1"/>
  <c r="L22" i="18"/>
  <c r="L18" i="18"/>
  <c r="J72" i="18"/>
  <c r="J79" i="18" s="1"/>
  <c r="J116" i="18"/>
  <c r="J162" i="18"/>
  <c r="K47" i="18"/>
  <c r="K75" i="18" s="1"/>
  <c r="K53" i="18"/>
  <c r="J59" i="18"/>
  <c r="J76" i="18"/>
  <c r="I132" i="18"/>
  <c r="I135" i="18" s="1"/>
  <c r="H56" i="18"/>
  <c r="H136" i="18"/>
  <c r="I62" i="18"/>
  <c r="I64" i="18" s="1"/>
  <c r="J115" i="18"/>
  <c r="J119" i="18" s="1"/>
  <c r="L44" i="18"/>
  <c r="L70" i="18"/>
  <c r="L94" i="18"/>
  <c r="L123" i="18"/>
  <c r="L140" i="18"/>
  <c r="L160" i="18"/>
  <c r="L69" i="18"/>
  <c r="L93" i="18"/>
  <c r="L122" i="18"/>
  <c r="L139" i="18"/>
  <c r="L159" i="18"/>
  <c r="L43" i="18"/>
  <c r="K86" i="17"/>
  <c r="K217" i="17"/>
  <c r="I186" i="17"/>
  <c r="K45" i="17"/>
  <c r="K72" i="17"/>
  <c r="K96" i="17"/>
  <c r="K141" i="17"/>
  <c r="K190" i="17"/>
  <c r="K207" i="17"/>
  <c r="K240" i="17"/>
  <c r="K270" i="17"/>
  <c r="K44" i="17"/>
  <c r="K71" i="17"/>
  <c r="K95" i="17"/>
  <c r="K140" i="17"/>
  <c r="K189" i="17"/>
  <c r="K206" i="17"/>
  <c r="K269" i="17"/>
  <c r="K239" i="17"/>
  <c r="J160" i="17"/>
  <c r="C164" i="17"/>
  <c r="I148" i="17"/>
  <c r="H51" i="17"/>
  <c r="I143" i="17"/>
  <c r="I146" i="17" s="1"/>
  <c r="K86" i="16"/>
  <c r="K217" i="16"/>
  <c r="K219" i="16" s="1"/>
  <c r="I186" i="16"/>
  <c r="K45" i="16"/>
  <c r="K72" i="16"/>
  <c r="K96" i="16"/>
  <c r="K141" i="16"/>
  <c r="K190" i="16"/>
  <c r="K207" i="16"/>
  <c r="K240" i="16"/>
  <c r="K270" i="16"/>
  <c r="K44" i="16"/>
  <c r="K71" i="16"/>
  <c r="K95" i="16"/>
  <c r="K140" i="16"/>
  <c r="C165" i="16" s="1"/>
  <c r="K189" i="16"/>
  <c r="K206" i="16"/>
  <c r="K239" i="16"/>
  <c r="K269" i="16"/>
  <c r="H47" i="15"/>
  <c r="H51" i="15"/>
  <c r="G113" i="15"/>
  <c r="H59" i="15"/>
  <c r="G79" i="15"/>
  <c r="G21" i="15"/>
  <c r="G105" i="15"/>
  <c r="H18" i="15"/>
  <c r="G20" i="15"/>
  <c r="G22" i="15"/>
  <c r="H33" i="15"/>
  <c r="G62" i="15"/>
  <c r="G75" i="15"/>
  <c r="G214" i="15"/>
  <c r="G207" i="15" s="1"/>
  <c r="G77" i="16"/>
  <c r="H49" i="16"/>
  <c r="H52" i="16"/>
  <c r="G177" i="16"/>
  <c r="H60" i="16"/>
  <c r="G80" i="16"/>
  <c r="G169" i="16"/>
  <c r="G21" i="16"/>
  <c r="H18" i="16"/>
  <c r="G20" i="16"/>
  <c r="G22" i="16"/>
  <c r="H33" i="16"/>
  <c r="G63" i="16"/>
  <c r="G76" i="16"/>
  <c r="G280" i="16"/>
  <c r="G273" i="16" s="1"/>
  <c r="H52" i="17"/>
  <c r="G177" i="17"/>
  <c r="H60" i="17"/>
  <c r="G80" i="17"/>
  <c r="G169" i="17"/>
  <c r="G21" i="17"/>
  <c r="H18" i="17"/>
  <c r="G20" i="17"/>
  <c r="G22" i="17"/>
  <c r="G101" i="17"/>
  <c r="G103" i="17" s="1"/>
  <c r="H33" i="17"/>
  <c r="G63" i="17"/>
  <c r="G76" i="17"/>
  <c r="G280" i="17"/>
  <c r="G273" i="17" s="1"/>
  <c r="K85" i="15"/>
  <c r="K151" i="15"/>
  <c r="K45" i="15"/>
  <c r="K71" i="15"/>
  <c r="K95" i="15"/>
  <c r="K124" i="15"/>
  <c r="K141" i="15"/>
  <c r="K174" i="15"/>
  <c r="K204" i="15"/>
  <c r="K4" i="14"/>
  <c r="K44" i="15"/>
  <c r="K70" i="15"/>
  <c r="K94" i="15"/>
  <c r="K123" i="15"/>
  <c r="K140" i="15"/>
  <c r="K173" i="15"/>
  <c r="K203" i="15"/>
  <c r="K3" i="14"/>
  <c r="J50" i="11"/>
  <c r="K97" i="11"/>
  <c r="K100" i="11" s="1"/>
  <c r="K50" i="11" s="1"/>
  <c r="K85" i="11"/>
  <c r="K151" i="11"/>
  <c r="K105" i="11"/>
  <c r="K21" i="11"/>
  <c r="K20" i="11"/>
  <c r="K22" i="11"/>
  <c r="J23" i="11"/>
  <c r="J19" i="11"/>
  <c r="I32" i="11"/>
  <c r="I34" i="11" s="1"/>
  <c r="H76" i="11"/>
  <c r="I48" i="11"/>
  <c r="H77" i="11"/>
  <c r="I54" i="11"/>
  <c r="K110" i="11"/>
  <c r="J112" i="11"/>
  <c r="J78" i="11" s="1"/>
  <c r="K75" i="11"/>
  <c r="K209" i="11"/>
  <c r="K214" i="11" s="1"/>
  <c r="K62" i="11"/>
  <c r="J50" i="10"/>
  <c r="K97" i="10"/>
  <c r="K100" i="10" s="1"/>
  <c r="K50" i="10" s="1"/>
  <c r="K85" i="10"/>
  <c r="K151" i="10"/>
  <c r="K153" i="10" s="1"/>
  <c r="K23" i="10"/>
  <c r="K19" i="10"/>
  <c r="J32" i="10"/>
  <c r="J34" i="10" s="1"/>
  <c r="I76" i="10"/>
  <c r="J48" i="10"/>
  <c r="J54" i="10"/>
  <c r="I77" i="10"/>
  <c r="K45" i="10"/>
  <c r="K71" i="10"/>
  <c r="K95" i="10"/>
  <c r="K124" i="10"/>
  <c r="K141" i="10"/>
  <c r="K174" i="10"/>
  <c r="K199" i="10"/>
  <c r="K44" i="10"/>
  <c r="K70" i="10"/>
  <c r="K94" i="10"/>
  <c r="K123" i="10"/>
  <c r="K140" i="10"/>
  <c r="K173" i="10"/>
  <c r="K198" i="10"/>
  <c r="J49" i="9"/>
  <c r="K96" i="9"/>
  <c r="K99" i="9" s="1"/>
  <c r="K49" i="9" s="1"/>
  <c r="K84" i="9"/>
  <c r="K150" i="9"/>
  <c r="K22" i="9"/>
  <c r="K18" i="9"/>
  <c r="J31" i="9"/>
  <c r="J33" i="9" s="1"/>
  <c r="J53" i="9"/>
  <c r="I76" i="9"/>
  <c r="J47" i="9"/>
  <c r="J75" i="9" s="1"/>
  <c r="K43" i="9"/>
  <c r="K69" i="9"/>
  <c r="K93" i="9"/>
  <c r="K122" i="9"/>
  <c r="K139" i="9"/>
  <c r="K96" i="8"/>
  <c r="K99" i="8" s="1"/>
  <c r="K49" i="8" s="1"/>
  <c r="J49" i="8"/>
  <c r="K22" i="8"/>
  <c r="K18" i="8"/>
  <c r="J31" i="8"/>
  <c r="J33" i="8" s="1"/>
  <c r="I75" i="8"/>
  <c r="J47" i="8"/>
  <c r="J53" i="8"/>
  <c r="I76" i="8"/>
  <c r="K44" i="8"/>
  <c r="K70" i="8"/>
  <c r="K94" i="8"/>
  <c r="K123" i="8"/>
  <c r="K140" i="8"/>
  <c r="K43" i="8"/>
  <c r="K69" i="8"/>
  <c r="K122" i="8"/>
  <c r="K93" i="8"/>
  <c r="K139" i="8"/>
  <c r="J49" i="7"/>
  <c r="K96" i="7"/>
  <c r="K99" i="7" s="1"/>
  <c r="K49" i="7" s="1"/>
  <c r="K84" i="7"/>
  <c r="K150" i="7"/>
  <c r="K152" i="7" s="1"/>
  <c r="J40" i="7"/>
  <c r="K22" i="7"/>
  <c r="K18" i="7"/>
  <c r="J31" i="7"/>
  <c r="J33" i="7" s="1"/>
  <c r="I75" i="7"/>
  <c r="J47" i="7"/>
  <c r="J53" i="7"/>
  <c r="I76" i="7"/>
  <c r="K44" i="7"/>
  <c r="K70" i="7"/>
  <c r="K94" i="7"/>
  <c r="K123" i="7"/>
  <c r="K140" i="7"/>
  <c r="K43" i="7"/>
  <c r="K69" i="7"/>
  <c r="K93" i="7"/>
  <c r="K122" i="7"/>
  <c r="K139" i="7"/>
  <c r="J49" i="6"/>
  <c r="K96" i="6"/>
  <c r="K99" i="6" s="1"/>
  <c r="K49" i="6" s="1"/>
  <c r="K150" i="6"/>
  <c r="K84" i="6"/>
  <c r="I76" i="6"/>
  <c r="J53" i="6"/>
  <c r="I75" i="6"/>
  <c r="J47" i="6"/>
  <c r="K22" i="6"/>
  <c r="K18" i="6"/>
  <c r="J31" i="6"/>
  <c r="J33" i="6" s="1"/>
  <c r="K122" i="6"/>
  <c r="K69" i="6"/>
  <c r="K139" i="6"/>
  <c r="K43" i="6"/>
  <c r="K93" i="6"/>
  <c r="J49" i="5"/>
  <c r="K96" i="5"/>
  <c r="K99" i="5" s="1"/>
  <c r="K49" i="5" s="1"/>
  <c r="I75" i="5"/>
  <c r="J47" i="5"/>
  <c r="J53" i="5"/>
  <c r="I76" i="5"/>
  <c r="K22" i="5"/>
  <c r="K18" i="5"/>
  <c r="J31" i="5"/>
  <c r="J33" i="5" s="1"/>
  <c r="K44" i="5"/>
  <c r="K70" i="5"/>
  <c r="K94" i="5"/>
  <c r="K140" i="5"/>
  <c r="K123" i="5"/>
  <c r="K43" i="5"/>
  <c r="K69" i="5"/>
  <c r="K93" i="5"/>
  <c r="K122" i="5"/>
  <c r="K139" i="5"/>
  <c r="J26" i="4"/>
  <c r="J31" i="4"/>
  <c r="J33" i="4" s="1"/>
  <c r="K18" i="4"/>
  <c r="K22" i="4"/>
  <c r="I27" i="4"/>
  <c r="I28" i="4"/>
  <c r="H116" i="4"/>
  <c r="H72" i="4"/>
  <c r="H79" i="4" s="1"/>
  <c r="H90" i="4" s="1"/>
  <c r="H45" i="4" s="1"/>
  <c r="G51" i="4"/>
  <c r="G62" i="4"/>
  <c r="G64" i="4" s="1"/>
  <c r="H115" i="4"/>
  <c r="H119" i="4" s="1"/>
  <c r="J47" i="4"/>
  <c r="J75" i="4" s="1"/>
  <c r="J53" i="4"/>
  <c r="I76" i="4"/>
  <c r="I59" i="4"/>
  <c r="K43" i="4"/>
  <c r="K93" i="4"/>
  <c r="K69" i="4"/>
  <c r="I59" i="3"/>
  <c r="I76" i="3"/>
  <c r="J53" i="3"/>
  <c r="I75" i="3"/>
  <c r="J47" i="3"/>
  <c r="J26" i="3"/>
  <c r="J31" i="3"/>
  <c r="J33" i="3" s="1"/>
  <c r="K18" i="3"/>
  <c r="K22" i="3"/>
  <c r="I27" i="3"/>
  <c r="I28" i="3" s="1"/>
  <c r="I72" i="3" s="1"/>
  <c r="I79" i="3" s="1"/>
  <c r="I90" i="3" s="1"/>
  <c r="I45" i="3" s="1"/>
  <c r="I51" i="3" s="1"/>
  <c r="I66" i="3" s="1"/>
  <c r="K69" i="3"/>
  <c r="K43" i="3"/>
  <c r="K96" i="2"/>
  <c r="K99" i="2" s="1"/>
  <c r="K49" i="2" s="1"/>
  <c r="J49" i="2"/>
  <c r="K84" i="2"/>
  <c r="K150" i="2"/>
  <c r="K152" i="2" s="1"/>
  <c r="J40" i="2"/>
  <c r="K22" i="2"/>
  <c r="K18" i="2"/>
  <c r="J31" i="2"/>
  <c r="J33" i="2" s="1"/>
  <c r="J53" i="2"/>
  <c r="I76" i="2"/>
  <c r="I75" i="2"/>
  <c r="J47" i="2"/>
  <c r="K218" i="17"/>
  <c r="K219" i="17" s="1"/>
  <c r="J219" i="17"/>
  <c r="K152" i="15"/>
  <c r="K153" i="15" s="1"/>
  <c r="J153" i="15"/>
  <c r="K151" i="9"/>
  <c r="K152" i="9" s="1"/>
  <c r="J152" i="9"/>
  <c r="J152" i="6"/>
  <c r="K151" i="6"/>
  <c r="K152" i="6" s="1"/>
  <c r="K152" i="11"/>
  <c r="K153" i="11" s="1"/>
  <c r="J153" i="11"/>
  <c r="K177" i="18"/>
  <c r="L174" i="18"/>
  <c r="L176" i="18" s="1"/>
  <c r="L177" i="18" s="1"/>
  <c r="L163" i="18"/>
  <c r="L166" i="18" s="1"/>
  <c r="K166" i="18"/>
  <c r="I216" i="11"/>
  <c r="J213" i="11"/>
  <c r="J215" i="11" s="1"/>
  <c r="J202" i="11"/>
  <c r="I205" i="11"/>
  <c r="K106" i="6"/>
  <c r="K30" i="6" s="1"/>
  <c r="K73" i="6" s="1"/>
  <c r="K110" i="6"/>
  <c r="K111" i="6" s="1"/>
  <c r="K77" i="6" s="1"/>
  <c r="K106" i="7"/>
  <c r="K30" i="7" s="1"/>
  <c r="K73" i="7" s="1"/>
  <c r="K110" i="7"/>
  <c r="K111" i="7" s="1"/>
  <c r="K77" i="7" s="1"/>
  <c r="K106" i="2"/>
  <c r="K30" i="2" s="1"/>
  <c r="K73" i="2" s="1"/>
  <c r="K110" i="2"/>
  <c r="K111" i="2" s="1"/>
  <c r="K77" i="2" s="1"/>
  <c r="K96" i="4"/>
  <c r="K99" i="4" s="1"/>
  <c r="K49" i="4" s="1"/>
  <c r="J49" i="4"/>
  <c r="K106" i="9"/>
  <c r="K30" i="9" s="1"/>
  <c r="K73" i="9" s="1"/>
  <c r="K110" i="9"/>
  <c r="K111" i="9" s="1"/>
  <c r="K77" i="9" s="1"/>
  <c r="K106" i="8"/>
  <c r="K30" i="8" s="1"/>
  <c r="K73" i="8" s="1"/>
  <c r="K110" i="8"/>
  <c r="K111" i="8" s="1"/>
  <c r="K106" i="5"/>
  <c r="K30" i="5" s="1"/>
  <c r="K73" i="5" s="1"/>
  <c r="K110" i="5"/>
  <c r="K111" i="5" s="1"/>
  <c r="K77" i="5" s="1"/>
  <c r="K107" i="10"/>
  <c r="K31" i="10" s="1"/>
  <c r="K74" i="10" s="1"/>
  <c r="K111" i="10"/>
  <c r="K112" i="10" s="1"/>
  <c r="K78" i="10" s="1"/>
  <c r="L106" i="19"/>
  <c r="L30" i="19" s="1"/>
  <c r="L73" i="19" s="1"/>
  <c r="L110" i="19"/>
  <c r="L106" i="18"/>
  <c r="L30" i="18" s="1"/>
  <c r="L73" i="18" s="1"/>
  <c r="L110" i="18"/>
  <c r="L111" i="18" s="1"/>
  <c r="L77" i="18" s="1"/>
  <c r="K110" i="4"/>
  <c r="K111" i="4" s="1"/>
  <c r="K77" i="4" s="1"/>
  <c r="K106" i="4"/>
  <c r="K30" i="4" s="1"/>
  <c r="K73" i="4" s="1"/>
  <c r="H45" i="3"/>
  <c r="H51" i="3" s="1"/>
  <c r="H66" i="3" s="1"/>
  <c r="K99" i="15" l="1"/>
  <c r="K82" i="15"/>
  <c r="K83" i="15" s="1"/>
  <c r="K148" i="16"/>
  <c r="K83" i="16"/>
  <c r="K84" i="16" s="1"/>
  <c r="J50" i="15"/>
  <c r="K97" i="15"/>
  <c r="K143" i="16"/>
  <c r="K146" i="16" s="1"/>
  <c r="K51" i="16" s="1"/>
  <c r="J51" i="16"/>
  <c r="K144" i="17"/>
  <c r="J164" i="17"/>
  <c r="J166" i="17" s="1"/>
  <c r="J145" i="17" s="1"/>
  <c r="K164" i="17"/>
  <c r="J83" i="17"/>
  <c r="J84" i="17" s="1"/>
  <c r="K100" i="15"/>
  <c r="K50" i="15" s="1"/>
  <c r="L111" i="19"/>
  <c r="L77" i="19" s="1"/>
  <c r="L40" i="19"/>
  <c r="L31" i="19"/>
  <c r="L33" i="19" s="1"/>
  <c r="L47" i="19"/>
  <c r="L75" i="19" s="1"/>
  <c r="L53" i="19"/>
  <c r="K76" i="19"/>
  <c r="L40" i="18"/>
  <c r="K27" i="18"/>
  <c r="K28" i="18" s="1"/>
  <c r="K72" i="18"/>
  <c r="K79" i="18" s="1"/>
  <c r="K116" i="18"/>
  <c r="K162" i="18"/>
  <c r="L31" i="18"/>
  <c r="L33" i="18" s="1"/>
  <c r="L26" i="18"/>
  <c r="J128" i="18"/>
  <c r="J164" i="18"/>
  <c r="J167" i="18"/>
  <c r="J179" i="18"/>
  <c r="J180" i="18" s="1"/>
  <c r="L47" i="18"/>
  <c r="L75" i="18" s="1"/>
  <c r="L53" i="18"/>
  <c r="K59" i="18"/>
  <c r="K76" i="18"/>
  <c r="I136" i="18"/>
  <c r="I56" i="18"/>
  <c r="J132" i="18"/>
  <c r="J135" i="18" s="1"/>
  <c r="H85" i="18"/>
  <c r="H88" i="18" s="1"/>
  <c r="H90" i="18" s="1"/>
  <c r="H45" i="18" s="1"/>
  <c r="H146" i="18"/>
  <c r="J62" i="18"/>
  <c r="J64" i="18" s="1"/>
  <c r="K115" i="18"/>
  <c r="K119" i="18" s="1"/>
  <c r="J186" i="17"/>
  <c r="K160" i="17"/>
  <c r="C165" i="17"/>
  <c r="I51" i="17"/>
  <c r="J143" i="17"/>
  <c r="J186" i="16"/>
  <c r="I47" i="15"/>
  <c r="I51" i="15"/>
  <c r="H113" i="15"/>
  <c r="H110" i="15"/>
  <c r="I59" i="15"/>
  <c r="H79" i="15"/>
  <c r="G107" i="15"/>
  <c r="G31" i="15" s="1"/>
  <c r="G74" i="15" s="1"/>
  <c r="G111" i="15"/>
  <c r="G112" i="15" s="1"/>
  <c r="G78" i="15" s="1"/>
  <c r="H105" i="15"/>
  <c r="H21" i="15"/>
  <c r="I18" i="15"/>
  <c r="H20" i="15"/>
  <c r="H22" i="15"/>
  <c r="G23" i="15"/>
  <c r="G19" i="15"/>
  <c r="I33" i="15"/>
  <c r="H75" i="15"/>
  <c r="H214" i="15"/>
  <c r="H207" i="15" s="1"/>
  <c r="H62" i="15"/>
  <c r="G210" i="15"/>
  <c r="I49" i="16"/>
  <c r="H77" i="16"/>
  <c r="I52" i="16"/>
  <c r="H177" i="16"/>
  <c r="H174" i="16"/>
  <c r="I60" i="16"/>
  <c r="H80" i="16"/>
  <c r="G175" i="16"/>
  <c r="G176" i="16" s="1"/>
  <c r="G79" i="16" s="1"/>
  <c r="G171" i="16"/>
  <c r="G31" i="16" s="1"/>
  <c r="G75" i="16" s="1"/>
  <c r="H169" i="16"/>
  <c r="H21" i="16"/>
  <c r="I18" i="16"/>
  <c r="H20" i="16"/>
  <c r="H22" i="16"/>
  <c r="G23" i="16"/>
  <c r="G19" i="16"/>
  <c r="G55" i="16" s="1"/>
  <c r="I33" i="16"/>
  <c r="H76" i="16"/>
  <c r="H280" i="16"/>
  <c r="H273" i="16" s="1"/>
  <c r="H63" i="16"/>
  <c r="G276" i="16"/>
  <c r="I52" i="17"/>
  <c r="H177" i="17"/>
  <c r="H174" i="17"/>
  <c r="I60" i="17"/>
  <c r="H80" i="17"/>
  <c r="G171" i="17"/>
  <c r="G31" i="17" s="1"/>
  <c r="G75" i="17" s="1"/>
  <c r="G175" i="17"/>
  <c r="G176" i="17" s="1"/>
  <c r="G79" i="17" s="1"/>
  <c r="H169" i="17"/>
  <c r="H21" i="17"/>
  <c r="I18" i="17"/>
  <c r="H20" i="17"/>
  <c r="H22" i="17"/>
  <c r="G23" i="17"/>
  <c r="G19" i="17"/>
  <c r="G47" i="17"/>
  <c r="H99" i="17"/>
  <c r="H101" i="17" s="1"/>
  <c r="H103" i="17" s="1"/>
  <c r="G100" i="17"/>
  <c r="I33" i="17"/>
  <c r="H76" i="17"/>
  <c r="H280" i="17"/>
  <c r="H273" i="17" s="1"/>
  <c r="H63" i="17"/>
  <c r="G276" i="17"/>
  <c r="K107" i="11"/>
  <c r="K31" i="11" s="1"/>
  <c r="K74" i="11" s="1"/>
  <c r="K111" i="11"/>
  <c r="K112" i="11" s="1"/>
  <c r="K78" i="11" s="1"/>
  <c r="K23" i="11"/>
  <c r="K19" i="11"/>
  <c r="J32" i="11"/>
  <c r="J34" i="11" s="1"/>
  <c r="I76" i="11"/>
  <c r="J48" i="11"/>
  <c r="J54" i="11"/>
  <c r="I77" i="11"/>
  <c r="K32" i="10"/>
  <c r="K34" i="10" s="1"/>
  <c r="J76" i="10"/>
  <c r="K48" i="10"/>
  <c r="K76" i="10" s="1"/>
  <c r="K54" i="10"/>
  <c r="J77" i="10"/>
  <c r="K31" i="9"/>
  <c r="K33" i="9" s="1"/>
  <c r="K53" i="9"/>
  <c r="J76" i="9"/>
  <c r="K47" i="9"/>
  <c r="K75" i="9" s="1"/>
  <c r="K31" i="8"/>
  <c r="K33" i="8" s="1"/>
  <c r="J75" i="8"/>
  <c r="K47" i="8"/>
  <c r="K75" i="8" s="1"/>
  <c r="K53" i="8"/>
  <c r="J76" i="8"/>
  <c r="K40" i="7"/>
  <c r="K31" i="7"/>
  <c r="K33" i="7" s="1"/>
  <c r="J75" i="7"/>
  <c r="K47" i="7"/>
  <c r="K75" i="7" s="1"/>
  <c r="K53" i="7"/>
  <c r="J76" i="7"/>
  <c r="K53" i="6"/>
  <c r="J76" i="6"/>
  <c r="J75" i="6"/>
  <c r="K47" i="6"/>
  <c r="K75" i="6" s="1"/>
  <c r="K31" i="6"/>
  <c r="K33" i="6" s="1"/>
  <c r="J75" i="5"/>
  <c r="K47" i="5"/>
  <c r="K75" i="5" s="1"/>
  <c r="K53" i="5"/>
  <c r="J76" i="5"/>
  <c r="K31" i="5"/>
  <c r="K33" i="5" s="1"/>
  <c r="J27" i="4"/>
  <c r="J28" i="4" s="1"/>
  <c r="K26" i="4"/>
  <c r="K31" i="4"/>
  <c r="K33" i="4" s="1"/>
  <c r="I72" i="4"/>
  <c r="I79" i="4" s="1"/>
  <c r="I90" i="4" s="1"/>
  <c r="I45" i="4" s="1"/>
  <c r="I116" i="4"/>
  <c r="H51" i="4"/>
  <c r="H62" i="4"/>
  <c r="H64" i="4" s="1"/>
  <c r="I115" i="4"/>
  <c r="I119" i="4" s="1"/>
  <c r="K47" i="4"/>
  <c r="K75" i="4" s="1"/>
  <c r="K53" i="4"/>
  <c r="J59" i="4"/>
  <c r="J76" i="4"/>
  <c r="J59" i="3"/>
  <c r="J76" i="3"/>
  <c r="K53" i="3"/>
  <c r="J75" i="3"/>
  <c r="K47" i="3"/>
  <c r="K75" i="3" s="1"/>
  <c r="J27" i="3"/>
  <c r="J28" i="3" s="1"/>
  <c r="J72" i="3" s="1"/>
  <c r="J79" i="3" s="1"/>
  <c r="J90" i="3" s="1"/>
  <c r="J45" i="3" s="1"/>
  <c r="J51" i="3" s="1"/>
  <c r="J66" i="3" s="1"/>
  <c r="K26" i="3"/>
  <c r="K31" i="3"/>
  <c r="K33" i="3" s="1"/>
  <c r="K40" i="2"/>
  <c r="K31" i="2"/>
  <c r="K33" i="2" s="1"/>
  <c r="K53" i="2"/>
  <c r="J76" i="2"/>
  <c r="J75" i="2"/>
  <c r="K47" i="2"/>
  <c r="K75" i="2" s="1"/>
  <c r="J216" i="11"/>
  <c r="K213" i="11"/>
  <c r="K215" i="11" s="1"/>
  <c r="K216" i="11" s="1"/>
  <c r="K202" i="11"/>
  <c r="J205" i="11"/>
  <c r="G66" i="4"/>
  <c r="K165" i="17" l="1"/>
  <c r="K83" i="17"/>
  <c r="K84" i="17" s="1"/>
  <c r="H210" i="15"/>
  <c r="K166" i="17"/>
  <c r="K145" i="17" s="1"/>
  <c r="K148" i="17" s="1"/>
  <c r="J146" i="17"/>
  <c r="L76" i="19"/>
  <c r="K128" i="18"/>
  <c r="K164" i="18"/>
  <c r="K167" i="18"/>
  <c r="K179" i="18"/>
  <c r="K180" i="18" s="1"/>
  <c r="L59" i="18"/>
  <c r="L76" i="18"/>
  <c r="I85" i="18"/>
  <c r="I88" i="18" s="1"/>
  <c r="I90" i="18" s="1"/>
  <c r="I45" i="18" s="1"/>
  <c r="I146" i="18"/>
  <c r="J136" i="18"/>
  <c r="J56" i="18"/>
  <c r="K132" i="18"/>
  <c r="K135" i="18" s="1"/>
  <c r="I126" i="18"/>
  <c r="I129" i="18" s="1"/>
  <c r="I133" i="18" s="1"/>
  <c r="H51" i="18"/>
  <c r="H66" i="18" s="1"/>
  <c r="K62" i="18"/>
  <c r="K64" i="18" s="1"/>
  <c r="L115" i="18"/>
  <c r="K186" i="17"/>
  <c r="K186" i="16"/>
  <c r="J47" i="15"/>
  <c r="J51" i="15"/>
  <c r="I113" i="15"/>
  <c r="I110" i="15"/>
  <c r="J59" i="15"/>
  <c r="I79" i="15"/>
  <c r="H107" i="15"/>
  <c r="H31" i="15" s="1"/>
  <c r="H74" i="15" s="1"/>
  <c r="H111" i="15"/>
  <c r="H112" i="15" s="1"/>
  <c r="H78" i="15" s="1"/>
  <c r="I105" i="15"/>
  <c r="I21" i="15"/>
  <c r="J18" i="15"/>
  <c r="I20" i="15"/>
  <c r="I22" i="15"/>
  <c r="H23" i="15"/>
  <c r="H19" i="15"/>
  <c r="G27" i="15"/>
  <c r="G32" i="15"/>
  <c r="G34" i="15" s="1"/>
  <c r="G48" i="15"/>
  <c r="G54" i="15"/>
  <c r="J33" i="15"/>
  <c r="I75" i="15"/>
  <c r="I214" i="15"/>
  <c r="I207" i="15" s="1"/>
  <c r="I62" i="15"/>
  <c r="J49" i="16"/>
  <c r="I77" i="16"/>
  <c r="J52" i="16"/>
  <c r="I177" i="16"/>
  <c r="I174" i="16"/>
  <c r="J60" i="16"/>
  <c r="I80" i="16"/>
  <c r="H175" i="16"/>
  <c r="H176" i="16" s="1"/>
  <c r="H79" i="16" s="1"/>
  <c r="H171" i="16"/>
  <c r="H31" i="16" s="1"/>
  <c r="H75" i="16" s="1"/>
  <c r="I169" i="16"/>
  <c r="I21" i="16"/>
  <c r="J18" i="16"/>
  <c r="I20" i="16"/>
  <c r="I22" i="16"/>
  <c r="H23" i="16"/>
  <c r="H19" i="16"/>
  <c r="H55" i="16" s="1"/>
  <c r="G27" i="16"/>
  <c r="G32" i="16"/>
  <c r="G34" i="16" s="1"/>
  <c r="G78" i="16"/>
  <c r="J33" i="16"/>
  <c r="I76" i="16"/>
  <c r="I280" i="16"/>
  <c r="I273" i="16" s="1"/>
  <c r="I63" i="16"/>
  <c r="J52" i="17"/>
  <c r="I177" i="17"/>
  <c r="I174" i="17"/>
  <c r="J60" i="17"/>
  <c r="I80" i="17"/>
  <c r="H171" i="17"/>
  <c r="H31" i="17" s="1"/>
  <c r="H75" i="17" s="1"/>
  <c r="H175" i="17"/>
  <c r="H176" i="17" s="1"/>
  <c r="H79" i="17" s="1"/>
  <c r="I169" i="17"/>
  <c r="I21" i="17"/>
  <c r="J18" i="17"/>
  <c r="I20" i="17"/>
  <c r="I22" i="17"/>
  <c r="H23" i="17"/>
  <c r="H19" i="17"/>
  <c r="H47" i="17"/>
  <c r="I99" i="17"/>
  <c r="I101" i="17" s="1"/>
  <c r="I103" i="17" s="1"/>
  <c r="H100" i="17"/>
  <c r="G27" i="17"/>
  <c r="G32" i="17"/>
  <c r="G34" i="17" s="1"/>
  <c r="G55" i="17"/>
  <c r="G126" i="17" s="1"/>
  <c r="G113" i="17"/>
  <c r="G121" i="17"/>
  <c r="G122" i="17" s="1"/>
  <c r="J33" i="17"/>
  <c r="I76" i="17"/>
  <c r="I280" i="17"/>
  <c r="I273" i="17" s="1"/>
  <c r="I63" i="17"/>
  <c r="K32" i="11"/>
  <c r="K34" i="11" s="1"/>
  <c r="J76" i="11"/>
  <c r="K48" i="11"/>
  <c r="K76" i="11" s="1"/>
  <c r="J77" i="11"/>
  <c r="K54" i="11"/>
  <c r="K77" i="10"/>
  <c r="K76" i="9"/>
  <c r="K76" i="8"/>
  <c r="K76" i="7"/>
  <c r="K76" i="6"/>
  <c r="K76" i="5"/>
  <c r="J72" i="4"/>
  <c r="J79" i="4" s="1"/>
  <c r="J90" i="4" s="1"/>
  <c r="J45" i="4" s="1"/>
  <c r="J116" i="4"/>
  <c r="K27" i="4"/>
  <c r="K28" i="4"/>
  <c r="I51" i="4"/>
  <c r="I62" i="4"/>
  <c r="I64" i="4" s="1"/>
  <c r="J115" i="4"/>
  <c r="K59" i="4"/>
  <c r="K76" i="4"/>
  <c r="K76" i="3"/>
  <c r="K59" i="3"/>
  <c r="K27" i="3"/>
  <c r="K28" i="3"/>
  <c r="K72" i="3" s="1"/>
  <c r="K79" i="3" s="1"/>
  <c r="K90" i="3" s="1"/>
  <c r="K45" i="3" s="1"/>
  <c r="K51" i="3" s="1"/>
  <c r="K66" i="3" s="1"/>
  <c r="K76" i="2"/>
  <c r="J148" i="17"/>
  <c r="H276" i="17"/>
  <c r="H66" i="4"/>
  <c r="K205" i="11"/>
  <c r="H276" i="16"/>
  <c r="L27" i="18"/>
  <c r="L28" i="18" s="1"/>
  <c r="J51" i="17" l="1"/>
  <c r="K143" i="17"/>
  <c r="K146" i="17" s="1"/>
  <c r="K51" i="17" s="1"/>
  <c r="J126" i="18"/>
  <c r="J129" i="18" s="1"/>
  <c r="J133" i="18" s="1"/>
  <c r="I51" i="18"/>
  <c r="I66" i="18" s="1"/>
  <c r="J85" i="18"/>
  <c r="J88" i="18" s="1"/>
  <c r="J90" i="18" s="1"/>
  <c r="J45" i="18" s="1"/>
  <c r="J146" i="18"/>
  <c r="K136" i="18"/>
  <c r="K56" i="18"/>
  <c r="L132" i="18"/>
  <c r="L135" i="18" s="1"/>
  <c r="K47" i="15"/>
  <c r="K51" i="15"/>
  <c r="K113" i="15" s="1"/>
  <c r="J113" i="15"/>
  <c r="J110" i="15"/>
  <c r="K59" i="15"/>
  <c r="K79" i="15" s="1"/>
  <c r="J79" i="15"/>
  <c r="I107" i="15"/>
  <c r="I31" i="15" s="1"/>
  <c r="I74" i="15" s="1"/>
  <c r="I111" i="15"/>
  <c r="I112" i="15" s="1"/>
  <c r="I78" i="15" s="1"/>
  <c r="J105" i="15"/>
  <c r="J21" i="15"/>
  <c r="K18" i="15"/>
  <c r="J20" i="15"/>
  <c r="J22" i="15"/>
  <c r="I23" i="15"/>
  <c r="I19" i="15"/>
  <c r="H32" i="15"/>
  <c r="H34" i="15" s="1"/>
  <c r="G28" i="15"/>
  <c r="G29" i="15" s="1"/>
  <c r="G76" i="15"/>
  <c r="H48" i="15"/>
  <c r="H54" i="15"/>
  <c r="G77" i="15"/>
  <c r="K33" i="15"/>
  <c r="J75" i="15"/>
  <c r="J214" i="15"/>
  <c r="I210" i="15"/>
  <c r="J207" i="15"/>
  <c r="J62" i="15"/>
  <c r="K49" i="16"/>
  <c r="K77" i="16" s="1"/>
  <c r="J77" i="16"/>
  <c r="K52" i="16"/>
  <c r="K177" i="16" s="1"/>
  <c r="J177" i="16"/>
  <c r="J174" i="16"/>
  <c r="K60" i="16"/>
  <c r="K80" i="16" s="1"/>
  <c r="J80" i="16"/>
  <c r="I175" i="16"/>
  <c r="I176" i="16" s="1"/>
  <c r="I79" i="16" s="1"/>
  <c r="I171" i="16"/>
  <c r="I31" i="16" s="1"/>
  <c r="I75" i="16" s="1"/>
  <c r="J169" i="16"/>
  <c r="J21" i="16"/>
  <c r="K18" i="16"/>
  <c r="J20" i="16"/>
  <c r="J22" i="16"/>
  <c r="I23" i="16"/>
  <c r="I19" i="16"/>
  <c r="I55" i="16" s="1"/>
  <c r="H32" i="16"/>
  <c r="H34" i="16" s="1"/>
  <c r="G28" i="16"/>
  <c r="G29" i="16" s="1"/>
  <c r="H78" i="16"/>
  <c r="K33" i="16"/>
  <c r="J76" i="16"/>
  <c r="J280" i="16"/>
  <c r="J273" i="16" s="1"/>
  <c r="J63" i="16"/>
  <c r="K52" i="17"/>
  <c r="K177" i="17" s="1"/>
  <c r="J177" i="17"/>
  <c r="J174" i="17"/>
  <c r="K60" i="17"/>
  <c r="K80" i="17" s="1"/>
  <c r="J80" i="17"/>
  <c r="I171" i="17"/>
  <c r="I31" i="17" s="1"/>
  <c r="I75" i="17" s="1"/>
  <c r="I175" i="17"/>
  <c r="I176" i="17" s="1"/>
  <c r="I79" i="17" s="1"/>
  <c r="J169" i="17"/>
  <c r="J21" i="17"/>
  <c r="K18" i="17"/>
  <c r="J20" i="17"/>
  <c r="J22" i="17"/>
  <c r="I23" i="17"/>
  <c r="I19" i="17"/>
  <c r="I47" i="17"/>
  <c r="J99" i="17"/>
  <c r="J101" i="17" s="1"/>
  <c r="J103" i="17" s="1"/>
  <c r="I100" i="17"/>
  <c r="H32" i="17"/>
  <c r="H34" i="17" s="1"/>
  <c r="H121" i="17"/>
  <c r="H122" i="17" s="1"/>
  <c r="G28" i="17"/>
  <c r="G29" i="17" s="1"/>
  <c r="H55" i="17"/>
  <c r="H126" i="17" s="1"/>
  <c r="G78" i="17"/>
  <c r="G48" i="17"/>
  <c r="H111" i="17"/>
  <c r="H113" i="17" s="1"/>
  <c r="G112" i="17"/>
  <c r="K33" i="17"/>
  <c r="J76" i="17"/>
  <c r="J280" i="17"/>
  <c r="J273" i="17" s="1"/>
  <c r="J63" i="17"/>
  <c r="K77" i="11"/>
  <c r="K72" i="4"/>
  <c r="K79" i="4" s="1"/>
  <c r="K90" i="4" s="1"/>
  <c r="K45" i="4" s="1"/>
  <c r="K51" i="4" s="1"/>
  <c r="K116" i="4"/>
  <c r="J51" i="4"/>
  <c r="L162" i="18"/>
  <c r="L116" i="18"/>
  <c r="L119" i="18" s="1"/>
  <c r="L62" i="18" s="1"/>
  <c r="L64" i="18" s="1"/>
  <c r="L72" i="18"/>
  <c r="L79" i="18" s="1"/>
  <c r="I66" i="4"/>
  <c r="J119" i="4"/>
  <c r="I276" i="17"/>
  <c r="I276" i="16"/>
  <c r="J276" i="17" l="1"/>
  <c r="J276" i="16"/>
  <c r="K126" i="18"/>
  <c r="K129" i="18" s="1"/>
  <c r="K133" i="18" s="1"/>
  <c r="J51" i="18"/>
  <c r="J66" i="18" s="1"/>
  <c r="K85" i="18"/>
  <c r="K88" i="18" s="1"/>
  <c r="K90" i="18" s="1"/>
  <c r="K45" i="18" s="1"/>
  <c r="K146" i="18"/>
  <c r="L136" i="18"/>
  <c r="L56" i="18"/>
  <c r="K110" i="15"/>
  <c r="J107" i="15"/>
  <c r="J31" i="15" s="1"/>
  <c r="J74" i="15" s="1"/>
  <c r="J111" i="15"/>
  <c r="J112" i="15" s="1"/>
  <c r="J78" i="15" s="1"/>
  <c r="K105" i="15"/>
  <c r="K21" i="15"/>
  <c r="K20" i="15"/>
  <c r="K22" i="15"/>
  <c r="J23" i="15"/>
  <c r="J19" i="15"/>
  <c r="I32" i="15"/>
  <c r="I34" i="15" s="1"/>
  <c r="G73" i="15"/>
  <c r="G80" i="15" s="1"/>
  <c r="G117" i="15"/>
  <c r="G120" i="15" s="1"/>
  <c r="D163" i="15"/>
  <c r="G206" i="15"/>
  <c r="H76" i="15"/>
  <c r="I48" i="15"/>
  <c r="I54" i="15"/>
  <c r="H77" i="15"/>
  <c r="K75" i="15"/>
  <c r="K214" i="15"/>
  <c r="K207" i="15" s="1"/>
  <c r="K62" i="15"/>
  <c r="K174" i="16"/>
  <c r="J175" i="16"/>
  <c r="J176" i="16" s="1"/>
  <c r="J79" i="16" s="1"/>
  <c r="J171" i="16"/>
  <c r="J31" i="16" s="1"/>
  <c r="J75" i="16" s="1"/>
  <c r="K169" i="16"/>
  <c r="K21" i="16"/>
  <c r="K20" i="16"/>
  <c r="K22" i="16"/>
  <c r="J23" i="16"/>
  <c r="J19" i="16"/>
  <c r="J55" i="16" s="1"/>
  <c r="I32" i="16"/>
  <c r="I34" i="16" s="1"/>
  <c r="G74" i="16"/>
  <c r="G81" i="16" s="1"/>
  <c r="G181" i="16"/>
  <c r="D229" i="16"/>
  <c r="G272" i="16"/>
  <c r="I78" i="16"/>
  <c r="K76" i="16"/>
  <c r="K280" i="16"/>
  <c r="K273" i="16" s="1"/>
  <c r="K63" i="16"/>
  <c r="K174" i="17"/>
  <c r="J171" i="17"/>
  <c r="J31" i="17" s="1"/>
  <c r="J75" i="17" s="1"/>
  <c r="J175" i="17"/>
  <c r="J176" i="17" s="1"/>
  <c r="J79" i="17" s="1"/>
  <c r="K169" i="17"/>
  <c r="K21" i="17"/>
  <c r="M18" i="17"/>
  <c r="K20" i="17"/>
  <c r="K22" i="17"/>
  <c r="J23" i="17"/>
  <c r="J19" i="17"/>
  <c r="J47" i="17"/>
  <c r="K99" i="17"/>
  <c r="K101" i="17" s="1"/>
  <c r="K103" i="17" s="1"/>
  <c r="J100" i="17"/>
  <c r="I32" i="17"/>
  <c r="I34" i="17" s="1"/>
  <c r="I121" i="17"/>
  <c r="I122" i="17" s="1"/>
  <c r="H48" i="17"/>
  <c r="I111" i="17"/>
  <c r="I113" i="17" s="1"/>
  <c r="H112" i="17"/>
  <c r="G74" i="17"/>
  <c r="G181" i="17"/>
  <c r="D229" i="17"/>
  <c r="G272" i="17"/>
  <c r="I55" i="17"/>
  <c r="I126" i="17" s="1"/>
  <c r="H78" i="17"/>
  <c r="G77" i="17"/>
  <c r="G123" i="17"/>
  <c r="G124" i="17" s="1"/>
  <c r="G127" i="17" s="1"/>
  <c r="K76" i="17"/>
  <c r="K280" i="17"/>
  <c r="K273" i="17" s="1"/>
  <c r="K63" i="17"/>
  <c r="L164" i="18"/>
  <c r="L167" i="18"/>
  <c r="L179" i="18"/>
  <c r="L180" i="18" s="1"/>
  <c r="L128" i="18"/>
  <c r="J62" i="4"/>
  <c r="J64" i="4" s="1"/>
  <c r="J66" i="4" s="1"/>
  <c r="K115" i="4"/>
  <c r="K119" i="4" s="1"/>
  <c r="K62" i="4" s="1"/>
  <c r="K64" i="4" s="1"/>
  <c r="K66" i="4" s="1"/>
  <c r="J210" i="15"/>
  <c r="K276" i="17" l="1"/>
  <c r="K276" i="16"/>
  <c r="K210" i="15"/>
  <c r="K51" i="18"/>
  <c r="K66" i="18" s="1"/>
  <c r="L126" i="18"/>
  <c r="L129" i="18" s="1"/>
  <c r="L133" i="18" s="1"/>
  <c r="L85" i="18"/>
  <c r="L88" i="18" s="1"/>
  <c r="L90" i="18" s="1"/>
  <c r="L45" i="18" s="1"/>
  <c r="L51" i="18" s="1"/>
  <c r="L66" i="18" s="1"/>
  <c r="L146" i="18"/>
  <c r="K107" i="15"/>
  <c r="K31" i="15" s="1"/>
  <c r="K74" i="15" s="1"/>
  <c r="K111" i="15"/>
  <c r="K112" i="15" s="1"/>
  <c r="K78" i="15" s="1"/>
  <c r="K23" i="15"/>
  <c r="K19" i="15"/>
  <c r="J32" i="15"/>
  <c r="J34" i="15" s="1"/>
  <c r="G129" i="15"/>
  <c r="G130" i="15" s="1"/>
  <c r="G134" i="15" s="1"/>
  <c r="G136" i="15" s="1"/>
  <c r="H116" i="15"/>
  <c r="G63" i="15"/>
  <c r="G65" i="15" s="1"/>
  <c r="G208" i="15"/>
  <c r="G211" i="15"/>
  <c r="I76" i="15"/>
  <c r="J48" i="15"/>
  <c r="J54" i="15"/>
  <c r="I77" i="15"/>
  <c r="K175" i="16"/>
  <c r="K176" i="16" s="1"/>
  <c r="K79" i="16" s="1"/>
  <c r="K171" i="16"/>
  <c r="K31" i="16" s="1"/>
  <c r="K75" i="16" s="1"/>
  <c r="K23" i="16"/>
  <c r="K19" i="16"/>
  <c r="K55" i="16" s="1"/>
  <c r="J32" i="16"/>
  <c r="J34" i="16" s="1"/>
  <c r="G182" i="16"/>
  <c r="G274" i="16"/>
  <c r="G277" i="16"/>
  <c r="J78" i="16"/>
  <c r="K171" i="17"/>
  <c r="K31" i="17" s="1"/>
  <c r="K75" i="17" s="1"/>
  <c r="K175" i="17"/>
  <c r="K176" i="17" s="1"/>
  <c r="K79" i="17" s="1"/>
  <c r="K23" i="17"/>
  <c r="K19" i="17"/>
  <c r="K47" i="17"/>
  <c r="K100" i="17"/>
  <c r="J32" i="17"/>
  <c r="J34" i="17" s="1"/>
  <c r="J121" i="17"/>
  <c r="J122" i="17" s="1"/>
  <c r="I48" i="17"/>
  <c r="J111" i="17"/>
  <c r="J113" i="17" s="1"/>
  <c r="I112" i="17"/>
  <c r="H123" i="17"/>
  <c r="H124" i="17" s="1"/>
  <c r="H127" i="17" s="1"/>
  <c r="H77" i="17"/>
  <c r="G182" i="17"/>
  <c r="G277" i="17"/>
  <c r="G274" i="17"/>
  <c r="J55" i="17"/>
  <c r="J126" i="17" s="1"/>
  <c r="I78" i="17"/>
  <c r="G81" i="17"/>
  <c r="G89" i="16" l="1"/>
  <c r="G195" i="16" s="1"/>
  <c r="G196" i="16" s="1"/>
  <c r="G200" i="16" s="1"/>
  <c r="G202" i="16" s="1"/>
  <c r="G184" i="16"/>
  <c r="G89" i="17"/>
  <c r="G195" i="17" s="1"/>
  <c r="G196" i="17" s="1"/>
  <c r="G200" i="17" s="1"/>
  <c r="G202" i="17" s="1"/>
  <c r="G184" i="17"/>
  <c r="K32" i="15"/>
  <c r="K34" i="15" s="1"/>
  <c r="G137" i="15"/>
  <c r="G57" i="15"/>
  <c r="H133" i="15"/>
  <c r="J76" i="15"/>
  <c r="K48" i="15"/>
  <c r="K76" i="15" s="1"/>
  <c r="K54" i="15"/>
  <c r="J77" i="15"/>
  <c r="K32" i="16"/>
  <c r="K34" i="16" s="1"/>
  <c r="K78" i="16"/>
  <c r="M23" i="17"/>
  <c r="K32" i="17"/>
  <c r="K121" i="17"/>
  <c r="K122" i="17" s="1"/>
  <c r="J48" i="17"/>
  <c r="K111" i="17"/>
  <c r="K113" i="17" s="1"/>
  <c r="J112" i="17"/>
  <c r="I123" i="17"/>
  <c r="I124" i="17" s="1"/>
  <c r="I127" i="17" s="1"/>
  <c r="I77" i="17"/>
  <c r="K55" i="17"/>
  <c r="K126" i="17" s="1"/>
  <c r="J78" i="17"/>
  <c r="H180" i="17" l="1"/>
  <c r="G64" i="17"/>
  <c r="G66" i="17" s="1"/>
  <c r="G203" i="16"/>
  <c r="G58" i="16"/>
  <c r="H199" i="16"/>
  <c r="H180" i="16"/>
  <c r="G64" i="16"/>
  <c r="G66" i="16" s="1"/>
  <c r="G60" i="15"/>
  <c r="G86" i="15"/>
  <c r="G89" i="15" s="1"/>
  <c r="G91" i="15" s="1"/>
  <c r="G46" i="15" s="1"/>
  <c r="G147" i="15"/>
  <c r="H148" i="15" s="1"/>
  <c r="H143" i="15" s="1"/>
  <c r="H25" i="15" s="1"/>
  <c r="K77" i="15"/>
  <c r="M32" i="17"/>
  <c r="K34" i="17"/>
  <c r="K48" i="17"/>
  <c r="K112" i="17"/>
  <c r="J123" i="17"/>
  <c r="J124" i="17" s="1"/>
  <c r="J127" i="17" s="1"/>
  <c r="J77" i="17"/>
  <c r="K78" i="17"/>
  <c r="G203" i="17"/>
  <c r="G58" i="17"/>
  <c r="H199" i="17"/>
  <c r="G137" i="16" l="1"/>
  <c r="G61" i="16"/>
  <c r="G87" i="16"/>
  <c r="G90" i="16" s="1"/>
  <c r="G92" i="16" s="1"/>
  <c r="G46" i="16" s="1"/>
  <c r="G213" i="16"/>
  <c r="H214" i="16" s="1"/>
  <c r="H209" i="16" s="1"/>
  <c r="H25" i="16" s="1"/>
  <c r="H127" i="15"/>
  <c r="G52" i="15"/>
  <c r="G67" i="15" s="1"/>
  <c r="H157" i="15"/>
  <c r="H24" i="15" s="1"/>
  <c r="H27" i="15" s="1"/>
  <c r="K123" i="17"/>
  <c r="K124" i="17" s="1"/>
  <c r="K127" i="17" s="1"/>
  <c r="K77" i="17"/>
  <c r="G137" i="17"/>
  <c r="G61" i="17"/>
  <c r="G87" i="17"/>
  <c r="G90" i="17" s="1"/>
  <c r="G92" i="17" s="1"/>
  <c r="G46" i="17" s="1"/>
  <c r="G213" i="17"/>
  <c r="H214" i="17" s="1"/>
  <c r="H209" i="17" s="1"/>
  <c r="H25" i="17" s="1"/>
  <c r="H193" i="16" l="1"/>
  <c r="G53" i="16"/>
  <c r="G68" i="16" s="1"/>
  <c r="G133" i="16"/>
  <c r="H223" i="16"/>
  <c r="H24" i="16" s="1"/>
  <c r="H27" i="16" s="1"/>
  <c r="H28" i="16" s="1"/>
  <c r="H29" i="16" s="1"/>
  <c r="H28" i="15"/>
  <c r="H29" i="15" s="1"/>
  <c r="H193" i="17"/>
  <c r="G53" i="17"/>
  <c r="G68" i="17" s="1"/>
  <c r="G133" i="17"/>
  <c r="G130" i="17" s="1"/>
  <c r="H223" i="17"/>
  <c r="H24" i="17" s="1"/>
  <c r="H27" i="17" s="1"/>
  <c r="G130" i="16" l="1"/>
  <c r="G136" i="16"/>
  <c r="G129" i="16" s="1"/>
  <c r="H73" i="15"/>
  <c r="H80" i="15" s="1"/>
  <c r="H117" i="15"/>
  <c r="H120" i="15" s="1"/>
  <c r="H206" i="15"/>
  <c r="H74" i="16"/>
  <c r="H81" i="16" s="1"/>
  <c r="H181" i="16"/>
  <c r="H272" i="16"/>
  <c r="G136" i="17"/>
  <c r="G129" i="17" s="1"/>
  <c r="H28" i="17"/>
  <c r="H29" i="17" s="1"/>
  <c r="H129" i="15" l="1"/>
  <c r="H130" i="15" s="1"/>
  <c r="H134" i="15" s="1"/>
  <c r="H136" i="15" s="1"/>
  <c r="I116" i="15"/>
  <c r="H63" i="15"/>
  <c r="H65" i="15" s="1"/>
  <c r="H208" i="15"/>
  <c r="H211" i="15"/>
  <c r="H182" i="16"/>
  <c r="H274" i="16"/>
  <c r="H277" i="16"/>
  <c r="H74" i="17"/>
  <c r="H81" i="17" s="1"/>
  <c r="H181" i="17"/>
  <c r="H272" i="17"/>
  <c r="H137" i="15" l="1"/>
  <c r="H57" i="15"/>
  <c r="I133" i="15"/>
  <c r="H182" i="17"/>
  <c r="H274" i="17"/>
  <c r="H277" i="17"/>
  <c r="H89" i="16"/>
  <c r="H195" i="16" s="1"/>
  <c r="H196" i="16" s="1"/>
  <c r="H200" i="16" s="1"/>
  <c r="H202" i="16" s="1"/>
  <c r="H184" i="16"/>
  <c r="H60" i="15" l="1"/>
  <c r="H86" i="15"/>
  <c r="H89" i="15" s="1"/>
  <c r="H91" i="15" s="1"/>
  <c r="H46" i="15" s="1"/>
  <c r="H147" i="15"/>
  <c r="I148" i="15" s="1"/>
  <c r="I143" i="15" s="1"/>
  <c r="I25" i="15" s="1"/>
  <c r="I199" i="16"/>
  <c r="H58" i="16"/>
  <c r="H203" i="16"/>
  <c r="H64" i="16"/>
  <c r="H66" i="16" s="1"/>
  <c r="I180" i="16"/>
  <c r="H89" i="17"/>
  <c r="H195" i="17" s="1"/>
  <c r="H196" i="17" s="1"/>
  <c r="H200" i="17" s="1"/>
  <c r="H202" i="17" s="1"/>
  <c r="H184" i="17"/>
  <c r="I199" i="17" l="1"/>
  <c r="H203" i="17"/>
  <c r="H58" i="17"/>
  <c r="I127" i="15"/>
  <c r="H52" i="15"/>
  <c r="H67" i="15" s="1"/>
  <c r="I157" i="15"/>
  <c r="I24" i="15" s="1"/>
  <c r="I27" i="15" s="1"/>
  <c r="H137" i="16"/>
  <c r="H61" i="16"/>
  <c r="H87" i="16"/>
  <c r="H90" i="16" s="1"/>
  <c r="H92" i="16" s="1"/>
  <c r="H46" i="16" s="1"/>
  <c r="H213" i="16"/>
  <c r="I214" i="16" s="1"/>
  <c r="I209" i="16" s="1"/>
  <c r="I25" i="16" s="1"/>
  <c r="H64" i="17"/>
  <c r="H66" i="17" s="1"/>
  <c r="I180" i="17"/>
  <c r="H61" i="17" l="1"/>
  <c r="H137" i="17"/>
  <c r="H87" i="17"/>
  <c r="H90" i="17" s="1"/>
  <c r="H92" i="17" s="1"/>
  <c r="H46" i="17" s="1"/>
  <c r="H133" i="17" s="1"/>
  <c r="H213" i="17"/>
  <c r="I214" i="17" s="1"/>
  <c r="I209" i="17" s="1"/>
  <c r="I25" i="17" s="1"/>
  <c r="I28" i="15"/>
  <c r="I29" i="15" s="1"/>
  <c r="I193" i="16"/>
  <c r="H53" i="16"/>
  <c r="H68" i="16" s="1"/>
  <c r="I223" i="16"/>
  <c r="I24" i="16" s="1"/>
  <c r="I27" i="16" s="1"/>
  <c r="H133" i="16"/>
  <c r="H130" i="16" s="1"/>
  <c r="H130" i="17" l="1"/>
  <c r="I193" i="17"/>
  <c r="H53" i="17"/>
  <c r="H68" i="17" s="1"/>
  <c r="I223" i="17"/>
  <c r="I24" i="17" s="1"/>
  <c r="I27" i="17" s="1"/>
  <c r="I28" i="17" s="1"/>
  <c r="I29" i="17" s="1"/>
  <c r="I73" i="15"/>
  <c r="I80" i="15" s="1"/>
  <c r="I117" i="15"/>
  <c r="I120" i="15" s="1"/>
  <c r="I206" i="15"/>
  <c r="H136" i="17"/>
  <c r="H129" i="17" s="1"/>
  <c r="I28" i="16"/>
  <c r="I29" i="16" s="1"/>
  <c r="H136" i="16"/>
  <c r="H129" i="16" s="1"/>
  <c r="I129" i="15" l="1"/>
  <c r="I130" i="15" s="1"/>
  <c r="I134" i="15" s="1"/>
  <c r="I136" i="15" s="1"/>
  <c r="J116" i="15"/>
  <c r="I63" i="15"/>
  <c r="I65" i="15" s="1"/>
  <c r="I208" i="15"/>
  <c r="I211" i="15"/>
  <c r="I74" i="17"/>
  <c r="I81" i="17" s="1"/>
  <c r="I181" i="17"/>
  <c r="I272" i="17"/>
  <c r="I74" i="16"/>
  <c r="I81" i="16" s="1"/>
  <c r="I181" i="16"/>
  <c r="I272" i="16"/>
  <c r="I137" i="15" l="1"/>
  <c r="I57" i="15"/>
  <c r="J133" i="15"/>
  <c r="I182" i="17"/>
  <c r="I274" i="17"/>
  <c r="I277" i="17"/>
  <c r="I182" i="16"/>
  <c r="I274" i="16"/>
  <c r="I277" i="16"/>
  <c r="I89" i="16" l="1"/>
  <c r="I195" i="16" s="1"/>
  <c r="I196" i="16" s="1"/>
  <c r="I200" i="16" s="1"/>
  <c r="I202" i="16" s="1"/>
  <c r="I184" i="16"/>
  <c r="I60" i="15"/>
  <c r="I86" i="15"/>
  <c r="I89" i="15" s="1"/>
  <c r="I91" i="15" s="1"/>
  <c r="I46" i="15" s="1"/>
  <c r="I147" i="15"/>
  <c r="J148" i="15" s="1"/>
  <c r="J143" i="15" s="1"/>
  <c r="J25" i="15" s="1"/>
  <c r="I89" i="17"/>
  <c r="I195" i="17" s="1"/>
  <c r="I196" i="17" s="1"/>
  <c r="I200" i="17" s="1"/>
  <c r="I202" i="17" s="1"/>
  <c r="I184" i="17"/>
  <c r="J180" i="16" l="1"/>
  <c r="I64" i="16"/>
  <c r="I66" i="16" s="1"/>
  <c r="I203" i="16"/>
  <c r="I58" i="16"/>
  <c r="J199" i="16"/>
  <c r="J127" i="15"/>
  <c r="I52" i="15"/>
  <c r="I67" i="15" s="1"/>
  <c r="J157" i="15"/>
  <c r="J24" i="15" s="1"/>
  <c r="J27" i="15" s="1"/>
  <c r="J199" i="17"/>
  <c r="I58" i="17"/>
  <c r="I203" i="17"/>
  <c r="I64" i="17"/>
  <c r="I66" i="17" s="1"/>
  <c r="J180" i="17"/>
  <c r="I87" i="16" l="1"/>
  <c r="I90" i="16" s="1"/>
  <c r="I92" i="16" s="1"/>
  <c r="I46" i="16" s="1"/>
  <c r="I137" i="16"/>
  <c r="I61" i="16"/>
  <c r="I213" i="16"/>
  <c r="J214" i="16" s="1"/>
  <c r="J209" i="16" s="1"/>
  <c r="J25" i="16" s="1"/>
  <c r="J28" i="15"/>
  <c r="J29" i="15" s="1"/>
  <c r="I137" i="17"/>
  <c r="I61" i="17"/>
  <c r="I87" i="17"/>
  <c r="I90" i="17" s="1"/>
  <c r="I92" i="17" s="1"/>
  <c r="I46" i="17" s="1"/>
  <c r="I213" i="17"/>
  <c r="J214" i="17" s="1"/>
  <c r="J209" i="17" s="1"/>
  <c r="J25" i="17" s="1"/>
  <c r="I53" i="16" l="1"/>
  <c r="I68" i="16" s="1"/>
  <c r="I133" i="16"/>
  <c r="J193" i="16"/>
  <c r="J223" i="16"/>
  <c r="J24" i="16" s="1"/>
  <c r="J27" i="16" s="1"/>
  <c r="J28" i="16" s="1"/>
  <c r="J29" i="16" s="1"/>
  <c r="J73" i="15"/>
  <c r="J80" i="15" s="1"/>
  <c r="J117" i="15"/>
  <c r="J120" i="15" s="1"/>
  <c r="J206" i="15"/>
  <c r="J193" i="17"/>
  <c r="I53" i="17"/>
  <c r="I68" i="17" s="1"/>
  <c r="J223" i="17"/>
  <c r="J24" i="17" s="1"/>
  <c r="J27" i="17" s="1"/>
  <c r="I133" i="17"/>
  <c r="I130" i="17" s="1"/>
  <c r="I130" i="16" l="1"/>
  <c r="I136" i="16"/>
  <c r="I129" i="16" s="1"/>
  <c r="J129" i="15"/>
  <c r="J130" i="15" s="1"/>
  <c r="J134" i="15" s="1"/>
  <c r="J136" i="15" s="1"/>
  <c r="K116" i="15"/>
  <c r="J63" i="15"/>
  <c r="J65" i="15" s="1"/>
  <c r="J208" i="15"/>
  <c r="J211" i="15"/>
  <c r="J74" i="16"/>
  <c r="J81" i="16" s="1"/>
  <c r="J181" i="16"/>
  <c r="J272" i="16"/>
  <c r="J28" i="17"/>
  <c r="J29" i="17" s="1"/>
  <c r="I136" i="17"/>
  <c r="I129" i="17" s="1"/>
  <c r="J137" i="15" l="1"/>
  <c r="J57" i="15"/>
  <c r="K133" i="15"/>
  <c r="J182" i="16"/>
  <c r="J274" i="16"/>
  <c r="J277" i="16"/>
  <c r="J74" i="17"/>
  <c r="J81" i="17" s="1"/>
  <c r="J181" i="17"/>
  <c r="J272" i="17"/>
  <c r="J89" i="16" l="1"/>
  <c r="J195" i="16" s="1"/>
  <c r="J196" i="16" s="1"/>
  <c r="J200" i="16" s="1"/>
  <c r="J202" i="16" s="1"/>
  <c r="J184" i="16"/>
  <c r="J60" i="15"/>
  <c r="J86" i="15"/>
  <c r="J89" i="15" s="1"/>
  <c r="J91" i="15" s="1"/>
  <c r="J46" i="15" s="1"/>
  <c r="J147" i="15"/>
  <c r="K148" i="15" s="1"/>
  <c r="K143" i="15" s="1"/>
  <c r="K25" i="15" s="1"/>
  <c r="J182" i="17"/>
  <c r="J274" i="17"/>
  <c r="J277" i="17"/>
  <c r="K180" i="16" l="1"/>
  <c r="J64" i="16"/>
  <c r="J66" i="16" s="1"/>
  <c r="J203" i="16"/>
  <c r="J58" i="16"/>
  <c r="K199" i="16"/>
  <c r="K127" i="15"/>
  <c r="J52" i="15"/>
  <c r="J67" i="15" s="1"/>
  <c r="K157" i="15"/>
  <c r="K24" i="15" s="1"/>
  <c r="K27" i="15" s="1"/>
  <c r="J89" i="17"/>
  <c r="J195" i="17" s="1"/>
  <c r="J196" i="17" s="1"/>
  <c r="J200" i="17" s="1"/>
  <c r="J202" i="17" s="1"/>
  <c r="J184" i="17"/>
  <c r="J137" i="16" l="1"/>
  <c r="J61" i="16"/>
  <c r="J87" i="16"/>
  <c r="J90" i="16" s="1"/>
  <c r="J92" i="16" s="1"/>
  <c r="J46" i="16" s="1"/>
  <c r="J213" i="16"/>
  <c r="K214" i="16" s="1"/>
  <c r="K209" i="16" s="1"/>
  <c r="K25" i="16" s="1"/>
  <c r="K199" i="17"/>
  <c r="J58" i="17"/>
  <c r="J203" i="17"/>
  <c r="K28" i="15"/>
  <c r="K29" i="15" s="1"/>
  <c r="J64" i="17"/>
  <c r="J66" i="17" s="1"/>
  <c r="K180" i="17"/>
  <c r="K193" i="16" l="1"/>
  <c r="J53" i="16"/>
  <c r="J68" i="16" s="1"/>
  <c r="K223" i="16"/>
  <c r="K24" i="16" s="1"/>
  <c r="K27" i="16" s="1"/>
  <c r="K28" i="16" s="1"/>
  <c r="K29" i="16" s="1"/>
  <c r="J133" i="16"/>
  <c r="J137" i="17"/>
  <c r="J61" i="17"/>
  <c r="J87" i="17"/>
  <c r="J90" i="17" s="1"/>
  <c r="J92" i="17" s="1"/>
  <c r="J46" i="17" s="1"/>
  <c r="J213" i="17"/>
  <c r="K214" i="17" s="1"/>
  <c r="K209" i="17" s="1"/>
  <c r="K25" i="17" s="1"/>
  <c r="K73" i="15"/>
  <c r="K80" i="15" s="1"/>
  <c r="K117" i="15"/>
  <c r="K120" i="15" s="1"/>
  <c r="K63" i="15" s="1"/>
  <c r="K65" i="15" s="1"/>
  <c r="K206" i="15"/>
  <c r="J130" i="16" l="1"/>
  <c r="J136" i="16"/>
  <c r="J129" i="16" s="1"/>
  <c r="K193" i="17"/>
  <c r="J53" i="17"/>
  <c r="J68" i="17" s="1"/>
  <c r="J133" i="17"/>
  <c r="K223" i="17"/>
  <c r="K24" i="17" s="1"/>
  <c r="K27" i="17" s="1"/>
  <c r="K28" i="17" s="1"/>
  <c r="K29" i="17" s="1"/>
  <c r="K129" i="15"/>
  <c r="K130" i="15" s="1"/>
  <c r="K134" i="15" s="1"/>
  <c r="K136" i="15" s="1"/>
  <c r="K208" i="15"/>
  <c r="K211" i="15"/>
  <c r="K74" i="16"/>
  <c r="K81" i="16" s="1"/>
  <c r="K181" i="16"/>
  <c r="K272" i="16"/>
  <c r="J130" i="17" l="1"/>
  <c r="J136" i="17"/>
  <c r="J129" i="17" s="1"/>
  <c r="K137" i="15"/>
  <c r="K57" i="15"/>
  <c r="K182" i="16"/>
  <c r="K274" i="16"/>
  <c r="K277" i="16"/>
  <c r="M29" i="17"/>
  <c r="K74" i="17"/>
  <c r="K81" i="17" s="1"/>
  <c r="K181" i="17"/>
  <c r="K272" i="17"/>
  <c r="K60" i="15" l="1"/>
  <c r="K86" i="15"/>
  <c r="K89" i="15" s="1"/>
  <c r="K91" i="15" s="1"/>
  <c r="K46" i="15" s="1"/>
  <c r="K52" i="15" s="1"/>
  <c r="K147" i="15"/>
  <c r="K182" i="17"/>
  <c r="K274" i="17"/>
  <c r="K277" i="17"/>
  <c r="K89" i="16"/>
  <c r="K195" i="16" s="1"/>
  <c r="K196" i="16" s="1"/>
  <c r="K200" i="16" s="1"/>
  <c r="K202" i="16" s="1"/>
  <c r="K184" i="16"/>
  <c r="K64" i="16" s="1"/>
  <c r="K66" i="16" s="1"/>
  <c r="K67" i="15" l="1"/>
  <c r="K89" i="17"/>
  <c r="K195" i="17" s="1"/>
  <c r="K196" i="17" s="1"/>
  <c r="K200" i="17" s="1"/>
  <c r="K202" i="17" s="1"/>
  <c r="K184" i="17"/>
  <c r="K64" i="17" s="1"/>
  <c r="K66" i="17" s="1"/>
  <c r="K58" i="16"/>
  <c r="K203" i="16"/>
  <c r="K203" i="17" l="1"/>
  <c r="K58" i="17"/>
  <c r="K137" i="17"/>
  <c r="K61" i="16"/>
  <c r="K137" i="16"/>
  <c r="K87" i="16"/>
  <c r="K90" i="16" s="1"/>
  <c r="K92" i="16" s="1"/>
  <c r="K46" i="16" s="1"/>
  <c r="K213" i="16"/>
  <c r="K213" i="17" l="1"/>
  <c r="K61" i="17"/>
  <c r="K87" i="17"/>
  <c r="K90" i="17" s="1"/>
  <c r="K92" i="17" s="1"/>
  <c r="K46" i="17" s="1"/>
  <c r="K53" i="16"/>
  <c r="K68" i="16" s="1"/>
  <c r="K133" i="16"/>
  <c r="K53" i="17" l="1"/>
  <c r="K68" i="17" s="1"/>
  <c r="K133" i="17"/>
  <c r="K136" i="16"/>
  <c r="K129" i="16" s="1"/>
  <c r="K130" i="16"/>
  <c r="K130" i="17" l="1"/>
  <c r="K136" i="17"/>
  <c r="K129" i="17" s="1"/>
  <c r="H23" i="19" l="1"/>
  <c r="I23" i="19"/>
  <c r="J23" i="19"/>
  <c r="K23" i="19"/>
  <c r="L23" i="19"/>
  <c r="H24" i="19"/>
  <c r="I24" i="19"/>
  <c r="J24" i="19"/>
  <c r="K24" i="19"/>
  <c r="L24" i="19"/>
  <c r="H26" i="19"/>
  <c r="I26" i="19"/>
  <c r="J26" i="19"/>
  <c r="K26" i="19"/>
  <c r="L26" i="19"/>
  <c r="H27" i="19"/>
  <c r="I27" i="19"/>
  <c r="J27" i="19"/>
  <c r="K27" i="19"/>
  <c r="L27" i="19"/>
  <c r="H28" i="19"/>
  <c r="I28" i="19"/>
  <c r="J28" i="19"/>
  <c r="K28" i="19"/>
  <c r="L28" i="19"/>
  <c r="H45" i="19"/>
  <c r="I45" i="19"/>
  <c r="J45" i="19"/>
  <c r="K45" i="19"/>
  <c r="L45" i="19"/>
  <c r="H51" i="19"/>
  <c r="I51" i="19"/>
  <c r="J51" i="19"/>
  <c r="K51" i="19"/>
  <c r="L51" i="19"/>
  <c r="H56" i="19"/>
  <c r="I56" i="19"/>
  <c r="J56" i="19"/>
  <c r="K56" i="19"/>
  <c r="L56" i="19"/>
  <c r="H59" i="19"/>
  <c r="I59" i="19"/>
  <c r="J59" i="19"/>
  <c r="K59" i="19"/>
  <c r="L59" i="19"/>
  <c r="H62" i="19"/>
  <c r="I62" i="19"/>
  <c r="J62" i="19"/>
  <c r="K62" i="19"/>
  <c r="L62" i="19"/>
  <c r="H64" i="19"/>
  <c r="I64" i="19"/>
  <c r="J64" i="19"/>
  <c r="K64" i="19"/>
  <c r="L64" i="19"/>
  <c r="H66" i="19"/>
  <c r="I66" i="19"/>
  <c r="J66" i="19"/>
  <c r="K66" i="19"/>
  <c r="L66" i="19"/>
  <c r="H72" i="19"/>
  <c r="I72" i="19"/>
  <c r="J72" i="19"/>
  <c r="K72" i="19"/>
  <c r="L72" i="19"/>
  <c r="H79" i="19"/>
  <c r="I79" i="19"/>
  <c r="J79" i="19"/>
  <c r="K79" i="19"/>
  <c r="L79" i="19"/>
  <c r="H85" i="19"/>
  <c r="I85" i="19"/>
  <c r="J85" i="19"/>
  <c r="K85" i="19"/>
  <c r="L85" i="19"/>
  <c r="H87" i="19"/>
  <c r="I87" i="19"/>
  <c r="J87" i="19"/>
  <c r="K87" i="19"/>
  <c r="L87" i="19"/>
  <c r="H88" i="19"/>
  <c r="I88" i="19"/>
  <c r="J88" i="19"/>
  <c r="K88" i="19"/>
  <c r="L88" i="19"/>
  <c r="H90" i="19"/>
  <c r="I90" i="19"/>
  <c r="J90" i="19"/>
  <c r="K90" i="19"/>
  <c r="L90" i="19"/>
  <c r="I115" i="19"/>
  <c r="J115" i="19"/>
  <c r="K115" i="19"/>
  <c r="L115" i="19"/>
  <c r="H116" i="19"/>
  <c r="I116" i="19"/>
  <c r="J116" i="19"/>
  <c r="K116" i="19"/>
  <c r="L116" i="19"/>
  <c r="H117" i="19"/>
  <c r="I117" i="19"/>
  <c r="J117" i="19"/>
  <c r="K117" i="19"/>
  <c r="L117" i="19"/>
  <c r="H119" i="19"/>
  <c r="I119" i="19"/>
  <c r="J119" i="19"/>
  <c r="K119" i="19"/>
  <c r="L119" i="19"/>
  <c r="I126" i="19"/>
  <c r="J126" i="19"/>
  <c r="K126" i="19"/>
  <c r="L126" i="19"/>
  <c r="H128" i="19"/>
  <c r="I128" i="19"/>
  <c r="J128" i="19"/>
  <c r="K128" i="19"/>
  <c r="L128" i="19"/>
  <c r="H129" i="19"/>
  <c r="I129" i="19"/>
  <c r="J129" i="19"/>
  <c r="K129" i="19"/>
  <c r="L129" i="19"/>
  <c r="I132" i="19"/>
  <c r="J132" i="19"/>
  <c r="K132" i="19"/>
  <c r="L132" i="19"/>
  <c r="H133" i="19"/>
  <c r="I133" i="19"/>
  <c r="J133" i="19"/>
  <c r="K133" i="19"/>
  <c r="L133" i="19"/>
  <c r="H135" i="19"/>
  <c r="I135" i="19"/>
  <c r="J135" i="19"/>
  <c r="K135" i="19"/>
  <c r="L135" i="19"/>
  <c r="H136" i="19"/>
  <c r="I136" i="19"/>
  <c r="J136" i="19"/>
  <c r="K136" i="19"/>
  <c r="L136" i="19"/>
  <c r="H142" i="19"/>
  <c r="I142" i="19"/>
  <c r="J142" i="19"/>
  <c r="K142" i="19"/>
  <c r="L142" i="19"/>
  <c r="H146" i="19"/>
  <c r="I146" i="19"/>
  <c r="J146" i="19"/>
  <c r="K146" i="19"/>
  <c r="L146" i="19"/>
  <c r="H147" i="19"/>
  <c r="I147" i="19"/>
  <c r="J147" i="19"/>
  <c r="K147" i="19"/>
  <c r="L147" i="19"/>
  <c r="H156" i="19"/>
  <c r="I156" i="19"/>
  <c r="J156" i="19"/>
  <c r="K156" i="19"/>
  <c r="L156" i="19"/>
  <c r="H162" i="19"/>
  <c r="I162" i="19"/>
  <c r="J162" i="19"/>
  <c r="K162" i="19"/>
  <c r="L162" i="19"/>
  <c r="I163" i="19"/>
  <c r="J163" i="19"/>
  <c r="K163" i="19"/>
  <c r="L163" i="19"/>
  <c r="H164" i="19"/>
  <c r="I164" i="19"/>
  <c r="J164" i="19"/>
  <c r="K164" i="19"/>
  <c r="L164" i="19"/>
  <c r="I166" i="19"/>
  <c r="J166" i="19"/>
  <c r="K166" i="19"/>
  <c r="L166" i="19"/>
  <c r="H167" i="19"/>
  <c r="I167" i="19"/>
  <c r="J167" i="19"/>
  <c r="K167" i="19"/>
  <c r="L167" i="19"/>
  <c r="I171" i="19"/>
  <c r="J171" i="19"/>
  <c r="K171" i="19"/>
  <c r="L171" i="19"/>
  <c r="I172" i="19"/>
  <c r="J172" i="19"/>
  <c r="K172" i="19"/>
  <c r="L172" i="19"/>
  <c r="J174" i="19"/>
  <c r="K174" i="19"/>
  <c r="L174" i="19"/>
  <c r="I175" i="19"/>
  <c r="J175" i="19"/>
  <c r="K175" i="19"/>
  <c r="L175" i="19"/>
  <c r="I176" i="19"/>
  <c r="J176" i="19"/>
  <c r="K176" i="19"/>
  <c r="L176" i="19"/>
  <c r="I177" i="19"/>
  <c r="J177" i="19"/>
  <c r="K177" i="19"/>
  <c r="L177" i="19"/>
  <c r="G24" i="10"/>
  <c r="H24" i="10"/>
  <c r="I24" i="10"/>
  <c r="J24" i="10"/>
  <c r="K24" i="10"/>
  <c r="G25" i="10"/>
  <c r="H25" i="10"/>
  <c r="I25" i="10"/>
  <c r="J25" i="10"/>
  <c r="K25" i="10"/>
  <c r="G27" i="10"/>
  <c r="H27" i="10"/>
  <c r="I27" i="10"/>
  <c r="J27" i="10"/>
  <c r="K27" i="10"/>
  <c r="G28" i="10"/>
  <c r="H28" i="10"/>
  <c r="I28" i="10"/>
  <c r="J28" i="10"/>
  <c r="K28" i="10"/>
  <c r="G29" i="10"/>
  <c r="H29" i="10"/>
  <c r="I29" i="10"/>
  <c r="J29" i="10"/>
  <c r="K29" i="10"/>
  <c r="G46" i="10"/>
  <c r="H46" i="10"/>
  <c r="I46" i="10"/>
  <c r="J46" i="10"/>
  <c r="K46" i="10"/>
  <c r="G52" i="10"/>
  <c r="H52" i="10"/>
  <c r="I52" i="10"/>
  <c r="J52" i="10"/>
  <c r="K52" i="10"/>
  <c r="G57" i="10"/>
  <c r="H57" i="10"/>
  <c r="I57" i="10"/>
  <c r="J57" i="10"/>
  <c r="K57" i="10"/>
  <c r="G60" i="10"/>
  <c r="H60" i="10"/>
  <c r="I60" i="10"/>
  <c r="J60" i="10"/>
  <c r="K60" i="10"/>
  <c r="G63" i="10"/>
  <c r="H63" i="10"/>
  <c r="I63" i="10"/>
  <c r="J63" i="10"/>
  <c r="K63" i="10"/>
  <c r="G65" i="10"/>
  <c r="H65" i="10"/>
  <c r="I65" i="10"/>
  <c r="J65" i="10"/>
  <c r="K65" i="10"/>
  <c r="G67" i="10"/>
  <c r="H67" i="10"/>
  <c r="I67" i="10"/>
  <c r="J67" i="10"/>
  <c r="K67" i="10"/>
  <c r="G73" i="10"/>
  <c r="H73" i="10"/>
  <c r="I73" i="10"/>
  <c r="J73" i="10"/>
  <c r="K73" i="10"/>
  <c r="G80" i="10"/>
  <c r="H80" i="10"/>
  <c r="I80" i="10"/>
  <c r="J80" i="10"/>
  <c r="K80" i="10"/>
  <c r="G86" i="10"/>
  <c r="H86" i="10"/>
  <c r="I86" i="10"/>
  <c r="J86" i="10"/>
  <c r="K86" i="10"/>
  <c r="G89" i="10"/>
  <c r="H89" i="10"/>
  <c r="I89" i="10"/>
  <c r="J89" i="10"/>
  <c r="K89" i="10"/>
  <c r="G91" i="10"/>
  <c r="H91" i="10"/>
  <c r="I91" i="10"/>
  <c r="J91" i="10"/>
  <c r="K91" i="10"/>
  <c r="H116" i="10"/>
  <c r="I116" i="10"/>
  <c r="J116" i="10"/>
  <c r="K116" i="10"/>
  <c r="G117" i="10"/>
  <c r="H117" i="10"/>
  <c r="I117" i="10"/>
  <c r="J117" i="10"/>
  <c r="K117" i="10"/>
  <c r="G120" i="10"/>
  <c r="H120" i="10"/>
  <c r="I120" i="10"/>
  <c r="J120" i="10"/>
  <c r="K120" i="10"/>
  <c r="H127" i="10"/>
  <c r="I127" i="10"/>
  <c r="J127" i="10"/>
  <c r="K127" i="10"/>
  <c r="G129" i="10"/>
  <c r="H129" i="10"/>
  <c r="I129" i="10"/>
  <c r="J129" i="10"/>
  <c r="K129" i="10"/>
  <c r="G130" i="10"/>
  <c r="H130" i="10"/>
  <c r="I130" i="10"/>
  <c r="J130" i="10"/>
  <c r="K130" i="10"/>
  <c r="H133" i="10"/>
  <c r="I133" i="10"/>
  <c r="J133" i="10"/>
  <c r="K133" i="10"/>
  <c r="G134" i="10"/>
  <c r="H134" i="10"/>
  <c r="I134" i="10"/>
  <c r="J134" i="10"/>
  <c r="K134" i="10"/>
  <c r="G136" i="10"/>
  <c r="H136" i="10"/>
  <c r="I136" i="10"/>
  <c r="J136" i="10"/>
  <c r="K136" i="10"/>
  <c r="G137" i="10"/>
  <c r="H137" i="10"/>
  <c r="I137" i="10"/>
  <c r="J137" i="10"/>
  <c r="K137" i="10"/>
  <c r="G143" i="10"/>
  <c r="H143" i="10"/>
  <c r="I143" i="10"/>
  <c r="J143" i="10"/>
  <c r="K143" i="10"/>
  <c r="G147" i="10"/>
  <c r="H147" i="10"/>
  <c r="I147" i="10"/>
  <c r="J147" i="10"/>
  <c r="K147" i="10"/>
  <c r="G148" i="10"/>
  <c r="H148" i="10"/>
  <c r="I148" i="10"/>
  <c r="J148" i="10"/>
  <c r="K148" i="10"/>
  <c r="G157" i="10"/>
  <c r="H157" i="10"/>
  <c r="I157" i="10"/>
  <c r="J157" i="10"/>
  <c r="K157" i="10"/>
  <c r="G24" i="11"/>
  <c r="H24" i="11"/>
  <c r="I24" i="11"/>
  <c r="J24" i="11"/>
  <c r="K24" i="11"/>
  <c r="G25" i="11"/>
  <c r="H25" i="11"/>
  <c r="I25" i="11"/>
  <c r="J25" i="11"/>
  <c r="K25" i="11"/>
  <c r="G27" i="11"/>
  <c r="H27" i="11"/>
  <c r="I27" i="11"/>
  <c r="J27" i="11"/>
  <c r="K27" i="11"/>
  <c r="G28" i="11"/>
  <c r="H28" i="11"/>
  <c r="I28" i="11"/>
  <c r="J28" i="11"/>
  <c r="K28" i="11"/>
  <c r="G29" i="11"/>
  <c r="H29" i="11"/>
  <c r="I29" i="11"/>
  <c r="J29" i="11"/>
  <c r="K29" i="11"/>
  <c r="G46" i="11"/>
  <c r="H46" i="11"/>
  <c r="I46" i="11"/>
  <c r="J46" i="11"/>
  <c r="K46" i="11"/>
  <c r="G52" i="11"/>
  <c r="H52" i="11"/>
  <c r="I52" i="11"/>
  <c r="J52" i="11"/>
  <c r="K52" i="11"/>
  <c r="G57" i="11"/>
  <c r="H57" i="11"/>
  <c r="I57" i="11"/>
  <c r="J57" i="11"/>
  <c r="K57" i="11"/>
  <c r="G60" i="11"/>
  <c r="H60" i="11"/>
  <c r="I60" i="11"/>
  <c r="J60" i="11"/>
  <c r="K60" i="11"/>
  <c r="G63" i="11"/>
  <c r="H63" i="11"/>
  <c r="I63" i="11"/>
  <c r="J63" i="11"/>
  <c r="K63" i="11"/>
  <c r="G65" i="11"/>
  <c r="H65" i="11"/>
  <c r="I65" i="11"/>
  <c r="J65" i="11"/>
  <c r="K65" i="11"/>
  <c r="G67" i="11"/>
  <c r="H67" i="11"/>
  <c r="I67" i="11"/>
  <c r="J67" i="11"/>
  <c r="K67" i="11"/>
  <c r="G73" i="11"/>
  <c r="H73" i="11"/>
  <c r="I73" i="11"/>
  <c r="J73" i="11"/>
  <c r="K73" i="11"/>
  <c r="G80" i="11"/>
  <c r="H80" i="11"/>
  <c r="I80" i="11"/>
  <c r="J80" i="11"/>
  <c r="K80" i="11"/>
  <c r="G86" i="11"/>
  <c r="H86" i="11"/>
  <c r="I86" i="11"/>
  <c r="J86" i="11"/>
  <c r="K86" i="11"/>
  <c r="G89" i="11"/>
  <c r="H89" i="11"/>
  <c r="I89" i="11"/>
  <c r="J89" i="11"/>
  <c r="K89" i="11"/>
  <c r="G91" i="11"/>
  <c r="H91" i="11"/>
  <c r="I91" i="11"/>
  <c r="J91" i="11"/>
  <c r="K91" i="11"/>
  <c r="H116" i="11"/>
  <c r="I116" i="11"/>
  <c r="J116" i="11"/>
  <c r="K116" i="11"/>
  <c r="G117" i="11"/>
  <c r="H117" i="11"/>
  <c r="I117" i="11"/>
  <c r="J117" i="11"/>
  <c r="K117" i="11"/>
  <c r="G120" i="11"/>
  <c r="H120" i="11"/>
  <c r="I120" i="11"/>
  <c r="J120" i="11"/>
  <c r="K120" i="11"/>
  <c r="H127" i="11"/>
  <c r="I127" i="11"/>
  <c r="J127" i="11"/>
  <c r="K127" i="11"/>
  <c r="G129" i="11"/>
  <c r="H129" i="11"/>
  <c r="I129" i="11"/>
  <c r="J129" i="11"/>
  <c r="K129" i="11"/>
  <c r="G130" i="11"/>
  <c r="H130" i="11"/>
  <c r="I130" i="11"/>
  <c r="J130" i="11"/>
  <c r="K130" i="11"/>
  <c r="H133" i="11"/>
  <c r="I133" i="11"/>
  <c r="J133" i="11"/>
  <c r="K133" i="11"/>
  <c r="G134" i="11"/>
  <c r="H134" i="11"/>
  <c r="I134" i="11"/>
  <c r="J134" i="11"/>
  <c r="K134" i="11"/>
  <c r="G136" i="11"/>
  <c r="H136" i="11"/>
  <c r="I136" i="11"/>
  <c r="J136" i="11"/>
  <c r="K136" i="11"/>
  <c r="G137" i="11"/>
  <c r="H137" i="11"/>
  <c r="I137" i="11"/>
  <c r="J137" i="11"/>
  <c r="K137" i="11"/>
  <c r="G143" i="11"/>
  <c r="H143" i="11"/>
  <c r="I143" i="11"/>
  <c r="J143" i="11"/>
  <c r="K143" i="11"/>
  <c r="G147" i="11"/>
  <c r="H147" i="11"/>
  <c r="I147" i="11"/>
  <c r="J147" i="11"/>
  <c r="K147" i="11"/>
  <c r="G148" i="11"/>
  <c r="H148" i="11"/>
  <c r="I148" i="11"/>
  <c r="J148" i="11"/>
  <c r="K148" i="11"/>
  <c r="G157" i="11"/>
  <c r="H157" i="11"/>
  <c r="I157" i="11"/>
  <c r="J157" i="11"/>
  <c r="K157" i="11"/>
  <c r="D163" i="11"/>
  <c r="G201" i="11"/>
  <c r="H201" i="11"/>
  <c r="I201" i="11"/>
  <c r="J201" i="11"/>
  <c r="K201" i="11"/>
  <c r="G203" i="11"/>
  <c r="H203" i="11"/>
  <c r="I203" i="11"/>
  <c r="J203" i="11"/>
  <c r="K203" i="11"/>
  <c r="G206" i="11"/>
  <c r="H206" i="11"/>
  <c r="I206" i="11"/>
  <c r="J206" i="11"/>
  <c r="K206" i="11"/>
  <c r="G218" i="11"/>
  <c r="H218" i="11"/>
  <c r="I218" i="11"/>
  <c r="J218" i="11"/>
  <c r="K218" i="11"/>
  <c r="G219" i="11"/>
  <c r="H219" i="11"/>
  <c r="I219" i="11"/>
  <c r="J219" i="11"/>
  <c r="K219" i="11"/>
  <c r="G23" i="8"/>
  <c r="H23" i="8"/>
  <c r="I23" i="8"/>
  <c r="J23" i="8"/>
  <c r="K23" i="8"/>
  <c r="G24" i="8"/>
  <c r="H24" i="8"/>
  <c r="I24" i="8"/>
  <c r="J24" i="8"/>
  <c r="K24" i="8"/>
  <c r="G26" i="8"/>
  <c r="H26" i="8"/>
  <c r="I26" i="8"/>
  <c r="J26" i="8"/>
  <c r="K26" i="8"/>
  <c r="G27" i="8"/>
  <c r="H27" i="8"/>
  <c r="I27" i="8"/>
  <c r="J27" i="8"/>
  <c r="K27" i="8"/>
  <c r="G28" i="8"/>
  <c r="H28" i="8"/>
  <c r="I28" i="8"/>
  <c r="J28" i="8"/>
  <c r="K28" i="8"/>
  <c r="G45" i="8"/>
  <c r="H45" i="8"/>
  <c r="I45" i="8"/>
  <c r="J45" i="8"/>
  <c r="K45" i="8"/>
  <c r="G51" i="8"/>
  <c r="H51" i="8"/>
  <c r="I51" i="8"/>
  <c r="J51" i="8"/>
  <c r="K51" i="8"/>
  <c r="G56" i="8"/>
  <c r="H56" i="8"/>
  <c r="I56" i="8"/>
  <c r="J56" i="8"/>
  <c r="K56" i="8"/>
  <c r="G59" i="8"/>
  <c r="H59" i="8"/>
  <c r="I59" i="8"/>
  <c r="J59" i="8"/>
  <c r="K59" i="8"/>
  <c r="G62" i="8"/>
  <c r="H62" i="8"/>
  <c r="I62" i="8"/>
  <c r="J62" i="8"/>
  <c r="K62" i="8"/>
  <c r="G64" i="8"/>
  <c r="H64" i="8"/>
  <c r="I64" i="8"/>
  <c r="J64" i="8"/>
  <c r="K64" i="8"/>
  <c r="G66" i="8"/>
  <c r="H66" i="8"/>
  <c r="I66" i="8"/>
  <c r="J66" i="8"/>
  <c r="K66" i="8"/>
  <c r="G72" i="8"/>
  <c r="H72" i="8"/>
  <c r="I72" i="8"/>
  <c r="J72" i="8"/>
  <c r="K72" i="8"/>
  <c r="G79" i="8"/>
  <c r="H79" i="8"/>
  <c r="I79" i="8"/>
  <c r="J79" i="8"/>
  <c r="K79" i="8"/>
  <c r="G85" i="8"/>
  <c r="H85" i="8"/>
  <c r="I85" i="8"/>
  <c r="J85" i="8"/>
  <c r="K85" i="8"/>
  <c r="G88" i="8"/>
  <c r="H88" i="8"/>
  <c r="I88" i="8"/>
  <c r="J88" i="8"/>
  <c r="K88" i="8"/>
  <c r="G90" i="8"/>
  <c r="H90" i="8"/>
  <c r="I90" i="8"/>
  <c r="J90" i="8"/>
  <c r="K90" i="8"/>
  <c r="H115" i="8"/>
  <c r="I115" i="8"/>
  <c r="J115" i="8"/>
  <c r="K115" i="8"/>
  <c r="G116" i="8"/>
  <c r="H116" i="8"/>
  <c r="I116" i="8"/>
  <c r="J116" i="8"/>
  <c r="K116" i="8"/>
  <c r="G119" i="8"/>
  <c r="H119" i="8"/>
  <c r="I119" i="8"/>
  <c r="J119" i="8"/>
  <c r="K119" i="8"/>
  <c r="H126" i="8"/>
  <c r="I126" i="8"/>
  <c r="J126" i="8"/>
  <c r="K126" i="8"/>
  <c r="G128" i="8"/>
  <c r="H128" i="8"/>
  <c r="I128" i="8"/>
  <c r="J128" i="8"/>
  <c r="K128" i="8"/>
  <c r="G129" i="8"/>
  <c r="H129" i="8"/>
  <c r="I129" i="8"/>
  <c r="J129" i="8"/>
  <c r="K129" i="8"/>
  <c r="H132" i="8"/>
  <c r="I132" i="8"/>
  <c r="J132" i="8"/>
  <c r="K132" i="8"/>
  <c r="G133" i="8"/>
  <c r="H133" i="8"/>
  <c r="I133" i="8"/>
  <c r="J133" i="8"/>
  <c r="K133" i="8"/>
  <c r="G135" i="8"/>
  <c r="H135" i="8"/>
  <c r="I135" i="8"/>
  <c r="J135" i="8"/>
  <c r="K135" i="8"/>
  <c r="G136" i="8"/>
  <c r="H136" i="8"/>
  <c r="I136" i="8"/>
  <c r="J136" i="8"/>
  <c r="K136" i="8"/>
  <c r="G142" i="8"/>
  <c r="H142" i="8"/>
  <c r="I142" i="8"/>
  <c r="J142" i="8"/>
  <c r="K142" i="8"/>
  <c r="G146" i="8"/>
  <c r="H146" i="8"/>
  <c r="I146" i="8"/>
  <c r="J146" i="8"/>
  <c r="K146" i="8"/>
  <c r="G147" i="8"/>
  <c r="H147" i="8"/>
  <c r="I147" i="8"/>
  <c r="J147" i="8"/>
  <c r="K147" i="8"/>
  <c r="G156" i="8"/>
  <c r="H156" i="8"/>
  <c r="I156" i="8"/>
  <c r="J156" i="8"/>
  <c r="K156" i="8"/>
  <c r="G23" i="9"/>
  <c r="H23" i="9"/>
  <c r="I23" i="9"/>
  <c r="J23" i="9"/>
  <c r="K23" i="9"/>
  <c r="G24" i="9"/>
  <c r="H24" i="9"/>
  <c r="I24" i="9"/>
  <c r="J24" i="9"/>
  <c r="K24" i="9"/>
  <c r="G26" i="9"/>
  <c r="H26" i="9"/>
  <c r="I26" i="9"/>
  <c r="J26" i="9"/>
  <c r="K26" i="9"/>
  <c r="G27" i="9"/>
  <c r="H27" i="9"/>
  <c r="I27" i="9"/>
  <c r="J27" i="9"/>
  <c r="K27" i="9"/>
  <c r="G28" i="9"/>
  <c r="H28" i="9"/>
  <c r="I28" i="9"/>
  <c r="J28" i="9"/>
  <c r="K28" i="9"/>
  <c r="G45" i="9"/>
  <c r="H45" i="9"/>
  <c r="I45" i="9"/>
  <c r="J45" i="9"/>
  <c r="K45" i="9"/>
  <c r="G51" i="9"/>
  <c r="H51" i="9"/>
  <c r="I51" i="9"/>
  <c r="J51" i="9"/>
  <c r="K51" i="9"/>
  <c r="G56" i="9"/>
  <c r="H56" i="9"/>
  <c r="I56" i="9"/>
  <c r="J56" i="9"/>
  <c r="K56" i="9"/>
  <c r="G59" i="9"/>
  <c r="H59" i="9"/>
  <c r="I59" i="9"/>
  <c r="J59" i="9"/>
  <c r="K59" i="9"/>
  <c r="G62" i="9"/>
  <c r="H62" i="9"/>
  <c r="I62" i="9"/>
  <c r="J62" i="9"/>
  <c r="K62" i="9"/>
  <c r="G64" i="9"/>
  <c r="H64" i="9"/>
  <c r="I64" i="9"/>
  <c r="J64" i="9"/>
  <c r="K64" i="9"/>
  <c r="G66" i="9"/>
  <c r="H66" i="9"/>
  <c r="I66" i="9"/>
  <c r="J66" i="9"/>
  <c r="K66" i="9"/>
  <c r="G72" i="9"/>
  <c r="H72" i="9"/>
  <c r="I72" i="9"/>
  <c r="J72" i="9"/>
  <c r="K72" i="9"/>
  <c r="G79" i="9"/>
  <c r="H79" i="9"/>
  <c r="I79" i="9"/>
  <c r="J79" i="9"/>
  <c r="K79" i="9"/>
  <c r="G85" i="9"/>
  <c r="H85" i="9"/>
  <c r="I85" i="9"/>
  <c r="J85" i="9"/>
  <c r="K85" i="9"/>
  <c r="G88" i="9"/>
  <c r="H88" i="9"/>
  <c r="I88" i="9"/>
  <c r="J88" i="9"/>
  <c r="K88" i="9"/>
  <c r="G90" i="9"/>
  <c r="H90" i="9"/>
  <c r="I90" i="9"/>
  <c r="J90" i="9"/>
  <c r="K90" i="9"/>
  <c r="H115" i="9"/>
  <c r="I115" i="9"/>
  <c r="J115" i="9"/>
  <c r="K115" i="9"/>
  <c r="G116" i="9"/>
  <c r="H116" i="9"/>
  <c r="I116" i="9"/>
  <c r="J116" i="9"/>
  <c r="K116" i="9"/>
  <c r="G119" i="9"/>
  <c r="H119" i="9"/>
  <c r="I119" i="9"/>
  <c r="J119" i="9"/>
  <c r="K119" i="9"/>
  <c r="H126" i="9"/>
  <c r="I126" i="9"/>
  <c r="J126" i="9"/>
  <c r="K126" i="9"/>
  <c r="G128" i="9"/>
  <c r="H128" i="9"/>
  <c r="I128" i="9"/>
  <c r="J128" i="9"/>
  <c r="K128" i="9"/>
  <c r="G129" i="9"/>
  <c r="H129" i="9"/>
  <c r="I129" i="9"/>
  <c r="J129" i="9"/>
  <c r="K129" i="9"/>
  <c r="H132" i="9"/>
  <c r="I132" i="9"/>
  <c r="J132" i="9"/>
  <c r="K132" i="9"/>
  <c r="G133" i="9"/>
  <c r="H133" i="9"/>
  <c r="I133" i="9"/>
  <c r="J133" i="9"/>
  <c r="K133" i="9"/>
  <c r="G135" i="9"/>
  <c r="H135" i="9"/>
  <c r="I135" i="9"/>
  <c r="J135" i="9"/>
  <c r="K135" i="9"/>
  <c r="G136" i="9"/>
  <c r="H136" i="9"/>
  <c r="I136" i="9"/>
  <c r="J136" i="9"/>
  <c r="K136" i="9"/>
  <c r="G142" i="9"/>
  <c r="H142" i="9"/>
  <c r="I142" i="9"/>
  <c r="J142" i="9"/>
  <c r="K142" i="9"/>
  <c r="G146" i="9"/>
  <c r="H146" i="9"/>
  <c r="I146" i="9"/>
  <c r="J146" i="9"/>
  <c r="K146" i="9"/>
  <c r="G147" i="9"/>
  <c r="H147" i="9"/>
  <c r="I147" i="9"/>
  <c r="J147" i="9"/>
  <c r="K147" i="9"/>
  <c r="G156" i="9"/>
  <c r="H156" i="9"/>
  <c r="I156" i="9"/>
  <c r="J156" i="9"/>
  <c r="K156" i="9"/>
  <c r="G23" i="7"/>
  <c r="H23" i="7"/>
  <c r="I23" i="7"/>
  <c r="J23" i="7"/>
  <c r="K23" i="7"/>
  <c r="G24" i="7"/>
  <c r="H24" i="7"/>
  <c r="I24" i="7"/>
  <c r="J24" i="7"/>
  <c r="K24" i="7"/>
  <c r="G26" i="7"/>
  <c r="H26" i="7"/>
  <c r="I26" i="7"/>
  <c r="J26" i="7"/>
  <c r="K26" i="7"/>
  <c r="G27" i="7"/>
  <c r="H27" i="7"/>
  <c r="I27" i="7"/>
  <c r="J27" i="7"/>
  <c r="K27" i="7"/>
  <c r="G28" i="7"/>
  <c r="H28" i="7"/>
  <c r="I28" i="7"/>
  <c r="J28" i="7"/>
  <c r="K28" i="7"/>
  <c r="G45" i="7"/>
  <c r="H45" i="7"/>
  <c r="I45" i="7"/>
  <c r="J45" i="7"/>
  <c r="K45" i="7"/>
  <c r="G51" i="7"/>
  <c r="H51" i="7"/>
  <c r="I51" i="7"/>
  <c r="J51" i="7"/>
  <c r="K51" i="7"/>
  <c r="G56" i="7"/>
  <c r="H56" i="7"/>
  <c r="I56" i="7"/>
  <c r="J56" i="7"/>
  <c r="K56" i="7"/>
  <c r="G59" i="7"/>
  <c r="H59" i="7"/>
  <c r="I59" i="7"/>
  <c r="J59" i="7"/>
  <c r="K59" i="7"/>
  <c r="G62" i="7"/>
  <c r="H62" i="7"/>
  <c r="I62" i="7"/>
  <c r="J62" i="7"/>
  <c r="K62" i="7"/>
  <c r="G64" i="7"/>
  <c r="H64" i="7"/>
  <c r="I64" i="7"/>
  <c r="J64" i="7"/>
  <c r="K64" i="7"/>
  <c r="G66" i="7"/>
  <c r="H66" i="7"/>
  <c r="I66" i="7"/>
  <c r="J66" i="7"/>
  <c r="K66" i="7"/>
  <c r="G72" i="7"/>
  <c r="H72" i="7"/>
  <c r="I72" i="7"/>
  <c r="J72" i="7"/>
  <c r="K72" i="7"/>
  <c r="G79" i="7"/>
  <c r="H79" i="7"/>
  <c r="I79" i="7"/>
  <c r="J79" i="7"/>
  <c r="K79" i="7"/>
  <c r="G85" i="7"/>
  <c r="H85" i="7"/>
  <c r="I85" i="7"/>
  <c r="J85" i="7"/>
  <c r="K85" i="7"/>
  <c r="G88" i="7"/>
  <c r="H88" i="7"/>
  <c r="I88" i="7"/>
  <c r="J88" i="7"/>
  <c r="K88" i="7"/>
  <c r="G90" i="7"/>
  <c r="H90" i="7"/>
  <c r="I90" i="7"/>
  <c r="J90" i="7"/>
  <c r="K90" i="7"/>
  <c r="H115" i="7"/>
  <c r="I115" i="7"/>
  <c r="J115" i="7"/>
  <c r="K115" i="7"/>
  <c r="G116" i="7"/>
  <c r="H116" i="7"/>
  <c r="I116" i="7"/>
  <c r="J116" i="7"/>
  <c r="K116" i="7"/>
  <c r="G119" i="7"/>
  <c r="H119" i="7"/>
  <c r="I119" i="7"/>
  <c r="J119" i="7"/>
  <c r="K119" i="7"/>
  <c r="H126" i="7"/>
  <c r="I126" i="7"/>
  <c r="J126" i="7"/>
  <c r="K126" i="7"/>
  <c r="G128" i="7"/>
  <c r="H128" i="7"/>
  <c r="I128" i="7"/>
  <c r="J128" i="7"/>
  <c r="K128" i="7"/>
  <c r="G129" i="7"/>
  <c r="H129" i="7"/>
  <c r="I129" i="7"/>
  <c r="J129" i="7"/>
  <c r="K129" i="7"/>
  <c r="H132" i="7"/>
  <c r="I132" i="7"/>
  <c r="J132" i="7"/>
  <c r="K132" i="7"/>
  <c r="G133" i="7"/>
  <c r="H133" i="7"/>
  <c r="I133" i="7"/>
  <c r="J133" i="7"/>
  <c r="K133" i="7"/>
  <c r="G135" i="7"/>
  <c r="H135" i="7"/>
  <c r="I135" i="7"/>
  <c r="J135" i="7"/>
  <c r="K135" i="7"/>
  <c r="G136" i="7"/>
  <c r="H136" i="7"/>
  <c r="I136" i="7"/>
  <c r="J136" i="7"/>
  <c r="K136" i="7"/>
  <c r="G142" i="7"/>
  <c r="H142" i="7"/>
  <c r="I142" i="7"/>
  <c r="J142" i="7"/>
  <c r="K142" i="7"/>
  <c r="G146" i="7"/>
  <c r="H146" i="7"/>
  <c r="I146" i="7"/>
  <c r="J146" i="7"/>
  <c r="K146" i="7"/>
  <c r="G147" i="7"/>
  <c r="H147" i="7"/>
  <c r="I147" i="7"/>
  <c r="J147" i="7"/>
  <c r="K147" i="7"/>
  <c r="G156" i="7"/>
  <c r="H156" i="7"/>
  <c r="I156" i="7"/>
  <c r="J156" i="7"/>
  <c r="K156" i="7"/>
  <c r="G23" i="6"/>
  <c r="H23" i="6"/>
  <c r="I23" i="6"/>
  <c r="J23" i="6"/>
  <c r="K23" i="6"/>
  <c r="G24" i="6"/>
  <c r="H24" i="6"/>
  <c r="I24" i="6"/>
  <c r="J24" i="6"/>
  <c r="K24" i="6"/>
  <c r="G26" i="6"/>
  <c r="H26" i="6"/>
  <c r="I26" i="6"/>
  <c r="J26" i="6"/>
  <c r="K26" i="6"/>
  <c r="G27" i="6"/>
  <c r="H27" i="6"/>
  <c r="I27" i="6"/>
  <c r="J27" i="6"/>
  <c r="K27" i="6"/>
  <c r="G28" i="6"/>
  <c r="H28" i="6"/>
  <c r="I28" i="6"/>
  <c r="J28" i="6"/>
  <c r="K28" i="6"/>
  <c r="G45" i="6"/>
  <c r="H45" i="6"/>
  <c r="I45" i="6"/>
  <c r="J45" i="6"/>
  <c r="K45" i="6"/>
  <c r="G51" i="6"/>
  <c r="H51" i="6"/>
  <c r="I51" i="6"/>
  <c r="J51" i="6"/>
  <c r="K51" i="6"/>
  <c r="G56" i="6"/>
  <c r="H56" i="6"/>
  <c r="I56" i="6"/>
  <c r="J56" i="6"/>
  <c r="K56" i="6"/>
  <c r="G59" i="6"/>
  <c r="H59" i="6"/>
  <c r="I59" i="6"/>
  <c r="J59" i="6"/>
  <c r="K59" i="6"/>
  <c r="G62" i="6"/>
  <c r="H62" i="6"/>
  <c r="I62" i="6"/>
  <c r="J62" i="6"/>
  <c r="K62" i="6"/>
  <c r="G64" i="6"/>
  <c r="H64" i="6"/>
  <c r="I64" i="6"/>
  <c r="J64" i="6"/>
  <c r="K64" i="6"/>
  <c r="G66" i="6"/>
  <c r="H66" i="6"/>
  <c r="I66" i="6"/>
  <c r="J66" i="6"/>
  <c r="K66" i="6"/>
  <c r="G72" i="6"/>
  <c r="H72" i="6"/>
  <c r="I72" i="6"/>
  <c r="J72" i="6"/>
  <c r="K72" i="6"/>
  <c r="G79" i="6"/>
  <c r="H79" i="6"/>
  <c r="I79" i="6"/>
  <c r="J79" i="6"/>
  <c r="K79" i="6"/>
  <c r="G85" i="6"/>
  <c r="H85" i="6"/>
  <c r="I85" i="6"/>
  <c r="J85" i="6"/>
  <c r="K85" i="6"/>
  <c r="G88" i="6"/>
  <c r="H88" i="6"/>
  <c r="I88" i="6"/>
  <c r="J88" i="6"/>
  <c r="K88" i="6"/>
  <c r="G90" i="6"/>
  <c r="H90" i="6"/>
  <c r="I90" i="6"/>
  <c r="J90" i="6"/>
  <c r="K90" i="6"/>
  <c r="H115" i="6"/>
  <c r="I115" i="6"/>
  <c r="J115" i="6"/>
  <c r="K115" i="6"/>
  <c r="G116" i="6"/>
  <c r="H116" i="6"/>
  <c r="I116" i="6"/>
  <c r="J116" i="6"/>
  <c r="K116" i="6"/>
  <c r="G119" i="6"/>
  <c r="H119" i="6"/>
  <c r="I119" i="6"/>
  <c r="J119" i="6"/>
  <c r="K119" i="6"/>
  <c r="H126" i="6"/>
  <c r="I126" i="6"/>
  <c r="J126" i="6"/>
  <c r="K126" i="6"/>
  <c r="G128" i="6"/>
  <c r="H128" i="6"/>
  <c r="I128" i="6"/>
  <c r="J128" i="6"/>
  <c r="K128" i="6"/>
  <c r="G129" i="6"/>
  <c r="H129" i="6"/>
  <c r="I129" i="6"/>
  <c r="J129" i="6"/>
  <c r="K129" i="6"/>
  <c r="H132" i="6"/>
  <c r="I132" i="6"/>
  <c r="J132" i="6"/>
  <c r="K132" i="6"/>
  <c r="G133" i="6"/>
  <c r="H133" i="6"/>
  <c r="I133" i="6"/>
  <c r="J133" i="6"/>
  <c r="K133" i="6"/>
  <c r="G135" i="6"/>
  <c r="H135" i="6"/>
  <c r="I135" i="6"/>
  <c r="J135" i="6"/>
  <c r="K135" i="6"/>
  <c r="G136" i="6"/>
  <c r="H136" i="6"/>
  <c r="I136" i="6"/>
  <c r="J136" i="6"/>
  <c r="K136" i="6"/>
  <c r="G142" i="6"/>
  <c r="H142" i="6"/>
  <c r="I142" i="6"/>
  <c r="J142" i="6"/>
  <c r="K142" i="6"/>
  <c r="G146" i="6"/>
  <c r="H146" i="6"/>
  <c r="I146" i="6"/>
  <c r="J146" i="6"/>
  <c r="K146" i="6"/>
  <c r="G147" i="6"/>
  <c r="H147" i="6"/>
  <c r="I147" i="6"/>
  <c r="J147" i="6"/>
  <c r="K147" i="6"/>
  <c r="G156" i="6"/>
  <c r="H156" i="6"/>
  <c r="I156" i="6"/>
  <c r="J156" i="6"/>
  <c r="K156" i="6"/>
  <c r="G23" i="2"/>
  <c r="H23" i="2"/>
  <c r="I23" i="2"/>
  <c r="J23" i="2"/>
  <c r="K23" i="2"/>
  <c r="G24" i="2"/>
  <c r="H24" i="2"/>
  <c r="I24" i="2"/>
  <c r="J24" i="2"/>
  <c r="K24" i="2"/>
  <c r="G26" i="2"/>
  <c r="H26" i="2"/>
  <c r="I26" i="2"/>
  <c r="J26" i="2"/>
  <c r="K26" i="2"/>
  <c r="G27" i="2"/>
  <c r="H27" i="2"/>
  <c r="I27" i="2"/>
  <c r="J27" i="2"/>
  <c r="K27" i="2"/>
  <c r="G28" i="2"/>
  <c r="H28" i="2"/>
  <c r="I28" i="2"/>
  <c r="J28" i="2"/>
  <c r="K28" i="2"/>
  <c r="G45" i="2"/>
  <c r="H45" i="2"/>
  <c r="I45" i="2"/>
  <c r="J45" i="2"/>
  <c r="K45" i="2"/>
  <c r="G51" i="2"/>
  <c r="H51" i="2"/>
  <c r="I51" i="2"/>
  <c r="J51" i="2"/>
  <c r="K51" i="2"/>
  <c r="G56" i="2"/>
  <c r="H56" i="2"/>
  <c r="I56" i="2"/>
  <c r="J56" i="2"/>
  <c r="K56" i="2"/>
  <c r="G59" i="2"/>
  <c r="H59" i="2"/>
  <c r="I59" i="2"/>
  <c r="J59" i="2"/>
  <c r="K59" i="2"/>
  <c r="G62" i="2"/>
  <c r="H62" i="2"/>
  <c r="I62" i="2"/>
  <c r="J62" i="2"/>
  <c r="K62" i="2"/>
  <c r="G64" i="2"/>
  <c r="H64" i="2"/>
  <c r="I64" i="2"/>
  <c r="J64" i="2"/>
  <c r="K64" i="2"/>
  <c r="G66" i="2"/>
  <c r="H66" i="2"/>
  <c r="I66" i="2"/>
  <c r="J66" i="2"/>
  <c r="K66" i="2"/>
  <c r="G72" i="2"/>
  <c r="H72" i="2"/>
  <c r="I72" i="2"/>
  <c r="J72" i="2"/>
  <c r="K72" i="2"/>
  <c r="G79" i="2"/>
  <c r="H79" i="2"/>
  <c r="I79" i="2"/>
  <c r="J79" i="2"/>
  <c r="K79" i="2"/>
  <c r="G85" i="2"/>
  <c r="H85" i="2"/>
  <c r="I85" i="2"/>
  <c r="J85" i="2"/>
  <c r="K85" i="2"/>
  <c r="G88" i="2"/>
  <c r="H88" i="2"/>
  <c r="I88" i="2"/>
  <c r="J88" i="2"/>
  <c r="K88" i="2"/>
  <c r="G90" i="2"/>
  <c r="H90" i="2"/>
  <c r="I90" i="2"/>
  <c r="J90" i="2"/>
  <c r="K90" i="2"/>
  <c r="H115" i="2"/>
  <c r="I115" i="2"/>
  <c r="J115" i="2"/>
  <c r="K115" i="2"/>
  <c r="G116" i="2"/>
  <c r="H116" i="2"/>
  <c r="I116" i="2"/>
  <c r="J116" i="2"/>
  <c r="K116" i="2"/>
  <c r="G119" i="2"/>
  <c r="H119" i="2"/>
  <c r="I119" i="2"/>
  <c r="J119" i="2"/>
  <c r="K119" i="2"/>
  <c r="H126" i="2"/>
  <c r="I126" i="2"/>
  <c r="J126" i="2"/>
  <c r="K126" i="2"/>
  <c r="G128" i="2"/>
  <c r="H128" i="2"/>
  <c r="I128" i="2"/>
  <c r="J128" i="2"/>
  <c r="K128" i="2"/>
  <c r="G129" i="2"/>
  <c r="H129" i="2"/>
  <c r="I129" i="2"/>
  <c r="J129" i="2"/>
  <c r="K129" i="2"/>
  <c r="H132" i="2"/>
  <c r="I132" i="2"/>
  <c r="J132" i="2"/>
  <c r="K132" i="2"/>
  <c r="G133" i="2"/>
  <c r="H133" i="2"/>
  <c r="I133" i="2"/>
  <c r="J133" i="2"/>
  <c r="K133" i="2"/>
  <c r="G135" i="2"/>
  <c r="H135" i="2"/>
  <c r="I135" i="2"/>
  <c r="J135" i="2"/>
  <c r="K135" i="2"/>
  <c r="G136" i="2"/>
  <c r="H136" i="2"/>
  <c r="I136" i="2"/>
  <c r="J136" i="2"/>
  <c r="K136" i="2"/>
  <c r="G142" i="2"/>
  <c r="H142" i="2"/>
  <c r="I142" i="2"/>
  <c r="J142" i="2"/>
  <c r="K142" i="2"/>
  <c r="G146" i="2"/>
  <c r="H146" i="2"/>
  <c r="I146" i="2"/>
  <c r="J146" i="2"/>
  <c r="K146" i="2"/>
  <c r="G147" i="2"/>
  <c r="H147" i="2"/>
  <c r="I147" i="2"/>
  <c r="J147" i="2"/>
  <c r="K147" i="2"/>
  <c r="G156" i="2"/>
  <c r="H156" i="2"/>
  <c r="I156" i="2"/>
  <c r="J156" i="2"/>
  <c r="K156" i="2"/>
  <c r="G23" i="5"/>
  <c r="H23" i="5"/>
  <c r="I23" i="5"/>
  <c r="J23" i="5"/>
  <c r="K23" i="5"/>
  <c r="G24" i="5"/>
  <c r="H24" i="5"/>
  <c r="I24" i="5"/>
  <c r="J24" i="5"/>
  <c r="K24" i="5"/>
  <c r="G26" i="5"/>
  <c r="H26" i="5"/>
  <c r="I26" i="5"/>
  <c r="J26" i="5"/>
  <c r="K26" i="5"/>
  <c r="G27" i="5"/>
  <c r="H27" i="5"/>
  <c r="I27" i="5"/>
  <c r="J27" i="5"/>
  <c r="K27" i="5"/>
  <c r="G28" i="5"/>
  <c r="H28" i="5"/>
  <c r="I28" i="5"/>
  <c r="J28" i="5"/>
  <c r="K28" i="5"/>
  <c r="G45" i="5"/>
  <c r="H45" i="5"/>
  <c r="I45" i="5"/>
  <c r="J45" i="5"/>
  <c r="K45" i="5"/>
  <c r="G51" i="5"/>
  <c r="H51" i="5"/>
  <c r="I51" i="5"/>
  <c r="J51" i="5"/>
  <c r="K51" i="5"/>
  <c r="G56" i="5"/>
  <c r="H56" i="5"/>
  <c r="I56" i="5"/>
  <c r="J56" i="5"/>
  <c r="K56" i="5"/>
  <c r="G59" i="5"/>
  <c r="H59" i="5"/>
  <c r="I59" i="5"/>
  <c r="J59" i="5"/>
  <c r="K59" i="5"/>
  <c r="G62" i="5"/>
  <c r="H62" i="5"/>
  <c r="I62" i="5"/>
  <c r="J62" i="5"/>
  <c r="K62" i="5"/>
  <c r="G64" i="5"/>
  <c r="H64" i="5"/>
  <c r="I64" i="5"/>
  <c r="J64" i="5"/>
  <c r="K64" i="5"/>
  <c r="G66" i="5"/>
  <c r="H66" i="5"/>
  <c r="I66" i="5"/>
  <c r="J66" i="5"/>
  <c r="K66" i="5"/>
  <c r="G72" i="5"/>
  <c r="H72" i="5"/>
  <c r="I72" i="5"/>
  <c r="J72" i="5"/>
  <c r="K72" i="5"/>
  <c r="G79" i="5"/>
  <c r="H79" i="5"/>
  <c r="I79" i="5"/>
  <c r="J79" i="5"/>
  <c r="K79" i="5"/>
  <c r="G85" i="5"/>
  <c r="H85" i="5"/>
  <c r="I85" i="5"/>
  <c r="J85" i="5"/>
  <c r="K85" i="5"/>
  <c r="G88" i="5"/>
  <c r="H88" i="5"/>
  <c r="I88" i="5"/>
  <c r="J88" i="5"/>
  <c r="K88" i="5"/>
  <c r="G90" i="5"/>
  <c r="H90" i="5"/>
  <c r="I90" i="5"/>
  <c r="J90" i="5"/>
  <c r="K90" i="5"/>
  <c r="H115" i="5"/>
  <c r="I115" i="5"/>
  <c r="J115" i="5"/>
  <c r="K115" i="5"/>
  <c r="G116" i="5"/>
  <c r="H116" i="5"/>
  <c r="I116" i="5"/>
  <c r="J116" i="5"/>
  <c r="K116" i="5"/>
  <c r="G119" i="5"/>
  <c r="H119" i="5"/>
  <c r="I119" i="5"/>
  <c r="J119" i="5"/>
  <c r="K119" i="5"/>
  <c r="H126" i="5"/>
  <c r="I126" i="5"/>
  <c r="J126" i="5"/>
  <c r="K126" i="5"/>
  <c r="G128" i="5"/>
  <c r="H128" i="5"/>
  <c r="I128" i="5"/>
  <c r="J128" i="5"/>
  <c r="K128" i="5"/>
  <c r="G129" i="5"/>
  <c r="H129" i="5"/>
  <c r="I129" i="5"/>
  <c r="J129" i="5"/>
  <c r="K129" i="5"/>
  <c r="H132" i="5"/>
  <c r="I132" i="5"/>
  <c r="J132" i="5"/>
  <c r="K132" i="5"/>
  <c r="G133" i="5"/>
  <c r="H133" i="5"/>
  <c r="I133" i="5"/>
  <c r="J133" i="5"/>
  <c r="K133" i="5"/>
  <c r="G135" i="5"/>
  <c r="H135" i="5"/>
  <c r="I135" i="5"/>
  <c r="J135" i="5"/>
  <c r="K135" i="5"/>
  <c r="G136" i="5"/>
  <c r="H136" i="5"/>
  <c r="I136" i="5"/>
  <c r="J136" i="5"/>
  <c r="K136" i="5"/>
  <c r="G142" i="5"/>
  <c r="H142" i="5"/>
  <c r="I142" i="5"/>
  <c r="J142" i="5"/>
  <c r="K142" i="5"/>
  <c r="G146" i="5"/>
  <c r="H146" i="5"/>
  <c r="I146" i="5"/>
  <c r="J146" i="5"/>
  <c r="K146" i="5"/>
  <c r="G147" i="5"/>
  <c r="H147" i="5"/>
  <c r="I147" i="5"/>
  <c r="J147" i="5"/>
  <c r="K147" i="5"/>
  <c r="G156" i="5"/>
  <c r="H156" i="5"/>
  <c r="I156" i="5"/>
  <c r="J156" i="5"/>
  <c r="K156"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11" authorId="0" shapeId="0" xr:uid="{00000000-0006-0000-0100-000005000000}">
      <text>
        <r>
          <rPr>
            <sz val="10"/>
            <rFont val="Arial"/>
            <family val="2"/>
          </rPr>
          <t>Front cover of Apple 2018 10K</t>
        </r>
      </text>
    </comment>
    <comment ref="C48" authorId="0" shapeId="0" xr:uid="{00000000-0006-0000-0100-000001000000}">
      <text>
        <r>
          <rPr>
            <sz val="10"/>
            <rFont val="Arial"/>
            <family val="2"/>
          </rPr>
          <t>Includes vendor non-trade receivables</t>
        </r>
      </text>
    </comment>
    <comment ref="C50" authorId="0" shapeId="0" xr:uid="{00000000-0006-0000-0100-000002000000}">
      <text>
        <r>
          <rPr>
            <sz val="10"/>
            <rFont val="Arial"/>
            <family val="2"/>
          </rPr>
          <t>AAPL started aggregating goodwill, intangible assets and other non current assets into one line item in 2018, with no footnote breakout of the individual line items. 10Ks prior to 2018 did have a breakout.</t>
        </r>
      </text>
    </comment>
    <comment ref="M101" authorId="0" shapeId="0" xr:uid="{00000000-0006-0000-0100-000006000000}">
      <text>
        <r>
          <rPr>
            <sz val="10"/>
            <rFont val="Arial"/>
            <family val="2"/>
          </rPr>
          <t>WSP estimate</t>
        </r>
      </text>
    </comment>
    <comment ref="C117" authorId="0" shapeId="0" xr:uid="{00000000-0006-0000-0100-000003000000}">
      <text>
        <r>
          <rPr>
            <sz val="10"/>
            <rFont val="Arial"/>
            <family val="2"/>
          </rPr>
          <t>Statement of shareholders equity schedule, p.41 Apple 2018 10K</t>
        </r>
      </text>
    </comment>
    <comment ref="C118" authorId="0" shapeId="0" xr:uid="{00000000-0006-0000-0100-000004000000}">
      <text>
        <r>
          <rPr>
            <sz val="10"/>
            <rFont val="Arial"/>
            <family val="2"/>
          </rPr>
          <t>Statement of shareholders equity schedule, p.41 Apple 2018 10K</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11" authorId="0" shapeId="0" xr:uid="{00000000-0006-0000-0200-000003000000}">
      <text>
        <r>
          <rPr>
            <sz val="10"/>
            <rFont val="Arial"/>
            <family val="2"/>
          </rPr>
          <t>Front cover of Apple 2018 10K</t>
        </r>
      </text>
    </comment>
    <comment ref="C48" authorId="0" shapeId="0" xr:uid="{00000000-0006-0000-0200-000001000000}">
      <text>
        <r>
          <rPr>
            <sz val="10"/>
            <rFont val="Arial"/>
            <family val="2"/>
          </rPr>
          <t>Includes vendor non-trade receivables</t>
        </r>
      </text>
    </comment>
    <comment ref="C50" authorId="0" shapeId="0" xr:uid="{00000000-0006-0000-0200-000002000000}">
      <text>
        <r>
          <rPr>
            <sz val="10"/>
            <rFont val="Arial"/>
            <family val="2"/>
          </rPr>
          <t>AAPL started aggregating goodwill, intangible assets and other non current assets into one line item in 2018, with no footnote breakout of the individual line items. 10Ks prior to 2018 did have a breakout.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11" authorId="0" shapeId="0" xr:uid="{00000000-0006-0000-0300-000005000000}">
      <text>
        <r>
          <rPr>
            <sz val="10"/>
            <rFont val="Arial"/>
            <family val="2"/>
          </rPr>
          <t>Front cover of Apple 2018 10K</t>
        </r>
      </text>
    </comment>
    <comment ref="C48" authorId="0" shapeId="0" xr:uid="{00000000-0006-0000-0300-000001000000}">
      <text>
        <r>
          <rPr>
            <sz val="10"/>
            <rFont val="Arial"/>
            <family val="2"/>
          </rPr>
          <t>Includes vendor non-trade receivables</t>
        </r>
      </text>
    </comment>
    <comment ref="C50" authorId="0" shapeId="0" xr:uid="{00000000-0006-0000-0300-000002000000}">
      <text>
        <r>
          <rPr>
            <sz val="10"/>
            <rFont val="Arial"/>
            <family val="2"/>
          </rPr>
          <t>AAPL started aggregating goodwill, intangible assets and other non current assets into one line item in 2018, with no footnote breakout of the individual line items. 10Ks prior to 2018 did have a breakout.</t>
        </r>
      </text>
    </comment>
    <comment ref="M101" authorId="0" shapeId="0" xr:uid="{00000000-0006-0000-0300-000006000000}">
      <text>
        <r>
          <rPr>
            <sz val="10"/>
            <rFont val="Arial"/>
            <family val="2"/>
          </rPr>
          <t>WSP estimate</t>
        </r>
      </text>
    </comment>
    <comment ref="C117" authorId="0" shapeId="0" xr:uid="{00000000-0006-0000-0300-000003000000}">
      <text>
        <r>
          <rPr>
            <sz val="10"/>
            <rFont val="Arial"/>
            <family val="2"/>
          </rPr>
          <t>Statement of shareholders equity schedule, p.41 Apple 2018 10K</t>
        </r>
      </text>
    </comment>
    <comment ref="C118" authorId="0" shapeId="0" xr:uid="{00000000-0006-0000-0300-000004000000}">
      <text>
        <r>
          <rPr>
            <sz val="10"/>
            <rFont val="Arial"/>
            <family val="2"/>
          </rPr>
          <t>Statement of shareholders equity schedule, p.41 Apple 2018 10K</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11" authorId="0" shapeId="0" xr:uid="{00000000-0006-0000-0400-000007000000}">
      <text>
        <r>
          <rPr>
            <sz val="10"/>
            <rFont val="Arial"/>
            <family val="2"/>
          </rPr>
          <t>Front cover of Apple 2018 10K</t>
        </r>
      </text>
    </comment>
    <comment ref="C48" authorId="0" shapeId="0" xr:uid="{00000000-0006-0000-0400-000001000000}">
      <text>
        <r>
          <rPr>
            <sz val="10"/>
            <rFont val="Arial"/>
            <family val="2"/>
          </rPr>
          <t>Includes vendor non-trade receivables</t>
        </r>
      </text>
    </comment>
    <comment ref="C50" authorId="0" shapeId="0" xr:uid="{00000000-0006-0000-0400-000002000000}">
      <text>
        <r>
          <rPr>
            <sz val="10"/>
            <rFont val="Arial"/>
            <family val="2"/>
          </rPr>
          <t>AAPL started aggregating goodwill, intangible assets and other non current assets into one line item in 2018, with no footnote breakout of the individual line items. 10Ks prior to 2018 did have a breakout.</t>
        </r>
      </text>
    </comment>
    <comment ref="M101" authorId="0" shapeId="0" xr:uid="{00000000-0006-0000-0400-00000D000000}">
      <text>
        <r>
          <rPr>
            <sz val="10"/>
            <rFont val="Arial"/>
            <family val="2"/>
          </rPr>
          <t>WSP estimate</t>
        </r>
      </text>
    </comment>
    <comment ref="C117" authorId="0" shapeId="0" xr:uid="{00000000-0006-0000-0400-000003000000}">
      <text>
        <r>
          <rPr>
            <sz val="10"/>
            <rFont val="Arial"/>
            <family val="2"/>
          </rPr>
          <t>Statement of shareholders equity schedule, p.41 Apple 2018 10K</t>
        </r>
      </text>
    </comment>
    <comment ref="C118" authorId="0" shapeId="0" xr:uid="{00000000-0006-0000-0400-000004000000}">
      <text>
        <r>
          <rPr>
            <sz val="10"/>
            <rFont val="Arial"/>
            <family val="2"/>
          </rPr>
          <t>Statement of shareholders equity schedule, p.41 Apple 2018 10K</t>
        </r>
      </text>
    </comment>
    <comment ref="E145" authorId="0" shapeId="0" xr:uid="{00000000-0006-0000-0400-000009000000}">
      <text>
        <r>
          <rPr>
            <sz val="10"/>
            <rFont val="Arial"/>
            <family val="2"/>
          </rPr>
          <t>2018 Note 5 - Debt. 10K p55</t>
        </r>
      </text>
    </comment>
    <comment ref="F145" authorId="0" shapeId="0" xr:uid="{00000000-0006-0000-0400-00000B000000}">
      <text>
        <r>
          <rPr>
            <sz val="10"/>
            <rFont val="Arial"/>
            <family val="2"/>
          </rPr>
          <t>2018 Note 5 - Debt. 10K p55</t>
        </r>
      </text>
    </comment>
    <comment ref="C151" authorId="0" shapeId="0" xr:uid="{00000000-0006-0000-0400-000005000000}">
      <text>
        <r>
          <rPr>
            <sz val="10"/>
            <rFont val="Arial"/>
            <family val="2"/>
          </rPr>
          <t xml:space="preserve">We estimate the historical interest rate (though not explicitly disclosed by Apple). </t>
        </r>
      </text>
    </comment>
    <comment ref="C152" authorId="0" shapeId="0" xr:uid="{00000000-0006-0000-0400-000006000000}">
      <text>
        <r>
          <rPr>
            <sz val="10"/>
            <rFont val="Arial"/>
            <family val="2"/>
          </rPr>
          <t>Although Apple doesn't disclose interest expense specifically, it does disclose the interest rate on commercial paper which enables us to back into interest expense for LTD</t>
        </r>
      </text>
    </comment>
    <comment ref="D155" authorId="0" shapeId="0" xr:uid="{00000000-0006-0000-0400-000008000000}">
      <text>
        <r>
          <rPr>
            <sz val="10"/>
            <rFont val="Arial"/>
            <family val="2"/>
          </rPr>
          <t>2018 p.27 in the 'Other Income/(Expense), Net' section.</t>
        </r>
      </text>
    </comment>
    <comment ref="E155" authorId="0" shapeId="0" xr:uid="{00000000-0006-0000-0400-00000A000000}">
      <text>
        <r>
          <rPr>
            <sz val="10"/>
            <rFont val="Arial"/>
            <family val="2"/>
          </rPr>
          <t>2018 p.27 in the 'Other Income/(Expense), Net' section.</t>
        </r>
      </text>
    </comment>
    <comment ref="F155" authorId="0" shapeId="0" xr:uid="{00000000-0006-0000-0400-00000C000000}">
      <text>
        <r>
          <rPr>
            <sz val="10"/>
            <rFont val="Arial"/>
            <family val="2"/>
          </rPr>
          <t>2018 p.27 in the 'Other Income/(Expense), Net' section.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11" authorId="0" shapeId="0" xr:uid="{00000000-0006-0000-0500-000007000000}">
      <text>
        <r>
          <rPr>
            <sz val="10"/>
            <rFont val="Arial"/>
            <family val="2"/>
          </rPr>
          <t>Front cover of Apple 2018 10K</t>
        </r>
      </text>
    </comment>
    <comment ref="C48" authorId="0" shapeId="0" xr:uid="{00000000-0006-0000-0500-000001000000}">
      <text>
        <r>
          <rPr>
            <sz val="10"/>
            <rFont val="Arial"/>
            <family val="2"/>
          </rPr>
          <t>Includes vendor non-trade receivables</t>
        </r>
      </text>
    </comment>
    <comment ref="C50" authorId="0" shapeId="0" xr:uid="{00000000-0006-0000-0500-000002000000}">
      <text>
        <r>
          <rPr>
            <sz val="10"/>
            <rFont val="Arial"/>
            <family val="2"/>
          </rPr>
          <t>AAPL started aggregating goodwill, intangible assets and other non current assets into one line item in 2018, with no footnote breakout of the individual line items. 10Ks prior to 2018 did have a breakout.</t>
        </r>
      </text>
    </comment>
    <comment ref="M101" authorId="0" shapeId="0" xr:uid="{00000000-0006-0000-0500-00000D000000}">
      <text>
        <r>
          <rPr>
            <sz val="10"/>
            <rFont val="Arial"/>
            <family val="2"/>
          </rPr>
          <t>WSP estimate</t>
        </r>
      </text>
    </comment>
    <comment ref="C117" authorId="0" shapeId="0" xr:uid="{00000000-0006-0000-0500-000003000000}">
      <text>
        <r>
          <rPr>
            <sz val="10"/>
            <rFont val="Arial"/>
            <family val="2"/>
          </rPr>
          <t>Statement of shareholders equity schedule, p.41 Apple 2018 10K</t>
        </r>
      </text>
    </comment>
    <comment ref="C118" authorId="0" shapeId="0" xr:uid="{00000000-0006-0000-0500-000004000000}">
      <text>
        <r>
          <rPr>
            <sz val="10"/>
            <rFont val="Arial"/>
            <family val="2"/>
          </rPr>
          <t>Statement of shareholders equity schedule, p.41 Apple 2018 10K</t>
        </r>
      </text>
    </comment>
    <comment ref="E145" authorId="0" shapeId="0" xr:uid="{00000000-0006-0000-0500-000009000000}">
      <text>
        <r>
          <rPr>
            <sz val="10"/>
            <rFont val="Arial"/>
            <family val="2"/>
          </rPr>
          <t>2018 Note 5 - Debt. 10K p55</t>
        </r>
      </text>
    </comment>
    <comment ref="F145" authorId="0" shapeId="0" xr:uid="{00000000-0006-0000-0500-00000B000000}">
      <text>
        <r>
          <rPr>
            <sz val="10"/>
            <rFont val="Arial"/>
            <family val="2"/>
          </rPr>
          <t>2018 Note 5 - Debt. 10K p55</t>
        </r>
      </text>
    </comment>
    <comment ref="C151" authorId="0" shapeId="0" xr:uid="{00000000-0006-0000-0500-000005000000}">
      <text>
        <r>
          <rPr>
            <sz val="10"/>
            <rFont val="Arial"/>
            <family val="2"/>
          </rPr>
          <t xml:space="preserve">We estimate the historical interest rate (though not explicitly disclosed by Apple). </t>
        </r>
      </text>
    </comment>
    <comment ref="C152" authorId="0" shapeId="0" xr:uid="{00000000-0006-0000-0500-000006000000}">
      <text>
        <r>
          <rPr>
            <sz val="10"/>
            <rFont val="Arial"/>
            <family val="2"/>
          </rPr>
          <t>Although Apple doesn't disclose interest expense specifically, it does disclose the interest rate on commercial paper which enables us to back into interest expense for LTD</t>
        </r>
      </text>
    </comment>
    <comment ref="D155" authorId="0" shapeId="0" xr:uid="{00000000-0006-0000-0500-000008000000}">
      <text>
        <r>
          <rPr>
            <sz val="10"/>
            <rFont val="Arial"/>
            <family val="2"/>
          </rPr>
          <t>2018 p.27 in the 'Other Income/(Expense), Net' section.</t>
        </r>
      </text>
    </comment>
    <comment ref="E155" authorId="0" shapeId="0" xr:uid="{00000000-0006-0000-0500-00000A000000}">
      <text>
        <r>
          <rPr>
            <sz val="10"/>
            <rFont val="Arial"/>
            <family val="2"/>
          </rPr>
          <t>2018 p.27 in the 'Other Income/(Expense), Net' section.</t>
        </r>
      </text>
    </comment>
    <comment ref="F155" authorId="0" shapeId="0" xr:uid="{00000000-0006-0000-0500-00000C000000}">
      <text>
        <r>
          <rPr>
            <sz val="10"/>
            <rFont val="Arial"/>
            <family val="2"/>
          </rPr>
          <t>2018 p.27 in the 'Other Income/(Expense), Net' section.</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8" authorId="0" shapeId="0" xr:uid="{00000000-0006-0000-0600-000007000000}">
      <text>
        <r>
          <rPr>
            <sz val="10"/>
            <rFont val="Arial"/>
            <family val="2"/>
          </rPr>
          <t>Recent AAPL close, ~Jun 2026. Market data (not in 10-K).</t>
        </r>
      </text>
    </comment>
    <comment ref="D11" authorId="0" shapeId="0" xr:uid="{00000000-0006-0000-0600-000008000000}">
      <text>
        <r>
          <rPr>
            <sz val="10"/>
            <rFont val="Arial"/>
            <family val="2"/>
          </rPr>
          <t>Shares issued &amp; outstanding 14,776,353 thousand as of 10/17/2025. 10-K cover.</t>
        </r>
      </text>
    </comment>
    <comment ref="D17" authorId="0" shapeId="0" xr:uid="{00000000-0006-0000-0600-000009000000}">
      <text>
        <r>
          <rPr>
            <sz val="10"/>
            <rFont val="Arial"/>
            <family val="2"/>
          </rPr>
          <t>Source: Apple FY2025 10-K, Consolidated Statements of Operations.</t>
        </r>
      </text>
    </comment>
    <comment ref="D18" authorId="0" shapeId="0" xr:uid="{00000000-0006-0000-0600-00000A000000}">
      <text>
        <r>
          <rPr>
            <sz val="10"/>
            <rFont val="Arial"/>
            <family val="2"/>
          </rPr>
          <t>Source: Apple FY2025 10-K, Consolidated Statements of Operations.</t>
        </r>
      </text>
    </comment>
    <comment ref="D23" authorId="0" shapeId="0" xr:uid="{00000000-0006-0000-0600-00000B000000}">
      <text>
        <r>
          <rPr>
            <sz val="10"/>
            <rFont val="Arial"/>
            <family val="2"/>
          </rPr>
          <t>Apple stopped disclosing the interest income/expense breakout after FY2019. Net other income/(expense) is folded into "Other expense, net" (row 25). Needs a source beyond the 10-K to split.</t>
        </r>
      </text>
    </comment>
    <comment ref="D25" authorId="0" shapeId="0" xr:uid="{00000000-0006-0000-0600-00000C000000}">
      <text>
        <r>
          <rPr>
            <sz val="10"/>
            <rFont val="Arial"/>
            <family val="2"/>
          </rPr>
          <t>Other income/(expense), net per 10-K (2023 -565, 2024 +269, 2025 -321).</t>
        </r>
      </text>
    </comment>
    <comment ref="D27" authorId="0" shapeId="0" xr:uid="{00000000-0006-0000-0600-00000D000000}">
      <text>
        <r>
          <rPr>
            <sz val="10"/>
            <rFont val="Arial"/>
            <family val="2"/>
          </rPr>
          <t>Provision for income taxes, 10-K.</t>
        </r>
      </text>
    </comment>
    <comment ref="D30" authorId="0" shapeId="0" xr:uid="{00000000-0006-0000-0600-00000E000000}">
      <text>
        <r>
          <rPr>
            <sz val="10"/>
            <rFont val="Arial"/>
            <family val="2"/>
          </rPr>
          <t>D&amp;A, Consolidated Statements of Cash Flows.</t>
        </r>
      </text>
    </comment>
    <comment ref="D32" authorId="0" shapeId="0" xr:uid="{00000000-0006-0000-0600-00000F000000}">
      <text>
        <r>
          <rPr>
            <sz val="10"/>
            <rFont val="Arial"/>
            <family val="2"/>
          </rPr>
          <t>Share-based compensation, cash flow statement.</t>
        </r>
      </text>
    </comment>
    <comment ref="G36" authorId="0" shapeId="0" xr:uid="{00000000-0006-0000-0600-000026000000}">
      <text>
        <r>
          <rPr>
            <sz val="10"/>
            <rFont val="Arial"/>
            <family val="2"/>
          </rPr>
          <t>Placeholder assumption. Replace with your/consensus estimate. Original WSP version used JPMorgan estimates here.</t>
        </r>
      </text>
    </comment>
    <comment ref="G37" authorId="0" shapeId="0" xr:uid="{00000000-0006-0000-0600-000027000000}">
      <text>
        <r>
          <rPr>
            <sz val="10"/>
            <rFont val="Arial"/>
            <family val="2"/>
          </rPr>
          <t>Forecast holds FY2025 actual margin (placeholder). Replace with your/consensus estimate. Original WSP version hardcoded FY2019-era margins here.</t>
        </r>
      </text>
    </comment>
    <comment ref="G38" authorId="0" shapeId="0" xr:uid="{00000000-0006-0000-0600-000028000000}">
      <text>
        <r>
          <rPr>
            <sz val="10"/>
            <rFont val="Arial"/>
            <family val="2"/>
          </rPr>
          <t>Forecast holds FY2025 actual margin (placeholder). Replace with your/consensus estimate. Original WSP version hardcoded FY2019-era margins here.</t>
        </r>
      </text>
    </comment>
    <comment ref="G39" authorId="0" shapeId="0" xr:uid="{00000000-0006-0000-0600-000029000000}">
      <text>
        <r>
          <rPr>
            <sz val="10"/>
            <rFont val="Arial"/>
            <family val="2"/>
          </rPr>
          <t>Forecast holds FY2025 actual margin (placeholder). Replace with your/consensus estimate. Original WSP version hardcoded FY2019-era margins here.</t>
        </r>
      </text>
    </comment>
    <comment ref="G40" authorId="0" shapeId="0" xr:uid="{00000000-0006-0000-0600-00002A000000}">
      <text>
        <r>
          <rPr>
            <sz val="10"/>
            <rFont val="Arial"/>
            <family val="2"/>
          </rPr>
          <t>Holds FY2025 effective rate of 15.6%, which was depressed by discrete items (State Aid reversal, etc.). A normalized ~16-18% may be more appropriate.</t>
        </r>
      </text>
    </comment>
    <comment ref="E45" authorId="0" shapeId="0" xr:uid="{00000000-0006-0000-0600-000015000000}">
      <text>
        <r>
          <rPr>
            <sz val="10"/>
            <rFont val="Arial"/>
            <family val="2"/>
          </rPr>
          <t>Cash 29,943 + ST mkt sec 35,228 + LT mkt sec 91,479. Source: Apple FY2025 10-K, Consolidated Balance Sheets.</t>
        </r>
      </text>
    </comment>
    <comment ref="F45" authorId="0" shapeId="0" xr:uid="{00000000-0006-0000-0600-000021000000}">
      <text>
        <r>
          <rPr>
            <sz val="10"/>
            <rFont val="Arial"/>
            <family val="2"/>
          </rPr>
          <t>Cash 35,934 + ST mkt sec 18,763 + LT mkt sec 77,723. Source: Apple FY2025 10-K, Consolidated Balance Sheets.</t>
        </r>
      </text>
    </comment>
    <comment ref="C48" authorId="0" shapeId="0" xr:uid="{00000000-0006-0000-0600-000001000000}">
      <text>
        <r>
          <rPr>
            <sz val="10"/>
            <rFont val="Arial"/>
            <family val="2"/>
          </rPr>
          <t>Includes vendor non-trade receivables</t>
        </r>
      </text>
    </comment>
    <comment ref="E48" authorId="0" shapeId="0" xr:uid="{00000000-0006-0000-0600-000016000000}">
      <text>
        <r>
          <rPr>
            <sz val="10"/>
            <rFont val="Arial"/>
            <family val="2"/>
          </rPr>
          <t>Other current assets + vendor non-trade receivables. Source: Apple FY2025 10-K, Consolidated Balance Sheets.</t>
        </r>
      </text>
    </comment>
    <comment ref="F48" authorId="0" shapeId="0" xr:uid="{00000000-0006-0000-0600-000022000000}">
      <text>
        <r>
          <rPr>
            <sz val="10"/>
            <rFont val="Arial"/>
            <family val="2"/>
          </rPr>
          <t>Other current assets + vendor non-trade receivables. Source: Apple FY2025 10-K, Consolidated Balance Sheets.</t>
        </r>
      </text>
    </comment>
    <comment ref="C50" authorId="0" shapeId="0" xr:uid="{00000000-0006-0000-0600-000002000000}">
      <text>
        <r>
          <rPr>
            <sz val="10"/>
            <rFont val="Arial"/>
            <family val="2"/>
          </rPr>
          <t>AAPL started aggregating goodwill, intangible assets and other non current assets into one line item in 2018, with no footnote breakout of the individual line items. 10Ks prior to 2018 did have a breakout.</t>
        </r>
      </text>
    </comment>
    <comment ref="E55" authorId="0" shapeId="0" xr:uid="{00000000-0006-0000-0600-000017000000}">
      <text>
        <r>
          <rPr>
            <sz val="10"/>
            <rFont val="Arial"/>
            <family val="2"/>
          </rPr>
          <t>Current deferred revenue only (non-current deferred sits in Other non-current liabilities, as Apple no longer breaks it out on the face of the BS).</t>
        </r>
      </text>
    </comment>
    <comment ref="E56" authorId="0" shapeId="0" xr:uid="{00000000-0006-0000-0600-000018000000}">
      <text>
        <r>
          <rPr>
            <sz val="10"/>
            <rFont val="Arial"/>
            <family val="2"/>
          </rPr>
          <t>Commercial paper. Source: Apple FY2025 10-K, Consolidated Balance Sheets.</t>
        </r>
      </text>
    </comment>
    <comment ref="E57" authorId="0" shapeId="0" xr:uid="{00000000-0006-0000-0600-000019000000}">
      <text>
        <r>
          <rPr>
            <sz val="10"/>
            <rFont val="Arial"/>
            <family val="2"/>
          </rPr>
          <t>Current term debt 10,912 + non-current 85,750. Source: Apple FY2025 10-K, Consolidated Balance Sheets.</t>
        </r>
      </text>
    </comment>
    <comment ref="F57" authorId="0" shapeId="0" xr:uid="{00000000-0006-0000-0600-000023000000}">
      <text>
        <r>
          <rPr>
            <sz val="10"/>
            <rFont val="Arial"/>
            <family val="2"/>
          </rPr>
          <t>Current term debt 12,350 + non-current 78,328. Source: Apple FY2025 10-K, Consolidated Balance Sheets.</t>
        </r>
      </text>
    </comment>
    <comment ref="E58" authorId="0" shapeId="0" xr:uid="{00000000-0006-0000-0600-00001A000000}">
      <text>
        <r>
          <rPr>
            <sz val="10"/>
            <rFont val="Arial"/>
            <family val="2"/>
          </rPr>
          <t>Other non-current liabilities as reported (includes non-current deferred revenue).</t>
        </r>
      </text>
    </comment>
    <comment ref="E61" authorId="0" shapeId="0" xr:uid="{00000000-0006-0000-0600-00001B000000}">
      <text>
        <r>
          <rPr>
            <sz val="10"/>
            <rFont val="Arial"/>
            <family val="2"/>
          </rPr>
          <t>Common stock + additional paid-in capital. Source: Apple FY2025 10-K, Consolidated Balance Sheets.</t>
        </r>
      </text>
    </comment>
    <comment ref="E62" authorId="0" shapeId="0" xr:uid="{00000000-0006-0000-0600-00001C000000}">
      <text>
        <r>
          <rPr>
            <sz val="10"/>
            <rFont val="Arial"/>
            <family val="2"/>
          </rPr>
          <t>Accumulated deficit. Source: Apple FY2025 10-K, Consolidated Balance Sheets.</t>
        </r>
      </text>
    </comment>
    <comment ref="E63" authorId="0" shapeId="0" xr:uid="{00000000-0006-0000-0600-00001D000000}">
      <text>
        <r>
          <rPr>
            <sz val="10"/>
            <rFont val="Arial"/>
            <family val="2"/>
          </rPr>
          <t>Accumulated other comprehensive loss. Source: Apple FY2025 10-K, Consolidated Balance Sheets.</t>
        </r>
      </text>
    </comment>
    <comment ref="D97" authorId="0" shapeId="0" xr:uid="{00000000-0006-0000-0600-000010000000}">
      <text>
        <r>
          <rPr>
            <sz val="10"/>
            <rFont val="Arial"/>
            <family val="2"/>
          </rPr>
          <t>Payments for acquisition of PP&amp;E, cash flow statement.</t>
        </r>
      </text>
    </comment>
    <comment ref="G97" authorId="0" shapeId="0" xr:uid="{00000000-0006-0000-0600-00002B000000}">
      <text>
        <r>
          <rPr>
            <sz val="10"/>
            <rFont val="Arial"/>
            <family val="2"/>
          </rPr>
          <t>Forecast capex grown with revenue (placeholder). Original WSP used JPMorgan capex estimates.</t>
        </r>
      </text>
    </comment>
    <comment ref="D98" authorId="0" shapeId="0" xr:uid="{00000000-0006-0000-0600-000011000000}">
      <text>
        <r>
          <rPr>
            <sz val="10"/>
            <rFont val="Arial"/>
            <family val="2"/>
          </rPr>
          <t>Depreciation on PP&amp;E ~$8.5B (2023)/$8.2B (2024)/$8.0B (2025), 10-K Note 5.</t>
        </r>
      </text>
    </comment>
    <comment ref="M101" authorId="0" shapeId="0" xr:uid="{00000000-0006-0000-0600-00002C000000}">
      <text>
        <r>
          <rPr>
            <sz val="10"/>
            <rFont val="Arial"/>
            <family val="2"/>
          </rPr>
          <t>WSP estimate</t>
        </r>
      </text>
    </comment>
    <comment ref="C117" authorId="0" shapeId="0" xr:uid="{00000000-0006-0000-0600-000003000000}">
      <text>
        <r>
          <rPr>
            <sz val="10"/>
            <rFont val="Arial"/>
            <family val="2"/>
          </rPr>
          <t>Statement of shareholders equity schedule, p.41 Apple 2018 10K</t>
        </r>
      </text>
    </comment>
    <comment ref="D117" authorId="0" shapeId="0" xr:uid="{00000000-0006-0000-0600-000012000000}">
      <text>
        <r>
          <rPr>
            <sz val="10"/>
            <rFont val="Arial"/>
            <family val="2"/>
          </rPr>
          <t>Dividends &amp; dividend equivalents declared, Statement of Shareholders' Equity.</t>
        </r>
      </text>
    </comment>
    <comment ref="C118" authorId="0" shapeId="0" xr:uid="{00000000-0006-0000-0600-000004000000}">
      <text>
        <r>
          <rPr>
            <sz val="10"/>
            <rFont val="Arial"/>
            <family val="2"/>
          </rPr>
          <t>Statement of shareholders equity schedule, p.41 Apple 2018 10K</t>
        </r>
      </text>
    </comment>
    <comment ref="D118" authorId="0" shapeId="0" xr:uid="{00000000-0006-0000-0600-000013000000}">
      <text>
        <r>
          <rPr>
            <sz val="10"/>
            <rFont val="Arial"/>
            <family val="2"/>
          </rPr>
          <t>Common stock repurchased, Statement of Shareholders' Equity.</t>
        </r>
      </text>
    </comment>
    <comment ref="E145" authorId="0" shapeId="0" xr:uid="{00000000-0006-0000-0600-00001E000000}">
      <text>
        <r>
          <rPr>
            <sz val="10"/>
            <rFont val="Arial"/>
            <family val="2"/>
          </rPr>
          <t>Commercial paper weighted-avg rate, 10-K Note 9 (5.00% 2024).</t>
        </r>
      </text>
    </comment>
    <comment ref="F145" authorId="0" shapeId="0" xr:uid="{00000000-0006-0000-0600-000024000000}">
      <text>
        <r>
          <rPr>
            <sz val="10"/>
            <rFont val="Arial"/>
            <family val="2"/>
          </rPr>
          <t>Commercial paper weighted-avg rate, 10-K Note 9 (4.19% 2025).</t>
        </r>
      </text>
    </comment>
    <comment ref="C151" authorId="0" shapeId="0" xr:uid="{00000000-0006-0000-0600-000005000000}">
      <text>
        <r>
          <rPr>
            <sz val="10"/>
            <rFont val="Arial"/>
            <family val="2"/>
          </rPr>
          <t xml:space="preserve">We estimate the historical interest rate (though not explicitly disclosed by Apple). </t>
        </r>
      </text>
    </comment>
    <comment ref="E151" authorId="0" shapeId="0" xr:uid="{00000000-0006-0000-0600-00001F000000}">
      <text>
        <r>
          <rPr>
            <sz val="10"/>
            <rFont val="Arial"/>
            <family val="2"/>
          </rPr>
          <t>Blended term-debt rate, derived: ~$2.6B interest payable within 12 months / $91.3B notes principal (10-K Liquidity). Apple no longer discloses interest expense, so this replaces the formula-derived historical rate.</t>
        </r>
      </text>
    </comment>
    <comment ref="C152" authorId="0" shapeId="0" xr:uid="{00000000-0006-0000-0600-000006000000}">
      <text>
        <r>
          <rPr>
            <sz val="10"/>
            <rFont val="Arial"/>
            <family val="2"/>
          </rPr>
          <t>Although Apple doesn't disclose interest expense specifically, it does disclose the interest rate on commercial paper which enables us to back into interest expense for LTD</t>
        </r>
      </text>
    </comment>
    <comment ref="D155" authorId="0" shapeId="0" xr:uid="{00000000-0006-0000-0600-000014000000}">
      <text>
        <r>
          <rPr>
            <sz val="10"/>
            <rFont val="Arial"/>
            <family val="2"/>
          </rPr>
          <t>Assumed yield on cash &amp; marketable securities (Apple no longer discloses this). Adjust as needed.</t>
        </r>
      </text>
    </comment>
    <comment ref="E155" authorId="0" shapeId="0" xr:uid="{00000000-0006-0000-0600-000020000000}">
      <text>
        <r>
          <rPr>
            <sz val="10"/>
            <rFont val="Arial"/>
            <family val="2"/>
          </rPr>
          <t>2018 p.27 in the 'Other Income/(Expense), Net' section.</t>
        </r>
      </text>
    </comment>
    <comment ref="F155" authorId="0" shapeId="0" xr:uid="{00000000-0006-0000-0600-000025000000}">
      <text>
        <r>
          <rPr>
            <sz val="10"/>
            <rFont val="Arial"/>
            <family val="2"/>
          </rPr>
          <t>2018 p.27 in the 'Other Income/(Expense), Net' section.</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11" authorId="0" shapeId="0" xr:uid="{00000000-0006-0000-0700-000007000000}">
      <text>
        <r>
          <rPr>
            <sz val="10"/>
            <rFont val="Arial"/>
            <family val="2"/>
          </rPr>
          <t>Front cover of Apple 2018 10K</t>
        </r>
      </text>
    </comment>
    <comment ref="C48" authorId="0" shapeId="0" xr:uid="{00000000-0006-0000-0700-000001000000}">
      <text>
        <r>
          <rPr>
            <sz val="10"/>
            <rFont val="Arial"/>
            <family val="2"/>
          </rPr>
          <t>Includes vendor non-trade receivables</t>
        </r>
      </text>
    </comment>
    <comment ref="C50" authorId="0" shapeId="0" xr:uid="{00000000-0006-0000-0700-000002000000}">
      <text>
        <r>
          <rPr>
            <sz val="10"/>
            <rFont val="Arial"/>
            <family val="2"/>
          </rPr>
          <t>AAPL started aggregating goodwill, intangible assets and other non current assets into one line item in 2018, with no footnote breakout of the individual line items. 10Ks prior to 2018 did have a breakout.</t>
        </r>
      </text>
    </comment>
    <comment ref="M101" authorId="0" shapeId="0" xr:uid="{00000000-0006-0000-0700-00000D000000}">
      <text>
        <r>
          <rPr>
            <sz val="10"/>
            <rFont val="Arial"/>
            <family val="2"/>
          </rPr>
          <t>WSP estimate</t>
        </r>
      </text>
    </comment>
    <comment ref="C117" authorId="0" shapeId="0" xr:uid="{00000000-0006-0000-0700-000003000000}">
      <text>
        <r>
          <rPr>
            <sz val="10"/>
            <rFont val="Arial"/>
            <family val="2"/>
          </rPr>
          <t>Statement of shareholders equity schedule, p.41 Apple 2018 10K</t>
        </r>
      </text>
    </comment>
    <comment ref="C118" authorId="0" shapeId="0" xr:uid="{00000000-0006-0000-0700-000004000000}">
      <text>
        <r>
          <rPr>
            <sz val="10"/>
            <rFont val="Arial"/>
            <family val="2"/>
          </rPr>
          <t>Statement of shareholders equity schedule, p.41 Apple 2018 10K</t>
        </r>
      </text>
    </comment>
    <comment ref="E145" authorId="0" shapeId="0" xr:uid="{00000000-0006-0000-0700-000009000000}">
      <text>
        <r>
          <rPr>
            <sz val="10"/>
            <rFont val="Arial"/>
            <family val="2"/>
          </rPr>
          <t>2018 Note 5 - Debt. 10K p55</t>
        </r>
      </text>
    </comment>
    <comment ref="F145" authorId="0" shapeId="0" xr:uid="{00000000-0006-0000-0700-00000B000000}">
      <text>
        <r>
          <rPr>
            <sz val="10"/>
            <rFont val="Arial"/>
            <family val="2"/>
          </rPr>
          <t>2018 Note 5 - Debt. 10K p55</t>
        </r>
      </text>
    </comment>
    <comment ref="C151" authorId="0" shapeId="0" xr:uid="{00000000-0006-0000-0700-000005000000}">
      <text>
        <r>
          <rPr>
            <sz val="10"/>
            <rFont val="Arial"/>
            <family val="2"/>
          </rPr>
          <t xml:space="preserve">We estimate the historical interest rate (though not explicitly disclosed by Apple). </t>
        </r>
      </text>
    </comment>
    <comment ref="C152" authorId="0" shapeId="0" xr:uid="{00000000-0006-0000-0700-000006000000}">
      <text>
        <r>
          <rPr>
            <sz val="10"/>
            <rFont val="Arial"/>
            <family val="2"/>
          </rPr>
          <t>Although Apple doesn't disclose interest expense specifically, it does disclose the interest rate on commercial paper which enables us to back into interest expense for LTD</t>
        </r>
      </text>
    </comment>
    <comment ref="D155" authorId="0" shapeId="0" xr:uid="{00000000-0006-0000-0700-000008000000}">
      <text>
        <r>
          <rPr>
            <sz val="10"/>
            <rFont val="Arial"/>
            <family val="2"/>
          </rPr>
          <t>2018 p.27 in the 'Other Income/(Expense), Net' section.</t>
        </r>
      </text>
    </comment>
    <comment ref="E155" authorId="0" shapeId="0" xr:uid="{00000000-0006-0000-0700-00000A000000}">
      <text>
        <r>
          <rPr>
            <sz val="10"/>
            <rFont val="Arial"/>
            <family val="2"/>
          </rPr>
          <t>2018 p.27 in the 'Other Income/(Expense), Net' section.</t>
        </r>
      </text>
    </comment>
    <comment ref="F155" authorId="0" shapeId="0" xr:uid="{00000000-0006-0000-0700-00000C000000}">
      <text>
        <r>
          <rPr>
            <sz val="10"/>
            <rFont val="Arial"/>
            <family val="2"/>
          </rPr>
          <t>2018 p.27 in the 'Other Income/(Expense), Net' section.</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11" authorId="0" shapeId="0" xr:uid="{00000000-0006-0000-0800-000007000000}">
      <text>
        <r>
          <rPr>
            <sz val="10"/>
            <rFont val="Arial"/>
            <family val="2"/>
          </rPr>
          <t>Front cover of Apple 2018 10K</t>
        </r>
      </text>
    </comment>
    <comment ref="C48" authorId="0" shapeId="0" xr:uid="{00000000-0006-0000-0800-000001000000}">
      <text>
        <r>
          <rPr>
            <sz val="10"/>
            <rFont val="Arial"/>
            <family val="2"/>
          </rPr>
          <t>Includes vendor non-trade receivables</t>
        </r>
      </text>
    </comment>
    <comment ref="C50" authorId="0" shapeId="0" xr:uid="{00000000-0006-0000-0800-000002000000}">
      <text>
        <r>
          <rPr>
            <sz val="10"/>
            <rFont val="Arial"/>
            <family val="2"/>
          </rPr>
          <t>AAPL started aggregating goodwill, intangible assets and other non current assets into one line item in 2018, with no footnote breakout of the individual line items. 10Ks prior to 2018 did have a breakout.</t>
        </r>
      </text>
    </comment>
    <comment ref="M101" authorId="0" shapeId="0" xr:uid="{00000000-0006-0000-0800-00000D000000}">
      <text>
        <r>
          <rPr>
            <sz val="10"/>
            <rFont val="Arial"/>
            <family val="2"/>
          </rPr>
          <t>WSP estimate</t>
        </r>
      </text>
    </comment>
    <comment ref="C117" authorId="0" shapeId="0" xr:uid="{00000000-0006-0000-0800-000003000000}">
      <text>
        <r>
          <rPr>
            <sz val="10"/>
            <rFont val="Arial"/>
            <family val="2"/>
          </rPr>
          <t>Statement of shareholders equity schedule, p.41 Apple 2018 10K</t>
        </r>
      </text>
    </comment>
    <comment ref="C118" authorId="0" shapeId="0" xr:uid="{00000000-0006-0000-0800-000004000000}">
      <text>
        <r>
          <rPr>
            <sz val="10"/>
            <rFont val="Arial"/>
            <family val="2"/>
          </rPr>
          <t>Statement of shareholders equity schedule, p.41 Apple 2018 10K</t>
        </r>
      </text>
    </comment>
    <comment ref="E145" authorId="0" shapeId="0" xr:uid="{00000000-0006-0000-0800-000009000000}">
      <text>
        <r>
          <rPr>
            <sz val="10"/>
            <rFont val="Arial"/>
            <family val="2"/>
          </rPr>
          <t>2018 Note 5 - Debt. 10K p55</t>
        </r>
      </text>
    </comment>
    <comment ref="F145" authorId="0" shapeId="0" xr:uid="{00000000-0006-0000-0800-00000B000000}">
      <text>
        <r>
          <rPr>
            <sz val="10"/>
            <rFont val="Arial"/>
            <family val="2"/>
          </rPr>
          <t>2018 Note 5 - Debt. 10K p55</t>
        </r>
      </text>
    </comment>
    <comment ref="C151" authorId="0" shapeId="0" xr:uid="{00000000-0006-0000-0800-000005000000}">
      <text>
        <r>
          <rPr>
            <sz val="10"/>
            <rFont val="Arial"/>
            <family val="2"/>
          </rPr>
          <t xml:space="preserve">We estimate the historical interest rate (though not explicitly disclosed by Apple). </t>
        </r>
      </text>
    </comment>
    <comment ref="C152" authorId="0" shapeId="0" xr:uid="{00000000-0006-0000-0800-000006000000}">
      <text>
        <r>
          <rPr>
            <sz val="10"/>
            <rFont val="Arial"/>
            <family val="2"/>
          </rPr>
          <t>Although Apple doesn't disclose interest expense specifically, it does disclose the interest rate on commercial paper which enables us to back into interest expense for LTD</t>
        </r>
      </text>
    </comment>
    <comment ref="D155" authorId="0" shapeId="0" xr:uid="{00000000-0006-0000-0800-000008000000}">
      <text>
        <r>
          <rPr>
            <sz val="10"/>
            <rFont val="Arial"/>
            <family val="2"/>
          </rPr>
          <t>2018 p.27 in the 'Other Income/(Expense), Net' section.</t>
        </r>
      </text>
    </comment>
    <comment ref="E155" authorId="0" shapeId="0" xr:uid="{00000000-0006-0000-0800-00000A000000}">
      <text>
        <r>
          <rPr>
            <sz val="10"/>
            <rFont val="Arial"/>
            <family val="2"/>
          </rPr>
          <t>2018 p.27 in the 'Other Income/(Expense), Net' section.</t>
        </r>
      </text>
    </comment>
    <comment ref="F155" authorId="0" shapeId="0" xr:uid="{00000000-0006-0000-0800-00000C000000}">
      <text>
        <r>
          <rPr>
            <sz val="10"/>
            <rFont val="Arial"/>
            <family val="2"/>
          </rPr>
          <t>2018 p.27 in the 'Other Income/(Expense), Net' section.</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11" authorId="0" shapeId="0" xr:uid="{00000000-0006-0000-0900-000009000000}">
      <text>
        <r>
          <rPr>
            <sz val="10"/>
            <rFont val="Arial"/>
            <family val="2"/>
          </rPr>
          <t>Front cover of Apple 2018 10K</t>
        </r>
      </text>
    </comment>
    <comment ref="C49" authorId="0" shapeId="0" xr:uid="{00000000-0006-0000-0900-000001000000}">
      <text>
        <r>
          <rPr>
            <sz val="10"/>
            <rFont val="Arial"/>
            <family val="2"/>
          </rPr>
          <t>Includes vendor non-trade receivables</t>
        </r>
      </text>
    </comment>
    <comment ref="C51" authorId="0" shapeId="0" xr:uid="{00000000-0006-0000-0900-000002000000}">
      <text>
        <r>
          <rPr>
            <sz val="10"/>
            <rFont val="Arial"/>
            <family val="2"/>
          </rPr>
          <t>AAPL started aggregating goodwill, intangible assets and other non current assets into one line item in 2018, with no footnote breakout of the individual line items. 10Ks prior to 2018 did have a breakout.</t>
        </r>
      </text>
    </comment>
    <comment ref="M102" authorId="0" shapeId="0" xr:uid="{00000000-0006-0000-0900-000010000000}">
      <text>
        <r>
          <rPr>
            <sz val="10"/>
            <rFont val="Arial"/>
            <family val="2"/>
          </rPr>
          <t>WSP estimate</t>
        </r>
      </text>
    </comment>
    <comment ref="C118" authorId="0" shapeId="0" xr:uid="{00000000-0006-0000-0900-000003000000}">
      <text>
        <r>
          <rPr>
            <sz val="10"/>
            <rFont val="Arial"/>
            <family val="2"/>
          </rPr>
          <t>Statement of shareholders equity schedule, p.41 Apple 2018 10K</t>
        </r>
      </text>
    </comment>
    <comment ref="C119" authorId="0" shapeId="0" xr:uid="{00000000-0006-0000-0900-000004000000}">
      <text>
        <r>
          <rPr>
            <sz val="10"/>
            <rFont val="Arial"/>
            <family val="2"/>
          </rPr>
          <t>Statement of shareholders equity schedule, p.41 Apple 2018 10K</t>
        </r>
      </text>
    </comment>
    <comment ref="E146" authorId="0" shapeId="0" xr:uid="{00000000-0006-0000-0900-00000B000000}">
      <text>
        <r>
          <rPr>
            <sz val="10"/>
            <rFont val="Arial"/>
            <family val="2"/>
          </rPr>
          <t>2018 Note 5 - Debt. 10K p55</t>
        </r>
      </text>
    </comment>
    <comment ref="F146" authorId="0" shapeId="0" xr:uid="{00000000-0006-0000-0900-00000D000000}">
      <text>
        <r>
          <rPr>
            <sz val="10"/>
            <rFont val="Arial"/>
            <family val="2"/>
          </rPr>
          <t>2018 Note 5 - Debt. 10K p55</t>
        </r>
      </text>
    </comment>
    <comment ref="C152" authorId="0" shapeId="0" xr:uid="{00000000-0006-0000-0900-000005000000}">
      <text>
        <r>
          <rPr>
            <sz val="10"/>
            <rFont val="Arial"/>
            <family val="2"/>
          </rPr>
          <t xml:space="preserve">We estimate the historical interest rate (though not explicitly disclosed by Apple). </t>
        </r>
      </text>
    </comment>
    <comment ref="C153" authorId="0" shapeId="0" xr:uid="{00000000-0006-0000-0900-000006000000}">
      <text>
        <r>
          <rPr>
            <sz val="10"/>
            <rFont val="Arial"/>
            <family val="2"/>
          </rPr>
          <t>Although Apple doesn't disclose interest expense specifically, it does disclose the interest rate on commercial paper which enables us to back into interest expense for LTD</t>
        </r>
      </text>
    </comment>
    <comment ref="D156" authorId="0" shapeId="0" xr:uid="{00000000-0006-0000-0900-00000A000000}">
      <text>
        <r>
          <rPr>
            <sz val="10"/>
            <rFont val="Arial"/>
            <family val="2"/>
          </rPr>
          <t>2018 p.27 in the 'Other Income/(Expense), Net' section.</t>
        </r>
      </text>
    </comment>
    <comment ref="E156" authorId="0" shapeId="0" xr:uid="{00000000-0006-0000-0900-00000C000000}">
      <text>
        <r>
          <rPr>
            <sz val="10"/>
            <rFont val="Arial"/>
            <family val="2"/>
          </rPr>
          <t>2018 p.27 in the 'Other Income/(Expense), Net' section.</t>
        </r>
      </text>
    </comment>
    <comment ref="F156" authorId="0" shapeId="0" xr:uid="{00000000-0006-0000-0900-00000E000000}">
      <text>
        <r>
          <rPr>
            <sz val="10"/>
            <rFont val="Arial"/>
            <family val="2"/>
          </rPr>
          <t>2018 p.27 in the 'Other Income/(Expense), Net' section.</t>
        </r>
      </text>
    </comment>
    <comment ref="C205" authorId="0" shapeId="0" xr:uid="{00000000-0006-0000-0900-000007000000}">
      <text>
        <r>
          <rPr>
            <sz val="10"/>
            <rFont val="Arial"/>
            <family val="2"/>
          </rPr>
          <t>We straight line last actual year's dilutive securities (calculated as diluted - basic shares) and add this number to the basic share count to arrive at diluted shares</t>
        </r>
      </text>
    </comment>
    <comment ref="C209" authorId="0" shapeId="0" xr:uid="{00000000-0006-0000-0900-000008000000}">
      <text>
        <r>
          <rPr>
            <sz val="10"/>
            <rFont val="Arial"/>
            <family val="2"/>
          </rPr>
          <t>Although we are not forecasting explicit share issuances, stock based compensation will eventually increase the basic share count. We need to account for this somehow, otherwise we will be undercounting future basic shares. For simplicty, we are using the SBC expense as a proxy for the current value of common stock issuance.</t>
        </r>
      </text>
    </comment>
    <comment ref="G210" authorId="0" shapeId="0" xr:uid="{00000000-0006-0000-0900-00000F000000}">
      <text>
        <r>
          <rPr>
            <sz val="10"/>
            <rFont val="Arial"/>
            <family val="2"/>
          </rPr>
          <t>WSP assumption</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11" authorId="0" shapeId="0" xr:uid="{00000000-0006-0000-0A00-00000B000000}">
      <text>
        <r>
          <rPr>
            <sz val="10"/>
            <rFont val="Arial"/>
            <family val="2"/>
          </rPr>
          <t>Front cover of Apple 2018 10K</t>
        </r>
      </text>
    </comment>
    <comment ref="C49" authorId="0" shapeId="0" xr:uid="{00000000-0006-0000-0A00-000001000000}">
      <text>
        <r>
          <rPr>
            <sz val="10"/>
            <rFont val="Arial"/>
            <family val="2"/>
          </rPr>
          <t>Includes vendor non-trade receivables</t>
        </r>
      </text>
    </comment>
    <comment ref="C51" authorId="0" shapeId="0" xr:uid="{00000000-0006-0000-0A00-000002000000}">
      <text>
        <r>
          <rPr>
            <sz val="10"/>
            <rFont val="Arial"/>
            <family val="2"/>
          </rPr>
          <t>AAPL started aggregating goodwill, intangible assets and other non current assets into one line item in 2018, with no footnote breakout of the individual line items. 10Ks prior to 2018 did have a breakout.</t>
        </r>
      </text>
    </comment>
    <comment ref="M102" authorId="0" shapeId="0" xr:uid="{00000000-0006-0000-0A00-000012000000}">
      <text>
        <r>
          <rPr>
            <sz val="10"/>
            <rFont val="Arial"/>
            <family val="2"/>
          </rPr>
          <t>WSP estimate</t>
        </r>
      </text>
    </comment>
    <comment ref="C118" authorId="0" shapeId="0" xr:uid="{00000000-0006-0000-0A00-000003000000}">
      <text>
        <r>
          <rPr>
            <sz val="10"/>
            <rFont val="Arial"/>
            <family val="2"/>
          </rPr>
          <t>Statement of shareholders equity schedule, p.41 Apple 2018 10K</t>
        </r>
      </text>
    </comment>
    <comment ref="C119" authorId="0" shapeId="0" xr:uid="{00000000-0006-0000-0A00-000004000000}">
      <text>
        <r>
          <rPr>
            <sz val="10"/>
            <rFont val="Arial"/>
            <family val="2"/>
          </rPr>
          <t>Statement of shareholders equity schedule, p.41 Apple 2018 10K</t>
        </r>
      </text>
    </comment>
    <comment ref="E146" authorId="0" shapeId="0" xr:uid="{00000000-0006-0000-0A00-00000D000000}">
      <text>
        <r>
          <rPr>
            <sz val="10"/>
            <rFont val="Arial"/>
            <family val="2"/>
          </rPr>
          <t>2018 Note 5 - Debt. 10K p55</t>
        </r>
      </text>
    </comment>
    <comment ref="F146" authorId="0" shapeId="0" xr:uid="{00000000-0006-0000-0A00-00000F000000}">
      <text>
        <r>
          <rPr>
            <sz val="10"/>
            <rFont val="Arial"/>
            <family val="2"/>
          </rPr>
          <t>2018 Note 5 - Debt. 10K p55</t>
        </r>
      </text>
    </comment>
    <comment ref="C152" authorId="0" shapeId="0" xr:uid="{00000000-0006-0000-0A00-000005000000}">
      <text>
        <r>
          <rPr>
            <sz val="10"/>
            <rFont val="Arial"/>
            <family val="2"/>
          </rPr>
          <t xml:space="preserve">We estimate the historical interest rate (though not explicitly disclosed by Apple). </t>
        </r>
      </text>
    </comment>
    <comment ref="C153" authorId="0" shapeId="0" xr:uid="{00000000-0006-0000-0A00-000006000000}">
      <text>
        <r>
          <rPr>
            <sz val="10"/>
            <rFont val="Arial"/>
            <family val="2"/>
          </rPr>
          <t>Although Apple doesn't disclose interest expense specifically, it does disclose the interest rate on commercial paper which enables us to back into interest expense for LTD</t>
        </r>
      </text>
    </comment>
    <comment ref="D156" authorId="0" shapeId="0" xr:uid="{00000000-0006-0000-0A00-00000C000000}">
      <text>
        <r>
          <rPr>
            <sz val="10"/>
            <rFont val="Arial"/>
            <family val="2"/>
          </rPr>
          <t>2018 p.27 in the 'Other Income/(Expense), Net' section.</t>
        </r>
      </text>
    </comment>
    <comment ref="E156" authorId="0" shapeId="0" xr:uid="{00000000-0006-0000-0A00-00000E000000}">
      <text>
        <r>
          <rPr>
            <sz val="10"/>
            <rFont val="Arial"/>
            <family val="2"/>
          </rPr>
          <t>2018 p.27 in the 'Other Income/(Expense), Net' section.</t>
        </r>
      </text>
    </comment>
    <comment ref="F156" authorId="0" shapeId="0" xr:uid="{00000000-0006-0000-0A00-000010000000}">
      <text>
        <r>
          <rPr>
            <sz val="10"/>
            <rFont val="Arial"/>
            <family val="2"/>
          </rPr>
          <t>2018 p.27 in the 'Other Income/(Expense), Net' section.</t>
        </r>
      </text>
    </comment>
    <comment ref="M202" authorId="0" shapeId="0" xr:uid="{00000000-0006-0000-0A00-000013000000}">
      <text>
        <r>
          <rPr>
            <sz val="10"/>
            <rFont val="Arial"/>
            <family val="2"/>
          </rPr>
          <t xml:space="preserve">Matan Feldman:
Because the historical share count reflects AVERAGE share count - not LATEST - a more precise alternative approach is to start with last period's EOP basic shares (see schedule below 'Alternative method for calculating weighted average basic shares'). </t>
        </r>
      </text>
    </comment>
    <comment ref="C205" authorId="0" shapeId="0" xr:uid="{00000000-0006-0000-0A00-000007000000}">
      <text>
        <r>
          <rPr>
            <sz val="10"/>
            <rFont val="Arial"/>
            <family val="2"/>
          </rPr>
          <t>We straight line last actual year's dilutive securities (calculated as diluted - basic shares) and add this number to the basic share count to arrive at diluted shares</t>
        </r>
      </text>
    </comment>
    <comment ref="C209" authorId="0" shapeId="0" xr:uid="{00000000-0006-0000-0A00-000008000000}">
      <text>
        <r>
          <rPr>
            <sz val="10"/>
            <rFont val="Arial"/>
            <family val="2"/>
          </rPr>
          <t>Although we are not forecasting explicit share issuances, stock based compensation will eventually increase the basic share count. We need to account for this somehow, otherwise we will be undercounting future basic shares. For simplicty, we are using the SBC expense as a proxy for the current value of common stock issuance.</t>
        </r>
      </text>
    </comment>
    <comment ref="G210" authorId="0" shapeId="0" xr:uid="{00000000-0006-0000-0A00-000011000000}">
      <text>
        <r>
          <rPr>
            <sz val="10"/>
            <rFont val="Arial"/>
            <family val="2"/>
          </rPr>
          <t>WSP assumption</t>
        </r>
      </text>
    </comment>
    <comment ref="M211" authorId="0" shapeId="0" xr:uid="{00000000-0006-0000-0A00-000014000000}">
      <text>
        <r>
          <rPr>
            <sz val="10"/>
            <rFont val="Arial"/>
            <family val="2"/>
          </rPr>
          <t>Matan Feldman:
An alternative approach is to assume share price grows at same rate as net income growth rate (see 'Alternative method for estimating share price growth' section below)</t>
        </r>
      </text>
    </comment>
    <comment ref="C212" authorId="0" shapeId="0" xr:uid="{00000000-0006-0000-0A00-000009000000}">
      <text>
        <r>
          <rPr>
            <sz val="10"/>
            <rFont val="Arial"/>
            <family val="2"/>
          </rPr>
          <t xml:space="preserve">Matan Feldman:
This approach is more precise because to </t>
        </r>
      </text>
    </comment>
    <comment ref="C217" authorId="0" shapeId="0" xr:uid="{00000000-0006-0000-0A00-00000A000000}">
      <text>
        <r>
          <rPr>
            <sz val="10"/>
            <rFont val="Arial"/>
            <family val="2"/>
          </rPr>
          <t xml:space="preserve">Matan Feldman:
This approach is more precise because to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11" authorId="0" shapeId="0" xr:uid="{00000000-0006-0000-0B00-000001000000}">
      <text>
        <r>
          <rPr>
            <sz val="10"/>
            <rFont val="Arial"/>
            <family val="2"/>
          </rPr>
          <t xml:space="preserve"> Digital Content and Services, AppleCare, Apple Pay, licensing and other services. </t>
        </r>
      </text>
    </comment>
    <comment ref="C12" authorId="0" shapeId="0" xr:uid="{00000000-0006-0000-0B00-000002000000}">
      <text>
        <r>
          <rPr>
            <sz val="10"/>
            <rFont val="Arial"/>
            <family val="2"/>
          </rPr>
          <t xml:space="preserve"> AirPods, Apple TV, Apple Watch, Beats products, HomePod, iPod touch and other Apple-branded and third-party accessories.</t>
        </r>
      </text>
    </comment>
    <comment ref="C40" authorId="0" shapeId="0" xr:uid="{00000000-0006-0000-0B00-000003000000}">
      <text>
        <r>
          <rPr>
            <sz val="10"/>
            <rFont val="Arial"/>
            <family val="2"/>
          </rPr>
          <t xml:space="preserve"> Digital Content and Services, AppleCare, Apple Pay, licensing and other services. </t>
        </r>
      </text>
    </comment>
    <comment ref="C41" authorId="0" shapeId="0" xr:uid="{00000000-0006-0000-0B00-000004000000}">
      <text>
        <r>
          <rPr>
            <sz val="10"/>
            <rFont val="Arial"/>
            <family val="2"/>
          </rPr>
          <t xml:space="preserve"> AirPods, Apple TV, Apple Watch, Beats products, HomePod, iPod touch and other Apple-branded and third-party accessories.</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11" authorId="0" shapeId="0" xr:uid="{00000000-0006-0000-0C00-000001000000}">
      <text>
        <r>
          <rPr>
            <sz val="10"/>
            <rFont val="Arial"/>
            <family val="2"/>
          </rPr>
          <t xml:space="preserve"> Digital Content and Services, AppleCare, Apple Pay, licensing and other services. </t>
        </r>
      </text>
    </comment>
    <comment ref="C12" authorId="0" shapeId="0" xr:uid="{00000000-0006-0000-0C00-000002000000}">
      <text>
        <r>
          <rPr>
            <sz val="10"/>
            <rFont val="Arial"/>
            <family val="2"/>
          </rPr>
          <t xml:space="preserve"> AirPods, Apple TV, Apple Watch, Beats products, HomePod, iPod touch and other Apple-branded and third-party accessories.</t>
        </r>
      </text>
    </comment>
    <comment ref="C40" authorId="0" shapeId="0" xr:uid="{00000000-0006-0000-0C00-000003000000}">
      <text>
        <r>
          <rPr>
            <sz val="10"/>
            <rFont val="Arial"/>
            <family val="2"/>
          </rPr>
          <t xml:space="preserve"> Digital Content and Services, AppleCare, Apple Pay, licensing and other services. </t>
        </r>
      </text>
    </comment>
    <comment ref="C41" authorId="0" shapeId="0" xr:uid="{00000000-0006-0000-0C00-000004000000}">
      <text>
        <r>
          <rPr>
            <sz val="10"/>
            <rFont val="Arial"/>
            <family val="2"/>
          </rPr>
          <t xml:space="preserve"> AirPods, Apple TV, Apple Watch, Beats products, HomePod, iPod touch and other Apple-branded and third-party accessories.</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11" authorId="0" shapeId="0" xr:uid="{00000000-0006-0000-0D00-000001000000}">
      <text>
        <r>
          <rPr>
            <sz val="10"/>
            <rFont val="Arial"/>
            <family val="2"/>
          </rPr>
          <t xml:space="preserve"> Digital Content and Services, AppleCare, Apple Pay, licensing and other services. </t>
        </r>
      </text>
    </comment>
    <comment ref="C12" authorId="0" shapeId="0" xr:uid="{00000000-0006-0000-0D00-000002000000}">
      <text>
        <r>
          <rPr>
            <sz val="10"/>
            <rFont val="Arial"/>
            <family val="2"/>
          </rPr>
          <t xml:space="preserve"> AirPods, Apple TV, Apple Watch, Beats products, HomePod, iPod touch and other Apple-branded and third-party accessories.</t>
        </r>
      </text>
    </comment>
    <comment ref="C40" authorId="0" shapeId="0" xr:uid="{00000000-0006-0000-0D00-000003000000}">
      <text>
        <r>
          <rPr>
            <sz val="10"/>
            <rFont val="Arial"/>
            <family val="2"/>
          </rPr>
          <t xml:space="preserve"> Digital Content and Services, AppleCare, Apple Pay, licensing and other services. </t>
        </r>
      </text>
    </comment>
    <comment ref="C41" authorId="0" shapeId="0" xr:uid="{00000000-0006-0000-0D00-000004000000}">
      <text>
        <r>
          <rPr>
            <sz val="10"/>
            <rFont val="Arial"/>
            <family val="2"/>
          </rPr>
          <t xml:space="preserve"> AirPods, Apple TV, Apple Watch, Beats products, HomePod, iPod touch and other Apple-branded and third-party accessories.</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11" authorId="0" shapeId="0" xr:uid="{00000000-0006-0000-0E00-000009000000}">
      <text>
        <r>
          <rPr>
            <sz val="10"/>
            <rFont val="Arial"/>
            <family val="2"/>
          </rPr>
          <t>Front cover of Apple 2018 10K</t>
        </r>
      </text>
    </comment>
    <comment ref="C49" authorId="0" shapeId="0" xr:uid="{00000000-0006-0000-0E00-000001000000}">
      <text>
        <r>
          <rPr>
            <sz val="10"/>
            <rFont val="Arial"/>
            <family val="2"/>
          </rPr>
          <t>Includes vendor non-trade receivables</t>
        </r>
      </text>
    </comment>
    <comment ref="C51" authorId="0" shapeId="0" xr:uid="{00000000-0006-0000-0E00-000002000000}">
      <text>
        <r>
          <rPr>
            <sz val="10"/>
            <rFont val="Arial"/>
            <family val="2"/>
          </rPr>
          <t>AAPL started aggregating goodwill, intangible assets and other non current assets into one line item in 2018, with no footnote breakout of the individual line items. 10Ks prior to 2018 did have a breakout.</t>
        </r>
      </text>
    </comment>
    <comment ref="M102" authorId="0" shapeId="0" xr:uid="{00000000-0006-0000-0E00-000010000000}">
      <text>
        <r>
          <rPr>
            <sz val="10"/>
            <rFont val="Arial"/>
            <family val="2"/>
          </rPr>
          <t>WSP estimate</t>
        </r>
      </text>
    </comment>
    <comment ref="C118" authorId="0" shapeId="0" xr:uid="{00000000-0006-0000-0E00-000003000000}">
      <text>
        <r>
          <rPr>
            <sz val="10"/>
            <rFont val="Arial"/>
            <family val="2"/>
          </rPr>
          <t>Statement of shareholders equity schedule, p.41 Apple 2018 10K</t>
        </r>
      </text>
    </comment>
    <comment ref="C119" authorId="0" shapeId="0" xr:uid="{00000000-0006-0000-0E00-000004000000}">
      <text>
        <r>
          <rPr>
            <sz val="10"/>
            <rFont val="Arial"/>
            <family val="2"/>
          </rPr>
          <t>Statement of shareholders equity schedule, p.41 Apple 2018 10K</t>
        </r>
      </text>
    </comment>
    <comment ref="E146" authorId="0" shapeId="0" xr:uid="{00000000-0006-0000-0E00-00000B000000}">
      <text>
        <r>
          <rPr>
            <sz val="10"/>
            <rFont val="Arial"/>
            <family val="2"/>
          </rPr>
          <t>2018 Note 5 - Debt. 10K p55</t>
        </r>
      </text>
    </comment>
    <comment ref="F146" authorId="0" shapeId="0" xr:uid="{00000000-0006-0000-0E00-00000D000000}">
      <text>
        <r>
          <rPr>
            <sz val="10"/>
            <rFont val="Arial"/>
            <family val="2"/>
          </rPr>
          <t>2018 Note 5 - Debt. 10K p55</t>
        </r>
      </text>
    </comment>
    <comment ref="C152" authorId="0" shapeId="0" xr:uid="{00000000-0006-0000-0E00-000005000000}">
      <text>
        <r>
          <rPr>
            <sz val="10"/>
            <rFont val="Arial"/>
            <family val="2"/>
          </rPr>
          <t xml:space="preserve">We estimate the historical interest rate (though not explicitly disclosed by Apple). </t>
        </r>
      </text>
    </comment>
    <comment ref="C153" authorId="0" shapeId="0" xr:uid="{00000000-0006-0000-0E00-000006000000}">
      <text>
        <r>
          <rPr>
            <sz val="10"/>
            <rFont val="Arial"/>
            <family val="2"/>
          </rPr>
          <t>Although Apple doesn't disclose interest expense specifically, it does disclose the interest rate on commercial paper which enables us to back into interest expense for LTD</t>
        </r>
      </text>
    </comment>
    <comment ref="D156" authorId="0" shapeId="0" xr:uid="{00000000-0006-0000-0E00-00000A000000}">
      <text>
        <r>
          <rPr>
            <sz val="10"/>
            <rFont val="Arial"/>
            <family val="2"/>
          </rPr>
          <t>2018 p.27 in the 'Other Income/(Expense), Net' section.</t>
        </r>
      </text>
    </comment>
    <comment ref="E156" authorId="0" shapeId="0" xr:uid="{00000000-0006-0000-0E00-00000C000000}">
      <text>
        <r>
          <rPr>
            <sz val="10"/>
            <rFont val="Arial"/>
            <family val="2"/>
          </rPr>
          <t>2018 p.27 in the 'Other Income/(Expense), Net' section.</t>
        </r>
      </text>
    </comment>
    <comment ref="F156" authorId="0" shapeId="0" xr:uid="{00000000-0006-0000-0E00-00000E000000}">
      <text>
        <r>
          <rPr>
            <sz val="10"/>
            <rFont val="Arial"/>
            <family val="2"/>
          </rPr>
          <t>2018 p.27 in the 'Other Income/(Expense), Net' section.</t>
        </r>
      </text>
    </comment>
    <comment ref="C210" authorId="0" shapeId="0" xr:uid="{00000000-0006-0000-0E00-000007000000}">
      <text>
        <r>
          <rPr>
            <sz val="10"/>
            <rFont val="Arial"/>
            <family val="2"/>
          </rPr>
          <t>We straight line last actual year's dilutive securities (calculated as diluted - basic shares) and add this number to the basic share count to arrive at diluted shares</t>
        </r>
      </text>
    </comment>
    <comment ref="C214" authorId="0" shapeId="0" xr:uid="{00000000-0006-0000-0E00-000008000000}">
      <text>
        <r>
          <rPr>
            <sz val="10"/>
            <rFont val="Arial"/>
            <family val="2"/>
          </rPr>
          <t>Although we are not forecasting explicit share issuances, stock based compensation will eventually increase the basic share count. We need to account for this somehow, otherwise we will be undercounting future basic shares. For simplicty, we are using the SBC expense as a proxy for the current value of common stock issuance.</t>
        </r>
      </text>
    </comment>
    <comment ref="G215" authorId="0" shapeId="0" xr:uid="{00000000-0006-0000-0E00-00000F000000}">
      <text>
        <r>
          <rPr>
            <sz val="10"/>
            <rFont val="Arial"/>
            <family val="2"/>
          </rPr>
          <t>WSP assumption</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11" authorId="0" shapeId="0" xr:uid="{00000000-0006-0000-0F00-00000A000000}">
      <text>
        <r>
          <rPr>
            <sz val="10"/>
            <rFont val="Arial"/>
            <family val="2"/>
          </rPr>
          <t>Front cover of Apple 2018 10K</t>
        </r>
      </text>
    </comment>
    <comment ref="C52" authorId="0" shapeId="0" xr:uid="{00000000-0006-0000-0F00-000001000000}">
      <text>
        <r>
          <rPr>
            <sz val="10"/>
            <rFont val="Arial"/>
            <family val="2"/>
          </rPr>
          <t>AAPL started aggregating goodwill, intangible assets and other non current assets into one line item in 2018, with no footnote breakout of the individual line items. 10Ks prior to 2018 did have a breakout.</t>
        </r>
      </text>
    </comment>
    <comment ref="C117" authorId="0" shapeId="0" xr:uid="{00000000-0006-0000-0F00-000002000000}">
      <text>
        <r>
          <rPr>
            <sz val="10"/>
            <rFont val="Arial"/>
            <family val="2"/>
          </rPr>
          <t>Matan Feldman:
This ties the growth in inventory to the growth in cost of sales expenses</t>
        </r>
      </text>
    </comment>
    <comment ref="C158" authorId="0" shapeId="0" xr:uid="{00000000-0006-0000-0F00-000003000000}">
      <text>
        <r>
          <rPr>
            <sz val="10"/>
            <rFont val="Arial"/>
            <family val="2"/>
          </rPr>
          <t>Matan Feldman:
For smoothing</t>
        </r>
      </text>
    </comment>
    <comment ref="E161" authorId="0" shapeId="0" xr:uid="{00000000-0006-0000-0F00-00000C000000}">
      <text>
        <r>
          <rPr>
            <sz val="10"/>
            <rFont val="Arial"/>
            <family val="2"/>
          </rPr>
          <t>Matan Feldman:
1 = Assumes full year depreciation from current period capex
0.5 = Assumes half year depreciation from current year capex</t>
        </r>
      </text>
    </comment>
    <comment ref="C182" authorId="0" shapeId="0" xr:uid="{00000000-0006-0000-0F00-000004000000}">
      <text>
        <r>
          <rPr>
            <sz val="10"/>
            <rFont val="Arial"/>
            <family val="2"/>
          </rPr>
          <t>Statement of shareholders equity schedule, p.41 Apple 2018 10K</t>
        </r>
      </text>
    </comment>
    <comment ref="C183" authorId="0" shapeId="0" xr:uid="{00000000-0006-0000-0F00-000005000000}">
      <text>
        <r>
          <rPr>
            <sz val="10"/>
            <rFont val="Arial"/>
            <family val="2"/>
          </rPr>
          <t>Statement of shareholders equity schedule, p.41 Apple 2018 10K</t>
        </r>
      </text>
    </comment>
    <comment ref="E212" authorId="0" shapeId="0" xr:uid="{00000000-0006-0000-0F00-00000D000000}">
      <text>
        <r>
          <rPr>
            <sz val="10"/>
            <rFont val="Arial"/>
            <family val="2"/>
          </rPr>
          <t>2018 Note 5 - Debt. 10K p55</t>
        </r>
      </text>
    </comment>
    <comment ref="F212" authorId="0" shapeId="0" xr:uid="{00000000-0006-0000-0F00-00000F000000}">
      <text>
        <r>
          <rPr>
            <sz val="10"/>
            <rFont val="Arial"/>
            <family val="2"/>
          </rPr>
          <t>2018 Note 5 - Debt. 10K p55</t>
        </r>
      </text>
    </comment>
    <comment ref="C218" authorId="0" shapeId="0" xr:uid="{00000000-0006-0000-0F00-000006000000}">
      <text>
        <r>
          <rPr>
            <sz val="10"/>
            <rFont val="Arial"/>
            <family val="2"/>
          </rPr>
          <t xml:space="preserve">We estimate the historical interest rate (though not explicitly disclosed by Apple). </t>
        </r>
      </text>
    </comment>
    <comment ref="C219" authorId="0" shapeId="0" xr:uid="{00000000-0006-0000-0F00-000007000000}">
      <text>
        <r>
          <rPr>
            <sz val="10"/>
            <rFont val="Arial"/>
            <family val="2"/>
          </rPr>
          <t>Although Apple doesn't disclose interest expense specifically, it does disclose the interest rate on commercial paper which enables us to back into interest expense for LTD</t>
        </r>
      </text>
    </comment>
    <comment ref="D222" authorId="0" shapeId="0" xr:uid="{00000000-0006-0000-0F00-00000B000000}">
      <text>
        <r>
          <rPr>
            <sz val="10"/>
            <rFont val="Arial"/>
            <family val="2"/>
          </rPr>
          <t>2018 p.27 in the 'Other Income/(Expense), Net' section.</t>
        </r>
      </text>
    </comment>
    <comment ref="E222" authorId="0" shapeId="0" xr:uid="{00000000-0006-0000-0F00-00000E000000}">
      <text>
        <r>
          <rPr>
            <sz val="10"/>
            <rFont val="Arial"/>
            <family val="2"/>
          </rPr>
          <t>2018 p.27 in the 'Other Income/(Expense), Net' section.</t>
        </r>
      </text>
    </comment>
    <comment ref="F222" authorId="0" shapeId="0" xr:uid="{00000000-0006-0000-0F00-000010000000}">
      <text>
        <r>
          <rPr>
            <sz val="10"/>
            <rFont val="Arial"/>
            <family val="2"/>
          </rPr>
          <t>2018 p.27 in the 'Other Income/(Expense), Net' section.</t>
        </r>
      </text>
    </comment>
    <comment ref="C276" authorId="0" shapeId="0" xr:uid="{00000000-0006-0000-0F00-000008000000}">
      <text>
        <r>
          <rPr>
            <sz val="10"/>
            <rFont val="Arial"/>
            <family val="2"/>
          </rPr>
          <t>We straight line last actual year's dilutive securities (calculated as diluted - basic shares) and add this number to the basic share count to arrive at diluted shares</t>
        </r>
      </text>
    </comment>
    <comment ref="C280" authorId="0" shapeId="0" xr:uid="{00000000-0006-0000-0F00-000009000000}">
      <text>
        <r>
          <rPr>
            <sz val="10"/>
            <rFont val="Arial"/>
            <family val="2"/>
          </rPr>
          <t>Although we are not forecasting explicit share issuances, stock based compensation will eventually increase the basic share count. We need to account for this somehow, otherwise we will be undercounting future basic shares. For simplicty, we are using the SBC expense as a proxy for the current value of common stock issuance.</t>
        </r>
      </text>
    </comment>
    <comment ref="G281" authorId="0" shapeId="0" xr:uid="{00000000-0006-0000-0F00-000011000000}">
      <text>
        <r>
          <rPr>
            <sz val="10"/>
            <rFont val="Arial"/>
            <family val="2"/>
          </rPr>
          <t>WSP assumption</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11" authorId="0" shapeId="0" xr:uid="{00000000-0006-0000-1000-00000A000000}">
      <text>
        <r>
          <rPr>
            <sz val="10"/>
            <rFont val="Arial"/>
            <family val="2"/>
          </rPr>
          <t>Front cover of Apple 2018 10K</t>
        </r>
      </text>
    </comment>
    <comment ref="C52" authorId="0" shapeId="0" xr:uid="{00000000-0006-0000-1000-000001000000}">
      <text>
        <r>
          <rPr>
            <sz val="10"/>
            <rFont val="Arial"/>
            <family val="2"/>
          </rPr>
          <t>AAPL started aggregating goodwill, intangible assets and other non current assets into one line item in 2018, with no footnote breakout of the individual line items. 10Ks prior to 2018 did have a breakout.</t>
        </r>
      </text>
    </comment>
    <comment ref="C117" authorId="0" shapeId="0" xr:uid="{00000000-0006-0000-1000-000002000000}">
      <text>
        <r>
          <rPr>
            <sz val="10"/>
            <rFont val="Arial"/>
            <family val="2"/>
          </rPr>
          <t>Matan Feldman:
This ties the growth in inventory to the growth in cost of sales expenses</t>
        </r>
      </text>
    </comment>
    <comment ref="C158" authorId="0" shapeId="0" xr:uid="{00000000-0006-0000-1000-000003000000}">
      <text>
        <r>
          <rPr>
            <sz val="10"/>
            <rFont val="Arial"/>
            <family val="2"/>
          </rPr>
          <t>Matan Feldman:
For smoothing</t>
        </r>
      </text>
    </comment>
    <comment ref="E161" authorId="0" shapeId="0" xr:uid="{00000000-0006-0000-1000-00000C000000}">
      <text>
        <r>
          <rPr>
            <sz val="10"/>
            <rFont val="Arial"/>
            <family val="2"/>
          </rPr>
          <t>Matan Feldman:
1 = Assumes full year depreciation from current period capex
0.5 = Assumes half year depreciation from current year capex</t>
        </r>
      </text>
    </comment>
    <comment ref="C182" authorId="0" shapeId="0" xr:uid="{00000000-0006-0000-1000-000004000000}">
      <text>
        <r>
          <rPr>
            <sz val="10"/>
            <rFont val="Arial"/>
            <family val="2"/>
          </rPr>
          <t>Statement of shareholders equity schedule, p.41 Apple 2018 10K</t>
        </r>
      </text>
    </comment>
    <comment ref="C183" authorId="0" shapeId="0" xr:uid="{00000000-0006-0000-1000-000005000000}">
      <text>
        <r>
          <rPr>
            <sz val="10"/>
            <rFont val="Arial"/>
            <family val="2"/>
          </rPr>
          <t>Statement of shareholders equity schedule, p.41 Apple 2018 10K</t>
        </r>
      </text>
    </comment>
    <comment ref="E212" authorId="0" shapeId="0" xr:uid="{00000000-0006-0000-1000-00000D000000}">
      <text>
        <r>
          <rPr>
            <sz val="10"/>
            <rFont val="Arial"/>
            <family val="2"/>
          </rPr>
          <t>2018 Note 5 - Debt. 10K p55</t>
        </r>
      </text>
    </comment>
    <comment ref="F212" authorId="0" shapeId="0" xr:uid="{00000000-0006-0000-1000-00000F000000}">
      <text>
        <r>
          <rPr>
            <sz val="10"/>
            <rFont val="Arial"/>
            <family val="2"/>
          </rPr>
          <t>2018 Note 5 - Debt. 10K p55</t>
        </r>
      </text>
    </comment>
    <comment ref="C218" authorId="0" shapeId="0" xr:uid="{00000000-0006-0000-1000-000006000000}">
      <text>
        <r>
          <rPr>
            <sz val="10"/>
            <rFont val="Arial"/>
            <family val="2"/>
          </rPr>
          <t xml:space="preserve">We estimate the historical interest rate (though not explicitly disclosed by Apple). </t>
        </r>
      </text>
    </comment>
    <comment ref="C219" authorId="0" shapeId="0" xr:uid="{00000000-0006-0000-1000-000007000000}">
      <text>
        <r>
          <rPr>
            <sz val="10"/>
            <rFont val="Arial"/>
            <family val="2"/>
          </rPr>
          <t>Although Apple doesn't disclose interest expense specifically, it does disclose the interest rate on commercial paper which enables us to back into interest expense for LTD</t>
        </r>
      </text>
    </comment>
    <comment ref="D222" authorId="0" shapeId="0" xr:uid="{00000000-0006-0000-1000-00000B000000}">
      <text>
        <r>
          <rPr>
            <sz val="10"/>
            <rFont val="Arial"/>
            <family val="2"/>
          </rPr>
          <t>2018 p.27 in the 'Other Income/(Expense), Net' section.</t>
        </r>
      </text>
    </comment>
    <comment ref="E222" authorId="0" shapeId="0" xr:uid="{00000000-0006-0000-1000-00000E000000}">
      <text>
        <r>
          <rPr>
            <sz val="10"/>
            <rFont val="Arial"/>
            <family val="2"/>
          </rPr>
          <t>2018 p.27 in the 'Other Income/(Expense), Net' section.</t>
        </r>
      </text>
    </comment>
    <comment ref="F222" authorId="0" shapeId="0" xr:uid="{00000000-0006-0000-1000-000010000000}">
      <text>
        <r>
          <rPr>
            <sz val="10"/>
            <rFont val="Arial"/>
            <family val="2"/>
          </rPr>
          <t>2018 p.27 in the 'Other Income/(Expense), Net' section.</t>
        </r>
      </text>
    </comment>
    <comment ref="C276" authorId="0" shapeId="0" xr:uid="{00000000-0006-0000-1000-000008000000}">
      <text>
        <r>
          <rPr>
            <sz val="10"/>
            <rFont val="Arial"/>
            <family val="2"/>
          </rPr>
          <t>We straight line last actual year's dilutive securities (calculated as diluted - basic shares) and add this number to the basic share count to arrive at diluted shares</t>
        </r>
      </text>
    </comment>
    <comment ref="C280" authorId="0" shapeId="0" xr:uid="{00000000-0006-0000-1000-000009000000}">
      <text>
        <r>
          <rPr>
            <sz val="10"/>
            <rFont val="Arial"/>
            <family val="2"/>
          </rPr>
          <t>Although we are not forecasting explicit share issuances, stock based compensation will eventually increase the basic share count. We need to account for this somehow, otherwise we will be undercounting future basic shares. For simplicty, we are using the SBC expense as a proxy for the current value of common stock issuance.</t>
        </r>
      </text>
    </comment>
    <comment ref="G281" authorId="0" shapeId="0" xr:uid="{00000000-0006-0000-1000-000011000000}">
      <text>
        <r>
          <rPr>
            <sz val="10"/>
            <rFont val="Arial"/>
            <family val="2"/>
          </rPr>
          <t>WSP assumption</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11" authorId="0" shapeId="0" xr:uid="{00000000-0006-0000-1100-000009000000}">
      <text>
        <r>
          <rPr>
            <sz val="10"/>
            <rFont val="Arial"/>
            <family val="2"/>
          </rPr>
          <t>Front cover of Apple 2018 10K</t>
        </r>
      </text>
    </comment>
    <comment ref="C48" authorId="0" shapeId="0" xr:uid="{00000000-0006-0000-1100-000001000000}">
      <text>
        <r>
          <rPr>
            <sz val="10"/>
            <rFont val="Arial"/>
            <family val="2"/>
          </rPr>
          <t>Includes vendor non-trade receivables</t>
        </r>
      </text>
    </comment>
    <comment ref="C50" authorId="0" shapeId="0" xr:uid="{00000000-0006-0000-1100-000002000000}">
      <text>
        <r>
          <rPr>
            <sz val="10"/>
            <rFont val="Arial"/>
            <family val="2"/>
          </rPr>
          <t>AAPL started aggregating goodwill, intangible assets and other non current assets into one line item in 2018, with no footnote breakout of the individual line items. 10Ks prior to 2018 did have a breakout.</t>
        </r>
      </text>
    </comment>
    <comment ref="N101" authorId="0" shapeId="0" xr:uid="{00000000-0006-0000-1100-000010000000}">
      <text>
        <r>
          <rPr>
            <sz val="10"/>
            <rFont val="Arial"/>
            <family val="2"/>
          </rPr>
          <t>WSP estimate</t>
        </r>
      </text>
    </comment>
    <comment ref="C117" authorId="0" shapeId="0" xr:uid="{00000000-0006-0000-1100-000003000000}">
      <text>
        <r>
          <rPr>
            <sz val="10"/>
            <rFont val="Arial"/>
            <family val="2"/>
          </rPr>
          <t>Statement of shareholders equity schedule, p.41 Apple 2018 10K</t>
        </r>
      </text>
    </comment>
    <comment ref="C118" authorId="0" shapeId="0" xr:uid="{00000000-0006-0000-1100-000004000000}">
      <text>
        <r>
          <rPr>
            <sz val="10"/>
            <rFont val="Arial"/>
            <family val="2"/>
          </rPr>
          <t>Statement of shareholders equity schedule, p.41 Apple 2018 10K</t>
        </r>
      </text>
    </comment>
    <comment ref="F145" authorId="0" shapeId="0" xr:uid="{00000000-0006-0000-1100-00000B000000}">
      <text>
        <r>
          <rPr>
            <sz val="10"/>
            <rFont val="Arial"/>
            <family val="2"/>
          </rPr>
          <t>2018 Note 5 - Debt. 10K p55</t>
        </r>
      </text>
    </comment>
    <comment ref="G145" authorId="0" shapeId="0" xr:uid="{00000000-0006-0000-1100-00000D000000}">
      <text>
        <r>
          <rPr>
            <sz val="10"/>
            <rFont val="Arial"/>
            <family val="2"/>
          </rPr>
          <t>2018 Note 5 - Debt. 10K p55</t>
        </r>
      </text>
    </comment>
    <comment ref="C151" authorId="0" shapeId="0" xr:uid="{00000000-0006-0000-1100-000005000000}">
      <text>
        <r>
          <rPr>
            <sz val="10"/>
            <rFont val="Arial"/>
            <family val="2"/>
          </rPr>
          <t xml:space="preserve">We estimate the historical interest rate (though not explicitly disclosed by Apple). </t>
        </r>
      </text>
    </comment>
    <comment ref="C152" authorId="0" shapeId="0" xr:uid="{00000000-0006-0000-1100-000006000000}">
      <text>
        <r>
          <rPr>
            <sz val="10"/>
            <rFont val="Arial"/>
            <family val="2"/>
          </rPr>
          <t>Although Apple doesn't disclose interest expense specifically, it does disclose the interest rate on commercial paper which enables us to back into interest expense for LTD</t>
        </r>
      </text>
    </comment>
    <comment ref="E155" authorId="0" shapeId="0" xr:uid="{00000000-0006-0000-1100-00000A000000}">
      <text>
        <r>
          <rPr>
            <sz val="10"/>
            <rFont val="Arial"/>
            <family val="2"/>
          </rPr>
          <t>2018 p.27 in the 'Other Income/(Expense), Net' section.</t>
        </r>
      </text>
    </comment>
    <comment ref="F155" authorId="0" shapeId="0" xr:uid="{00000000-0006-0000-1100-00000C000000}">
      <text>
        <r>
          <rPr>
            <sz val="10"/>
            <rFont val="Arial"/>
            <family val="2"/>
          </rPr>
          <t>2018 p.27 in the 'Other Income/(Expense), Net' section.</t>
        </r>
      </text>
    </comment>
    <comment ref="G155" authorId="0" shapeId="0" xr:uid="{00000000-0006-0000-1100-00000E000000}">
      <text>
        <r>
          <rPr>
            <sz val="10"/>
            <rFont val="Arial"/>
            <family val="2"/>
          </rPr>
          <t>2018 p.27 in the 'Other Income/(Expense), Net' section.</t>
        </r>
      </text>
    </comment>
    <comment ref="C166" authorId="0" shapeId="0" xr:uid="{00000000-0006-0000-1100-000007000000}">
      <text>
        <r>
          <rPr>
            <sz val="10"/>
            <rFont val="Arial"/>
            <family val="2"/>
          </rPr>
          <t>We straight line last actual year's dilutive securities (calculated as diluted - basic shares) and add this number to the basic share count to arrive at diluted shares</t>
        </r>
      </text>
    </comment>
    <comment ref="C170" authorId="0" shapeId="0" xr:uid="{00000000-0006-0000-1100-000008000000}">
      <text>
        <r>
          <rPr>
            <sz val="10"/>
            <rFont val="Arial"/>
            <family val="2"/>
          </rPr>
          <t>Although we are not forecasting explicit share issuances, stock based compensation will eventually increase the basic share count. We need to account for this somehow, otherwise we will be undercounting future basic shares. For simplicty, we are using the SBC expense as a proxy for the current value of common stock issuance.</t>
        </r>
      </text>
    </comment>
    <comment ref="H171" authorId="0" shapeId="0" xr:uid="{00000000-0006-0000-1100-00000F000000}">
      <text>
        <r>
          <rPr>
            <sz val="10"/>
            <rFont val="Arial"/>
            <family val="2"/>
          </rPr>
          <t>WSP assumption</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11" authorId="0" shapeId="0" xr:uid="{00000000-0006-0000-1200-000009000000}">
      <text>
        <r>
          <rPr>
            <sz val="10"/>
            <rFont val="Arial"/>
            <family val="2"/>
          </rPr>
          <t>Front cover of Apple 2019 10K
As of October 18, 2019</t>
        </r>
      </text>
    </comment>
    <comment ref="C48" authorId="0" shapeId="0" xr:uid="{00000000-0006-0000-1200-000001000000}">
      <text>
        <r>
          <rPr>
            <sz val="10"/>
            <rFont val="Arial"/>
            <family val="2"/>
          </rPr>
          <t>Includes vendor non-trade receivables</t>
        </r>
      </text>
    </comment>
    <comment ref="C50" authorId="0" shapeId="0" xr:uid="{00000000-0006-0000-1200-000002000000}">
      <text>
        <r>
          <rPr>
            <sz val="10"/>
            <rFont val="Arial"/>
            <family val="2"/>
          </rPr>
          <t>AAPL started aggregating goodwill, intangible assets and other non current assets into one line item in 2018, with no footnote breakout of the individual line items. 10Ks prior to 2018 did have a breakout.</t>
        </r>
      </text>
    </comment>
    <comment ref="F54" authorId="0" shapeId="0" xr:uid="{00000000-0006-0000-1200-00000E000000}">
      <text>
        <r>
          <rPr>
            <sz val="10"/>
            <rFont val="Arial"/>
            <family val="2"/>
          </rPr>
          <t>Matan Feldman:
reclassified from 32687 in 2018 10k</t>
        </r>
      </text>
    </comment>
    <comment ref="E55" authorId="0" shapeId="0" xr:uid="{00000000-0006-0000-1200-00000B000000}">
      <text>
        <r>
          <rPr>
            <sz val="10"/>
            <rFont val="Arial"/>
            <family val="2"/>
          </rPr>
          <t>Matan Feldman:
includes both current and non current deferred revenue</t>
        </r>
      </text>
    </comment>
    <comment ref="F55" authorId="0" shapeId="0" xr:uid="{00000000-0006-0000-1200-00000F000000}">
      <text>
        <r>
          <rPr>
            <sz val="10"/>
            <rFont val="Arial"/>
            <family val="2"/>
          </rPr>
          <t>Matan Feldman:
reclassified from 10,340 in 2018 10k</t>
        </r>
      </text>
    </comment>
    <comment ref="H97" authorId="0" shapeId="0" xr:uid="{00000000-0006-0000-1200-000014000000}">
      <text>
        <r>
          <rPr>
            <sz val="10"/>
            <rFont val="Arial"/>
            <family val="2"/>
          </rPr>
          <t>Matan Feldman:
consensus per 1/2/19 source CIQ</t>
        </r>
      </text>
    </comment>
    <comment ref="I97" authorId="0" shapeId="0" xr:uid="{00000000-0006-0000-1200-000016000000}">
      <text>
        <r>
          <rPr>
            <sz val="10"/>
            <rFont val="Arial"/>
            <family val="2"/>
          </rPr>
          <t>Matan Feldman:
consensus per 1/2/19 source CIQ</t>
        </r>
      </text>
    </comment>
    <comment ref="N101" authorId="0" shapeId="0" xr:uid="{00000000-0006-0000-1200-000017000000}">
      <text>
        <r>
          <rPr>
            <sz val="10"/>
            <rFont val="Arial"/>
            <family val="2"/>
          </rPr>
          <t>WSP estimate</t>
        </r>
      </text>
    </comment>
    <comment ref="C117" authorId="0" shapeId="0" xr:uid="{00000000-0006-0000-1200-000003000000}">
      <text>
        <r>
          <rPr>
            <sz val="10"/>
            <rFont val="Arial"/>
            <family val="2"/>
          </rPr>
          <t>Statement of shareholders equity schedule, p.41 Apple 2018 10K</t>
        </r>
      </text>
    </comment>
    <comment ref="C118" authorId="0" shapeId="0" xr:uid="{00000000-0006-0000-1200-000004000000}">
      <text>
        <r>
          <rPr>
            <sz val="10"/>
            <rFont val="Arial"/>
            <family val="2"/>
          </rPr>
          <t>Statement of shareholders equity schedule, p.41 Apple 2018 10K</t>
        </r>
      </text>
    </comment>
    <comment ref="E145" authorId="0" shapeId="0" xr:uid="{00000000-0006-0000-1200-00000C000000}">
      <text>
        <r>
          <rPr>
            <sz val="10"/>
            <rFont val="Arial"/>
            <family val="2"/>
          </rPr>
          <t>2018 Note 5 - Debt. 10K p55</t>
        </r>
      </text>
    </comment>
    <comment ref="F145" authorId="0" shapeId="0" xr:uid="{00000000-0006-0000-1200-000010000000}">
      <text>
        <r>
          <rPr>
            <sz val="10"/>
            <rFont val="Arial"/>
            <family val="2"/>
          </rPr>
          <t>Matan Feldman:
2019 10k p.47</t>
        </r>
      </text>
    </comment>
    <comment ref="G145" authorId="0" shapeId="0" xr:uid="{00000000-0006-0000-1200-000012000000}">
      <text>
        <r>
          <rPr>
            <sz val="10"/>
            <rFont val="Arial"/>
            <family val="2"/>
          </rPr>
          <t>Matan Feldman:
2019 10k p.47</t>
        </r>
      </text>
    </comment>
    <comment ref="C151" authorId="0" shapeId="0" xr:uid="{00000000-0006-0000-1200-000005000000}">
      <text>
        <r>
          <rPr>
            <sz val="10"/>
            <rFont val="Arial"/>
            <family val="2"/>
          </rPr>
          <t xml:space="preserve">We estimate the historical interest rate (though not explicitly disclosed by Apple). </t>
        </r>
      </text>
    </comment>
    <comment ref="C152" authorId="0" shapeId="0" xr:uid="{00000000-0006-0000-1200-000006000000}">
      <text>
        <r>
          <rPr>
            <sz val="10"/>
            <rFont val="Arial"/>
            <family val="2"/>
          </rPr>
          <t>Although Apple doesn't disclose interest expense specifically, it does disclose the interest rate on commercial paper which enables us to back into interest expense for LTD</t>
        </r>
      </text>
    </comment>
    <comment ref="D155" authorId="0" shapeId="0" xr:uid="{00000000-0006-0000-1200-00000A000000}">
      <text>
        <r>
          <rPr>
            <sz val="10"/>
            <rFont val="Arial"/>
            <family val="2"/>
          </rPr>
          <t>2018 p.27 in the 'Other Income/(Expense), Net' section.</t>
        </r>
      </text>
    </comment>
    <comment ref="E155" authorId="0" shapeId="0" xr:uid="{00000000-0006-0000-1200-00000D000000}">
      <text>
        <r>
          <rPr>
            <sz val="10"/>
            <rFont val="Arial"/>
            <family val="2"/>
          </rPr>
          <t>2018 p.27 in the 'Other Income/(Expense), Net' section.</t>
        </r>
      </text>
    </comment>
    <comment ref="F155" authorId="0" shapeId="0" xr:uid="{00000000-0006-0000-1200-000011000000}">
      <text>
        <r>
          <rPr>
            <sz val="10"/>
            <rFont val="Arial"/>
            <family val="2"/>
          </rPr>
          <t>Matan Feldman:
2019 10k p.22</t>
        </r>
      </text>
    </comment>
    <comment ref="G155" authorId="0" shapeId="0" xr:uid="{00000000-0006-0000-1200-000013000000}">
      <text>
        <r>
          <rPr>
            <sz val="10"/>
            <rFont val="Arial"/>
            <family val="2"/>
          </rPr>
          <t>Matan Feldman:
2019 10k p.22</t>
        </r>
      </text>
    </comment>
    <comment ref="C166" authorId="0" shapeId="0" xr:uid="{00000000-0006-0000-1200-000007000000}">
      <text>
        <r>
          <rPr>
            <sz val="10"/>
            <rFont val="Arial"/>
            <family val="2"/>
          </rPr>
          <t>We straight line last actual year's dilutive securities (calculated as diluted - basic shares) and add this number to the basic share count to arrive at diluted shares</t>
        </r>
      </text>
    </comment>
    <comment ref="C170" authorId="0" shapeId="0" xr:uid="{00000000-0006-0000-1200-000008000000}">
      <text>
        <r>
          <rPr>
            <sz val="10"/>
            <rFont val="Arial"/>
            <family val="2"/>
          </rPr>
          <t>Although we are not forecasting explicit share issuances, stock based compensation will eventually increase the basic share count. We need to account for this somehow, otherwise we will be undercounting future basic shares. For simplicty, we are using the SBC expense as a proxy for the current value of common stock issuance.</t>
        </r>
      </text>
    </comment>
    <comment ref="H171" authorId="0" shapeId="0" xr:uid="{00000000-0006-0000-1200-000015000000}">
      <text>
        <r>
          <rPr>
            <sz val="10"/>
            <rFont val="Arial"/>
            <family val="2"/>
          </rPr>
          <t xml:space="preserve">Use latest share count or last 12 month average </t>
        </r>
      </text>
    </comment>
  </commentList>
</comments>
</file>

<file path=xl/sharedStrings.xml><?xml version="1.0" encoding="utf-8"?>
<sst xmlns="http://schemas.openxmlformats.org/spreadsheetml/2006/main" count="3559" uniqueCount="325">
  <si>
    <t>$ in thousands except per share</t>
  </si>
  <si>
    <t>Company name</t>
  </si>
  <si>
    <t>Apple</t>
  </si>
  <si>
    <t>Ticker</t>
  </si>
  <si>
    <t>AAPL</t>
  </si>
  <si>
    <t>Circ break 1=off, 0=on</t>
  </si>
  <si>
    <t>Latest closing share price</t>
  </si>
  <si>
    <t>Latest closing share price date</t>
  </si>
  <si>
    <t>Latest fiscal year end date</t>
  </si>
  <si>
    <t>Shares outstanding (millions)</t>
  </si>
  <si>
    <t>INCOME STATEMENT</t>
  </si>
  <si>
    <t xml:space="preserve">Fiscal year  </t>
  </si>
  <si>
    <t>Fiscal year end date</t>
  </si>
  <si>
    <t>Revenue</t>
  </si>
  <si>
    <t>Cost of sales (enter as -)</t>
  </si>
  <si>
    <t>Gross Profit</t>
  </si>
  <si>
    <t>Research &amp; development (enter as -)</t>
  </si>
  <si>
    <t>Selling, general &amp; administrative (enter as -)</t>
  </si>
  <si>
    <t>Operating profit (EBIT)</t>
  </si>
  <si>
    <t>Interest income</t>
  </si>
  <si>
    <t>Interest expense (enter as -)</t>
  </si>
  <si>
    <t>Other expense, net (enter as -)</t>
  </si>
  <si>
    <t>Pretax profit</t>
  </si>
  <si>
    <t>Taxes (enter expense as -)</t>
  </si>
  <si>
    <t>Net income</t>
  </si>
  <si>
    <t>Depreciation &amp; amortization</t>
  </si>
  <si>
    <t>EBITDA</t>
  </si>
  <si>
    <t>Stock based compensation</t>
  </si>
  <si>
    <t>Adjusted EBITDA</t>
  </si>
  <si>
    <t xml:space="preserve">Growth rates &amp; margins </t>
  </si>
  <si>
    <t>Revenue growth</t>
  </si>
  <si>
    <t>Gross profit margin</t>
  </si>
  <si>
    <t>R&amp;D % of sales</t>
  </si>
  <si>
    <t>SG&amp;A % of sales</t>
  </si>
  <si>
    <t>Tax rate</t>
  </si>
  <si>
    <t>BALANCE SHEET</t>
  </si>
  <si>
    <t>2024A</t>
  </si>
  <si>
    <t>2025A</t>
  </si>
  <si>
    <t>Cash &amp; equivalents, ST and LT marketable securities</t>
  </si>
  <si>
    <t>Accounts receivable</t>
  </si>
  <si>
    <t>Inventories</t>
  </si>
  <si>
    <t>Other current assets</t>
  </si>
  <si>
    <t>Property, plant &amp; equipment</t>
  </si>
  <si>
    <t>Other non current assets</t>
  </si>
  <si>
    <t>Total assets</t>
  </si>
  <si>
    <t>Accounts payable</t>
  </si>
  <si>
    <t>Other current liabilities</t>
  </si>
  <si>
    <t>Deferred revenue (current and non current)</t>
  </si>
  <si>
    <t>Commercial paper / revolver</t>
  </si>
  <si>
    <t xml:space="preserve">Long term debt </t>
  </si>
  <si>
    <t>Other non current liabilities</t>
  </si>
  <si>
    <t>Total liabilities</t>
  </si>
  <si>
    <t>Common stock</t>
  </si>
  <si>
    <t xml:space="preserve">Retained earnings </t>
  </si>
  <si>
    <t>Other comprehensive income</t>
  </si>
  <si>
    <t>Total equity</t>
  </si>
  <si>
    <t>Balance check</t>
  </si>
  <si>
    <t>Additional data</t>
  </si>
  <si>
    <t>Capital expenditures (enter as +)</t>
  </si>
  <si>
    <t>D&amp;A related only to PP&amp;E (enter as -)</t>
  </si>
  <si>
    <t>Depreciation on PP&amp;E - Note 5, Apple FY2025 10-K p.39 (rounded to $0.1B)</t>
  </si>
  <si>
    <t>Dividends</t>
  </si>
  <si>
    <t>Statement of Shareholders' Equity - Apple FY2025 10-K p.32 (dividends declared)</t>
  </si>
  <si>
    <t>Repurchases</t>
  </si>
  <si>
    <t>Statement of Shareholders' Equity - Apple FY2025 10-K p.32 (repurchases)</t>
  </si>
  <si>
    <t>Weighted average interest rate on commercial paper</t>
  </si>
  <si>
    <t>WSP Comments</t>
  </si>
  <si>
    <t>Previous year's revenues x (1+revenue growth rate)</t>
  </si>
  <si>
    <t>Plug = Revenue - Gross Profit</t>
  </si>
  <si>
    <t>Revenue x Gross Profit Margin forecast</t>
  </si>
  <si>
    <t>Revenue x R&amp;D % of sales forecast</t>
  </si>
  <si>
    <t>Revenue x SG&amp;A % of sales forecast</t>
  </si>
  <si>
    <t>Gross Profit - R&amp;D - SG&amp;A</t>
  </si>
  <si>
    <t>Reference from interest on cash schedule</t>
  </si>
  <si>
    <t>Reference from interest expense schedule</t>
  </si>
  <si>
    <t>Straight-line</t>
  </si>
  <si>
    <t>EBIT + interest income less interest expense less other expense</t>
  </si>
  <si>
    <t>Pre-tax Profit x Tax Rate forecast</t>
  </si>
  <si>
    <t>Pre-tax Profit less taxes</t>
  </si>
  <si>
    <t>Reference from D&amp;A schedule</t>
  </si>
  <si>
    <t>EBIT + D&amp;A</t>
  </si>
  <si>
    <t>WSP assumption: grow SBC in-line with revenue growth</t>
  </si>
  <si>
    <t>EBITDA + Stock-based compensation</t>
  </si>
  <si>
    <t>Growth rates &amp; margins</t>
  </si>
  <si>
    <t>JP Morgan estimates through 2021; straight-line growth rate thereafter</t>
  </si>
  <si>
    <t>JP Morgan estimates through 2021; straight-line margin thereafter</t>
  </si>
  <si>
    <t>JP Morgan estimates through 2021: straight-line margin thereafter</t>
  </si>
  <si>
    <t>Reference from 'net change in cash' line on the cash flow statement</t>
  </si>
  <si>
    <t>Grow in-line with revenue growth</t>
  </si>
  <si>
    <t>Grow in-line with cost of sales growth</t>
  </si>
  <si>
    <t>Reference from PP&amp;E schedule</t>
  </si>
  <si>
    <t>Reference EOP balance from CP/revolver schedule</t>
  </si>
  <si>
    <t>Long term debt (includes current portion)</t>
  </si>
  <si>
    <t>WSP assumption: straight-line</t>
  </si>
  <si>
    <t>Increase by stock-based compensation forecasted in the I/S section</t>
  </si>
  <si>
    <t>Reference from Retained Earnings schedule</t>
  </si>
  <si>
    <t>CASH FLOW STATEMENT</t>
  </si>
  <si>
    <t>Depreciation and amortization</t>
  </si>
  <si>
    <t>Reference from the I/S</t>
  </si>
  <si>
    <t>Decreases / (Increases) in working capital assets</t>
  </si>
  <si>
    <t>Increases / (Decreases) in working capital liabilities</t>
  </si>
  <si>
    <t>Reference from schedule NOT the B/S: Only include 'Additions' (as outflow)</t>
  </si>
  <si>
    <t>Cash from operating activities</t>
  </si>
  <si>
    <t>Capital expenditures</t>
  </si>
  <si>
    <t>Cash from investing activities</t>
  </si>
  <si>
    <t>Long term debt</t>
  </si>
  <si>
    <t>Revolver</t>
  </si>
  <si>
    <t>Reference from B/S</t>
  </si>
  <si>
    <t>Share repurchases</t>
  </si>
  <si>
    <t>Common dividends</t>
  </si>
  <si>
    <t>Cash from financing activities</t>
  </si>
  <si>
    <t>Net change in cash during period</t>
  </si>
  <si>
    <t>PROPERTY, PLANT &amp; EQUIPMENT</t>
  </si>
  <si>
    <t>Forecast</t>
  </si>
  <si>
    <t>Beginning of period</t>
  </si>
  <si>
    <t xml:space="preserve">BOP = Previous year EOP </t>
  </si>
  <si>
    <t>Plus: Capital expenditures</t>
  </si>
  <si>
    <t>JP Morgan through 2021; WSP assumption thereafter</t>
  </si>
  <si>
    <t>Less: Depreciation</t>
  </si>
  <si>
    <t>Capex x 'D&amp;A related to PP&amp;E as a % of capex' ratio (below)</t>
  </si>
  <si>
    <t>End of period</t>
  </si>
  <si>
    <t>BOP + Capex - Depreciation</t>
  </si>
  <si>
    <t>Step</t>
  </si>
  <si>
    <t>D&amp;A related to PP&amp;E as a % of capex</t>
  </si>
  <si>
    <t>IMPUTING TOTAL DEPRECIATION &amp; AMORTIZATION</t>
  </si>
  <si>
    <t>D&amp;A not related to PP&amp;E</t>
  </si>
  <si>
    <t>Revenue x 'as % of revenue' assumption</t>
  </si>
  <si>
    <t>as % of revenue</t>
  </si>
  <si>
    <t>Straight line last historical % of revenue - WSP assumption</t>
  </si>
  <si>
    <t xml:space="preserve">Depreciation &amp; Amortization - Total </t>
  </si>
  <si>
    <t>D&amp;A from PP&amp;E + D&amp;A not from PP&amp;E</t>
  </si>
  <si>
    <t>OTHER NON-CURRENT ASSETS</t>
  </si>
  <si>
    <t>Less: Amortization of intangible assets</t>
  </si>
  <si>
    <t xml:space="preserve">Assume all D&amp;A not from PP&amp;E is in non-current assets </t>
  </si>
  <si>
    <t xml:space="preserve">Plus: Additions </t>
  </si>
  <si>
    <t>Because we already know the EOP balance, this is a plug: EOP - D&amp;A not from PP&amp;E - BOP</t>
  </si>
  <si>
    <t>Referenced from balance sheet</t>
  </si>
  <si>
    <t>RETAINED EARNINGS</t>
  </si>
  <si>
    <t>Plus: Net income</t>
  </si>
  <si>
    <t>Reference from income statement</t>
  </si>
  <si>
    <t>Less: Dividends</t>
  </si>
  <si>
    <t>WSP assumption: Straight-line last historical year dividends</t>
  </si>
  <si>
    <t>Less: Repurchases</t>
  </si>
  <si>
    <t>WSP assumption: Straight-line last historical year repurchases</t>
  </si>
  <si>
    <t>BOP + net income - dividends - repurchases</t>
  </si>
  <si>
    <t>REVOLVER (MODEL PLUG)</t>
  </si>
  <si>
    <t>Revolver needs analysis</t>
  </si>
  <si>
    <t>Cash at beginning of period (BOP)</t>
  </si>
  <si>
    <t>Reference prior period EOP from B/S</t>
  </si>
  <si>
    <t>Less: Minimum cash balance</t>
  </si>
  <si>
    <t>WSP assumption</t>
  </si>
  <si>
    <t>Plus: Free cash flows generated during period</t>
  </si>
  <si>
    <t>CFO + CFI + CFF except revolver</t>
  </si>
  <si>
    <t>Equals: Cash available (needed) to pay down (draw from) revolver</t>
  </si>
  <si>
    <t>Commercial paper / Revolver</t>
  </si>
  <si>
    <t>Draw / (paydown)</t>
  </si>
  <si>
    <t xml:space="preserve">Cash (paydown) / additional borrowing from revolver. Paydown not to exceed BOP balance. </t>
  </si>
  <si>
    <t>Discretionary borrowing / (paydown)</t>
  </si>
  <si>
    <t>Debt balance:</t>
  </si>
  <si>
    <t>INTEREST EXPENSE AND INTEREST INCOME</t>
  </si>
  <si>
    <t>Total interest expense (from I/S)</t>
  </si>
  <si>
    <t>Interest expense from revolver/CP + interest expense from long term debt</t>
  </si>
  <si>
    <t>Commercial Paper / Revolver</t>
  </si>
  <si>
    <t>Weighted average interest rate</t>
  </si>
  <si>
    <t>WSP assumption: Straight-line</t>
  </si>
  <si>
    <t>End of period balance (from B/S)</t>
  </si>
  <si>
    <t>Reference from revolver / CP schedule above</t>
  </si>
  <si>
    <t>Interest expense</t>
  </si>
  <si>
    <t>Interest rate x average of BOP &amp; EOP revolver balances (circularity)</t>
  </si>
  <si>
    <t xml:space="preserve">Interest expense </t>
  </si>
  <si>
    <t>Interest rate x average of BOP &amp; EOP LTD balances</t>
  </si>
  <si>
    <t>Interest rate on cash</t>
  </si>
  <si>
    <t>Weighted average interest rate on cash</t>
  </si>
  <si>
    <t>Interest rate x average of BOP &amp; EOP cash balances (circularity)</t>
  </si>
  <si>
    <t>Reference from revolver schedule</t>
  </si>
  <si>
    <t>Reference additions to 'other non-current assets' from schedule</t>
  </si>
  <si>
    <t>Less: D&amp;A not related to PP&amp;E</t>
  </si>
  <si>
    <t>Dividend payout ratio</t>
  </si>
  <si>
    <t>&lt;-We didn't use these drivers</t>
  </si>
  <si>
    <t>Repurchases as % of net income</t>
  </si>
  <si>
    <t xml:space="preserve"> </t>
  </si>
  <si>
    <t>Plus: Current period cash flows except revolver</t>
  </si>
  <si>
    <t xml:space="preserve">Cash (paydown) / additional borrowing from revolver/CP. Paydown not to exceed BOP balance. </t>
  </si>
  <si>
    <t>Additional discretionary draw / (paydown)</t>
  </si>
  <si>
    <t xml:space="preserve">Total interest expense </t>
  </si>
  <si>
    <t>Interest rate x average of BOP &amp; EOP B/S cash  (circularity)</t>
  </si>
  <si>
    <t>Commercial paper/ Revolver</t>
  </si>
  <si>
    <t>x</t>
  </si>
  <si>
    <t>Select an operating scenario:</t>
  </si>
  <si>
    <t>Base case</t>
  </si>
  <si>
    <t>From scenario analysis below</t>
  </si>
  <si>
    <t>SENSITIVITY ANALYSIS</t>
  </si>
  <si>
    <t>First forecast year net income  sensitivity</t>
  </si>
  <si>
    <t>Revenue growth rate</t>
  </si>
  <si>
    <t>Gross</t>
  </si>
  <si>
    <t>Profit</t>
  </si>
  <si>
    <t>Margin:</t>
  </si>
  <si>
    <t>SCENARIO ANALYSIS</t>
  </si>
  <si>
    <t>Active case:</t>
  </si>
  <si>
    <t xml:space="preserve">Variance from </t>
  </si>
  <si>
    <t>base case</t>
  </si>
  <si>
    <t>Best case</t>
  </si>
  <si>
    <t>NM</t>
  </si>
  <si>
    <t>Weak case</t>
  </si>
  <si>
    <t>EARNINGS PER SHARE</t>
  </si>
  <si>
    <t>Reference from I/S</t>
  </si>
  <si>
    <t xml:space="preserve">Basic shares </t>
  </si>
  <si>
    <t>Last period basic shares + ($ shares issued - $ shares repurchased)/Current period average share price OR reference average Basic shares from schedule below</t>
  </si>
  <si>
    <t>Basic EPS</t>
  </si>
  <si>
    <t>Net income / Basic shares</t>
  </si>
  <si>
    <t>Diluted Shares</t>
  </si>
  <si>
    <t>Basic shares + Dilutive securities</t>
  </si>
  <si>
    <t>Diluted EPS</t>
  </si>
  <si>
    <t>Net income/Diluted Shares</t>
  </si>
  <si>
    <t>$ amount of shares repurchased</t>
  </si>
  <si>
    <t>Reference from RE schedule - treasury repurchases (flip sign)</t>
  </si>
  <si>
    <t>$ amount of new shares issued</t>
  </si>
  <si>
    <t xml:space="preserve">Reference SBC from I/S </t>
  </si>
  <si>
    <t>Average share price</t>
  </si>
  <si>
    <t>Last period share price x (1+growth rate)</t>
  </si>
  <si>
    <t>Share price increase</t>
  </si>
  <si>
    <t>WSP assumption OR grow with net income growth rate (calculated below)</t>
  </si>
  <si>
    <t>Optional analysis for calculating weighted average basic shares</t>
  </si>
  <si>
    <t>Basic Shares - BOP</t>
  </si>
  <si>
    <t>Reference from latest share count &gt;</t>
  </si>
  <si>
    <t xml:space="preserve">Link to prior year Basic shares - EOP </t>
  </si>
  <si>
    <t>Net change in basic shares</t>
  </si>
  <si>
    <t xml:space="preserve"> ($ shares issued - $ shares repurchased)/Current period average share price</t>
  </si>
  <si>
    <t>Basic shares - EOP</t>
  </si>
  <si>
    <t>Basic Shares - BOP + Net change in basic shares</t>
  </si>
  <si>
    <t>Basic shares - average</t>
  </si>
  <si>
    <t>Average(Basic Shares BOP,Basic Shares EOP)</t>
  </si>
  <si>
    <t>Optional analysis for forecasting share price</t>
  </si>
  <si>
    <t>Reference net income from I/S</t>
  </si>
  <si>
    <t>yoy % growth in net income</t>
  </si>
  <si>
    <t>Calculate year over year growth</t>
  </si>
  <si>
    <t xml:space="preserve">Last period basic shares + ($ shares issued - $ shares repurchased)/Current period average share price </t>
  </si>
  <si>
    <t xml:space="preserve">WSP assumption </t>
  </si>
  <si>
    <t>Alternative method for calculating weighted average basic shares</t>
  </si>
  <si>
    <t>Alternative method for estimating share price growth</t>
  </si>
  <si>
    <t>Price / volume build</t>
  </si>
  <si>
    <t>Revenue by product</t>
  </si>
  <si>
    <t>Core products</t>
  </si>
  <si>
    <t>iPhone</t>
  </si>
  <si>
    <t>iPad</t>
  </si>
  <si>
    <t>Mac</t>
  </si>
  <si>
    <t>Services</t>
  </si>
  <si>
    <t>CG estimates through 2020; WSP thereafter based on growth rate assumption</t>
  </si>
  <si>
    <t>Other products</t>
  </si>
  <si>
    <t>Total revenue</t>
  </si>
  <si>
    <t>% growth</t>
  </si>
  <si>
    <t>Units</t>
  </si>
  <si>
    <t>CG estimates through 2020; Straight line therafter</t>
  </si>
  <si>
    <t>Average selling price</t>
  </si>
  <si>
    <t>Units % growth</t>
  </si>
  <si>
    <t>Average selling price % growth</t>
  </si>
  <si>
    <t>Revenue growth rate by product</t>
  </si>
  <si>
    <t>CG estimates through 2020; Straight line growth rate thereafter</t>
  </si>
  <si>
    <t>"iPhone ASP will be primary driver as Apple continues to
increase hardware prices."</t>
  </si>
  <si>
    <t>Jeffries research note January 30, 2019</t>
  </si>
  <si>
    <t>From scenarios</t>
  </si>
  <si>
    <t>From revenue build</t>
  </si>
  <si>
    <t xml:space="preserve">Var. from </t>
  </si>
  <si>
    <t>iPhone ASP</t>
  </si>
  <si>
    <t>iPhone Units</t>
  </si>
  <si>
    <t>CG estimates through 2020; WSP thereafter</t>
  </si>
  <si>
    <t>Last period basic shares + ($ shares issued - $ shares repurchased)/Current period average share price</t>
  </si>
  <si>
    <t xml:space="preserve">5 Year </t>
  </si>
  <si>
    <t>CAGR</t>
  </si>
  <si>
    <t>Reference from A/R schedule</t>
  </si>
  <si>
    <t>Reference from Inventories schedule</t>
  </si>
  <si>
    <t>Vendor non trade receivable</t>
  </si>
  <si>
    <t>WORKING CAPITAL</t>
  </si>
  <si>
    <t>ACCOUNTS RECEIVABLE</t>
  </si>
  <si>
    <t>Historical</t>
  </si>
  <si>
    <t>Increases / (decreases)</t>
  </si>
  <si>
    <t>A formula that grows prior period AR with revenue growth or, alternatively, backsolves A/R based on a average DSO assumption depending on the user's input</t>
  </si>
  <si>
    <t>Average AR as % of sales</t>
  </si>
  <si>
    <t>Select an A/R forecasting approach (1=grow w rev, 2=explicit DSO)</t>
  </si>
  <si>
    <t>Approach 1: Grow A/R with revenue growth rate</t>
  </si>
  <si>
    <t>Approach 2: Days sales outstanding (DSO) Assumption</t>
  </si>
  <si>
    <t>INVENTORIES</t>
  </si>
  <si>
    <t>Select an inventory forecasting approach:</t>
  </si>
  <si>
    <t>Approach 1: Keep avg. inventory / COGS ratio constant</t>
  </si>
  <si>
    <t>Approach 2: Inventory turnover (using 365 day year)</t>
  </si>
  <si>
    <t>Working capital ratios / Liquidity</t>
  </si>
  <si>
    <t>Trade A/R Days sales outstanding (average)</t>
  </si>
  <si>
    <t xml:space="preserve">Trade A/R + Non-Trade A/R Days sales outstanding (average) </t>
  </si>
  <si>
    <t>Days inventory outstanding</t>
  </si>
  <si>
    <t>Operating cycle (inc vendor non-trade A/R)</t>
  </si>
  <si>
    <t>Days payable outstanding</t>
  </si>
  <si>
    <t>Net operating cycle (Cash conversion cycle)</t>
  </si>
  <si>
    <t>Current ratio (CA/CL)</t>
  </si>
  <si>
    <t>Quick ratio (Cash + A/R / CL)</t>
  </si>
  <si>
    <t>Memo</t>
  </si>
  <si>
    <t>LT marketable securities</t>
  </si>
  <si>
    <t>Assume all cash changes impact LT investments first</t>
  </si>
  <si>
    <t>LT deferred revenue</t>
  </si>
  <si>
    <t>LT term debt</t>
  </si>
  <si>
    <t>Current assets</t>
  </si>
  <si>
    <t>Current liabilities</t>
  </si>
  <si>
    <t>From depreciation waterfall</t>
  </si>
  <si>
    <t>Depreciation waterfall</t>
  </si>
  <si>
    <t>Existing PP&amp;E</t>
  </si>
  <si>
    <t>Gross PP&amp;E</t>
  </si>
  <si>
    <t>10K p 51</t>
  </si>
  <si>
    <t>Non-depreciable PP&amp;E (i.e. land)</t>
  </si>
  <si>
    <t>Accumulated depreciation</t>
  </si>
  <si>
    <t>Net PP&amp;E (excl. land)</t>
  </si>
  <si>
    <t>Average useful life</t>
  </si>
  <si>
    <t>Override - If necessary for smoothing</t>
  </si>
  <si>
    <t>Depreciation from existing PP&amp;E prior 2019</t>
  </si>
  <si>
    <t>Midyear adj.</t>
  </si>
  <si>
    <t>Total depreciation</t>
  </si>
  <si>
    <t>Based on flat DPR</t>
  </si>
  <si>
    <t>Assumption that DPR will staight the dividend payout ratio</t>
  </si>
  <si>
    <t>Service revenue</t>
  </si>
  <si>
    <t>Approach 2: DSO Assumption</t>
  </si>
  <si>
    <t>Depreciation from existing PP&amp;E</t>
  </si>
  <si>
    <t>Assumption that DPR will staight the same</t>
  </si>
  <si>
    <t>Consensus estimates through 2021; straight-line growth rate thereafter</t>
  </si>
  <si>
    <t>Straight line last historical year</t>
  </si>
  <si>
    <t>Deferred revenue (current)</t>
  </si>
  <si>
    <t>First two years - consensus estimates, then grow with revenue</t>
  </si>
  <si>
    <t>WSP assumption: Hold last historical year's dividend payout ratio constant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</si>
</sst>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4">
    <numFmt numFmtId="164" formatCode="#,##0.00_);\(#,##0\)"/>
    <numFmt numFmtId="165" formatCode="#,##0.0%_);\(#,##0.0%\)"/>
    <numFmt numFmtId="166" formatCode="0.0&quot; x&quot;"/>
    <numFmt numFmtId="167" formatCode="#,##0.00\ ;\(#,##0.00\)"/>
    <numFmt numFmtId="168" formatCode="\$#,##0.00\ ;&quot;($&quot;#,##0.00\)"/>
    <numFmt numFmtId="169" formatCode="0.0%_);\(0.0%\)"/>
    <numFmt numFmtId="170" formatCode="[&gt;1]&quot;10Q: &quot;0&quot; qtrs&quot;;&quot;10Q: &quot;0&quot; qtr&quot;"/>
    <numFmt numFmtId="171" formatCode="0.000&quot; xrate&quot;"/>
    <numFmt numFmtId="172" formatCode="#,##0.000_);[Red]\(#,##0.000\)"/>
    <numFmt numFmtId="173" formatCode="_(* #,##0.00_);_(* \(#,##0.00\);_(* \-??_);_(@_)"/>
    <numFmt numFmtId="174" formatCode="0.00_);\(0.00\);0.00"/>
    <numFmt numFmtId="175" formatCode="\$#,##0.00_);&quot;($&quot;#,##0.00\)"/>
    <numFmt numFmtId="176" formatCode="\$#,##0.00_);[Red]&quot;($&quot;#,##0.00\);&quot;--  &quot;;_(@_)"/>
    <numFmt numFmtId="177" formatCode="\$#,##0_);&quot;($&quot;#,##0\)"/>
    <numFmt numFmtId="178" formatCode="&quot;C$&quot;#,##0.00_);[Red]&quot;($&quot;#,##0.00\)"/>
    <numFmt numFmtId="179" formatCode="#,##0%_);\(#,##0.0%\)"/>
    <numFmt numFmtId="180" formatCode="_(* #,##0.00000000_);_(* \(#,##0.00000000\);_(* \-?_);_(@_)"/>
    <numFmt numFmtId="181" formatCode="mmm\-d\-yyyy"/>
    <numFmt numFmtId="182" formatCode="mmm\-dd\-yy"/>
    <numFmt numFmtId="183" formatCode="mmm\-dd\-yyyy"/>
    <numFmt numFmtId="184" formatCode="mmm\-yyyy"/>
    <numFmt numFmtId="185" formatCode="m/d/yyyy"/>
    <numFmt numFmtId="186" formatCode="yyyy"/>
    <numFmt numFmtId="187" formatCode="0.00&quot;xrate&quot;"/>
    <numFmt numFmtId="188" formatCode="\$#,##0.00_);[Red]&quot;($&quot;#,##0.00\)"/>
    <numFmt numFmtId="189" formatCode="\$#,##0_);[Red]&quot;($&quot;#,##0\)"/>
    <numFmt numFmtId="190" formatCode="0.0&quot;  &quot;"/>
    <numFmt numFmtId="191" formatCode="\$#,##0.0\ ;[Red]&quot;($&quot;#,##0\)"/>
    <numFmt numFmtId="192" formatCode="\$#,##0.000_);[Red]&quot;($&quot;#,##0.000\)"/>
    <numFmt numFmtId="193" formatCode="\$#,##0.00\A;[Red]&quot;($&quot;#,##0.00&quot;)A&quot;"/>
    <numFmt numFmtId="194" formatCode="#,##0.0\ ;[Red]&quot;($&quot;#,##0\)"/>
    <numFmt numFmtId="195" formatCode="\$#,##0.00\E;[Red]&quot;($&quot;#,##0.00&quot;)E&quot;"/>
    <numFmt numFmtId="196" formatCode="_([$€-2]* #,##0.00_);_([$€-2]* \(#,##0.00\);_([$€-2]* \-??_)"/>
    <numFmt numFmtId="197" formatCode="#,##0.00;\(#,##0.00\)"/>
    <numFmt numFmtId="198" formatCode=".%&quot;,(&quot;0\.0%%;\t"/>
    <numFmt numFmtId="199" formatCode="#,##0.0_);[Red]\(#,##0.0\)"/>
    <numFmt numFmtId="200" formatCode="0.0%_);[Red]\(0.0%\)"/>
    <numFmt numFmtId="201" formatCode="0.00_);\(0.00\);0.00_)"/>
    <numFmt numFmtId="202" formatCode="0.0%"/>
    <numFmt numFmtId="203" formatCode="#,##0\x"/>
    <numFmt numFmtId="204" formatCode="&quot;TKR &quot;0"/>
    <numFmt numFmtId="205" formatCode=".%&quot;,(&quot;0\.%%;\t"/>
    <numFmt numFmtId="206" formatCode="\$#,###.0&quot;  &quot;"/>
    <numFmt numFmtId="207" formatCode="#,##0.00\x_);[Red]\(#,##0.00&quot;x)&quot;"/>
    <numFmt numFmtId="208" formatCode="#,##0.0_);\(#,##0.0\)"/>
    <numFmt numFmtId="209" formatCode="#,##0.000_);\(#,##0.000\)"/>
    <numFmt numFmtId="210" formatCode="#,##0.0_);[Red]\(#,##0.0\);&quot;--  &quot;"/>
    <numFmt numFmtId="211" formatCode="#,##0.00\x_);[Red]\(#,##0.00&quot;x)&quot;;&quot;--  &quot;"/>
    <numFmt numFmtId="212" formatCode="_(* #,##0.0_);_(* \(#,##0.0\);_(* \-??_);_(@_)"/>
    <numFmt numFmtId="213" formatCode="0.0\x_);[Red]\(0.0&quot;x)&quot;"/>
    <numFmt numFmtId="214" formatCode="0.0\ "/>
    <numFmt numFmtId="215" formatCode="\$#,##0.0;&quot;($&quot;#,##0.00\)"/>
    <numFmt numFmtId="216" formatCode="#,##0.00%_);\(#,##0.00%\)"/>
    <numFmt numFmtId="217" formatCode="0.00\%;\-0.00\%;0.00\%"/>
    <numFmt numFmtId="218" formatCode="0.0%\ ;\(0.0%\)"/>
    <numFmt numFmtId="219" formatCode="_(\$* #,##0_);_(\$* \(#,##0\);_(\$* \-??_);_(@_)"/>
    <numFmt numFmtId="220" formatCode="\$0.00\ "/>
    <numFmt numFmtId="221" formatCode="0.0&quot;     &quot;"/>
    <numFmt numFmtId="222" formatCode="0.00\x;\-0.00\x;0.00\x"/>
    <numFmt numFmtId="223" formatCode="\$#,##0.000_);&quot;($&quot;#,##0.000\)"/>
    <numFmt numFmtId="224" formatCode="#,##0.0_);\(#,##0.0\);_(* \-_)"/>
    <numFmt numFmtId="225" formatCode="_(\$* #,##0.00_);_(\$* \(#,##0.00\);_(* \-_);_(@_)"/>
    <numFmt numFmtId="226" formatCode="0.00%_);[Red]\(0.00%\)"/>
    <numFmt numFmtId="227" formatCode="0.00\x"/>
    <numFmt numFmtId="228" formatCode="#,##0.0\x_);\(#,##0.0&quot;x)&quot;"/>
    <numFmt numFmtId="229" formatCode="#,##0.00\x_);\(#,##0.00&quot;x)&quot;"/>
    <numFmt numFmtId="230" formatCode="###0\E_)"/>
    <numFmt numFmtId="231" formatCode="0.0&quot; years&quot;"/>
    <numFmt numFmtId="232" formatCode="_(#,##0_)_%;\(#,##0\)_%;_(\–_)_%;_(@_)_%"/>
    <numFmt numFmtId="233" formatCode="m/d/yy;@"/>
    <numFmt numFmtId="234" formatCode="0\A;[Red]0\A"/>
    <numFmt numFmtId="235" formatCode="0_);\(0\)"/>
    <numFmt numFmtId="236" formatCode="_(#,##0.0%_);\(#,##0.0%\);_(\–_)_%;_(@_)_%"/>
    <numFmt numFmtId="237" formatCode="0.0%_);\(0.0%\);@_)"/>
    <numFmt numFmtId="238" formatCode="0\P_);\(0&quot;P)&quot;"/>
    <numFmt numFmtId="239" formatCode="0.00%_);\(0.00%\);@_)"/>
    <numFmt numFmtId="240" formatCode="_(#,##0.00%_);\(#,##0.00%\);_(\–_)_%;_(@_)_%"/>
    <numFmt numFmtId="241" formatCode="0.0%;\(0.0%\)"/>
    <numFmt numFmtId="242" formatCode="0.0%;&quot; (&quot;0.0%\)"/>
    <numFmt numFmtId="243" formatCode="#,##0_);\(#,##0\);@_)"/>
    <numFmt numFmtId="244" formatCode="0%_);\(0%\);@_)"/>
    <numFmt numFmtId="245" formatCode="_([$$]#,##0.00_)_%;\([$$]#,##0.00\)_%;_(\–_)_%;_(@_)_%"/>
    <numFmt numFmtId="246" formatCode="#,##0.0_);\(#,##0.0\);@_)"/>
    <numFmt numFmtId="247" formatCode="0&quot; days&quot;"/>
  </numFmts>
  <fonts count="86">
    <font>
      <sz val="11"/>
      <color theme="1"/>
      <name val="Calibri"/>
      <family val="2"/>
      <charset val="1"/>
    </font>
    <font>
      <sz val="10"/>
      <name val="Arial"/>
      <family val="2"/>
    </font>
    <font>
      <sz val="10"/>
      <name val="GillSans"/>
      <charset val="1"/>
    </font>
    <font>
      <sz val="8"/>
      <color rgb="FF33CCCC"/>
      <name val="Times New Roman"/>
      <family val="1"/>
      <charset val="1"/>
    </font>
    <font>
      <sz val="10"/>
      <name val="Arial"/>
      <family val="2"/>
      <charset val="1"/>
    </font>
    <font>
      <b/>
      <sz val="8"/>
      <name val="Arial"/>
      <family val="2"/>
      <charset val="1"/>
    </font>
    <font>
      <sz val="10"/>
      <name val="Trebuchet MS"/>
      <family val="2"/>
      <charset val="1"/>
    </font>
    <font>
      <sz val="11"/>
      <color rgb="FF000000"/>
      <name val="Calibri"/>
      <family val="2"/>
      <charset val="1"/>
    </font>
    <font>
      <sz val="11"/>
      <color rgb="FFFFFFFF"/>
      <name val="Calibri"/>
      <family val="2"/>
      <charset val="1"/>
    </font>
    <font>
      <sz val="11"/>
      <color rgb="FF800080"/>
      <name val="Calibri"/>
      <family val="2"/>
      <charset val="1"/>
    </font>
    <font>
      <sz val="8"/>
      <name val="Times New Roman"/>
      <family val="1"/>
      <charset val="1"/>
    </font>
    <font>
      <sz val="10"/>
      <name val="Times New Roman"/>
      <family val="1"/>
      <charset val="1"/>
    </font>
    <font>
      <b/>
      <sz val="18"/>
      <name val="Times New Roman"/>
      <family val="1"/>
      <charset val="1"/>
    </font>
    <font>
      <b/>
      <sz val="11"/>
      <color rgb="FFFF9900"/>
      <name val="Calibri"/>
      <family val="2"/>
      <charset val="1"/>
    </font>
    <font>
      <sz val="10"/>
      <color rgb="FF000000"/>
      <name val="Arial"/>
      <family val="2"/>
      <charset val="1"/>
    </font>
    <font>
      <b/>
      <sz val="11"/>
      <color rgb="FFFFFFFF"/>
      <name val="Calibri"/>
      <family val="2"/>
      <charset val="1"/>
    </font>
    <font>
      <b/>
      <sz val="8"/>
      <color rgb="FF000000"/>
      <name val="Verdana"/>
      <family val="2"/>
      <charset val="1"/>
    </font>
    <font>
      <b/>
      <sz val="7"/>
      <name val="GillSans"/>
      <charset val="1"/>
    </font>
    <font>
      <b/>
      <u/>
      <sz val="8"/>
      <color rgb="FF000000"/>
      <name val="Arial"/>
      <family val="2"/>
      <charset val="1"/>
    </font>
    <font>
      <sz val="10"/>
      <name val="Geneva"/>
      <family val="2"/>
      <charset val="1"/>
    </font>
    <font>
      <sz val="24"/>
      <name val="Arial"/>
      <family val="2"/>
      <charset val="1"/>
    </font>
    <font>
      <sz val="8"/>
      <name val="Arial"/>
      <family val="2"/>
      <charset val="1"/>
    </font>
    <font>
      <sz val="8"/>
      <color rgb="FF0000FF"/>
      <name val="Arial"/>
      <family val="2"/>
      <charset val="1"/>
    </font>
    <font>
      <b/>
      <sz val="8"/>
      <name val="Times New Roman"/>
      <family val="1"/>
      <charset val="1"/>
    </font>
    <font>
      <i/>
      <sz val="11"/>
      <color rgb="FF808080"/>
      <name val="Calibri"/>
      <family val="2"/>
      <charset val="1"/>
    </font>
    <font>
      <sz val="11"/>
      <color rgb="FF008000"/>
      <name val="Calibri"/>
      <family val="2"/>
      <charset val="1"/>
    </font>
    <font>
      <i/>
      <sz val="8"/>
      <color rgb="FF008000"/>
      <name val="Times New Roman"/>
      <family val="1"/>
      <charset val="1"/>
    </font>
    <font>
      <sz val="8"/>
      <color rgb="FF008080"/>
      <name val="Arial"/>
      <family val="2"/>
      <charset val="1"/>
    </font>
    <font>
      <b/>
      <sz val="15"/>
      <color rgb="FF003366"/>
      <name val="Calibri"/>
      <family val="2"/>
      <charset val="1"/>
    </font>
    <font>
      <b/>
      <sz val="13"/>
      <color rgb="FF003366"/>
      <name val="Calibri"/>
      <family val="2"/>
      <charset val="1"/>
    </font>
    <font>
      <b/>
      <sz val="11"/>
      <color rgb="FF003366"/>
      <name val="Calibri"/>
      <family val="2"/>
      <charset val="1"/>
    </font>
    <font>
      <sz val="10"/>
      <color rgb="FF0000FF"/>
      <name val="Trebuchet MS"/>
      <family val="2"/>
      <charset val="1"/>
    </font>
    <font>
      <sz val="10"/>
      <name val="MS Sans Serif"/>
      <family val="2"/>
      <charset val="1"/>
    </font>
    <font>
      <sz val="11"/>
      <color rgb="FF333399"/>
      <name val="Calibri"/>
      <family val="2"/>
      <charset val="1"/>
    </font>
    <font>
      <b/>
      <sz val="10"/>
      <color rgb="FFFFFFFF"/>
      <name val="Times New Roman"/>
      <family val="1"/>
      <charset val="1"/>
    </font>
    <font>
      <sz val="1"/>
      <color rgb="FFFFFFFF"/>
      <name val="Symbol"/>
      <family val="1"/>
      <charset val="2"/>
    </font>
    <font>
      <b/>
      <sz val="10"/>
      <name val="Arial"/>
      <family val="2"/>
      <charset val="1"/>
    </font>
    <font>
      <sz val="11"/>
      <color rgb="FFFF9900"/>
      <name val="Calibri"/>
      <family val="2"/>
      <charset val="1"/>
    </font>
    <font>
      <sz val="8"/>
      <color rgb="FF000080"/>
      <name val="Times New Roman"/>
      <family val="1"/>
      <charset val="1"/>
    </font>
    <font>
      <sz val="11"/>
      <color rgb="FF993300"/>
      <name val="Calibri"/>
      <family val="2"/>
      <charset val="1"/>
    </font>
    <font>
      <b/>
      <u/>
      <sz val="8"/>
      <color rgb="FF000000"/>
      <name val="Verdana"/>
      <family val="2"/>
      <charset val="1"/>
    </font>
    <font>
      <b/>
      <sz val="10"/>
      <color rgb="FFFFFFFF"/>
      <name val="Arial"/>
      <family val="2"/>
      <charset val="1"/>
    </font>
    <font>
      <b/>
      <sz val="12"/>
      <color rgb="FF000000"/>
      <name val="Verdana"/>
      <family val="2"/>
      <charset val="1"/>
    </font>
    <font>
      <b/>
      <sz val="11"/>
      <color rgb="FF333333"/>
      <name val="Calibri"/>
      <family val="2"/>
      <charset val="1"/>
    </font>
    <font>
      <sz val="10"/>
      <name val="Palatino"/>
      <family val="1"/>
      <charset val="1"/>
    </font>
    <font>
      <sz val="12"/>
      <name val="Baskerville MT"/>
      <charset val="1"/>
    </font>
    <font>
      <u/>
      <sz val="10"/>
      <name val="GillSans"/>
      <family val="2"/>
      <charset val="1"/>
    </font>
    <font>
      <sz val="8"/>
      <color rgb="FFFF0000"/>
      <name val="Arial"/>
      <family val="2"/>
      <charset val="1"/>
    </font>
    <font>
      <sz val="10"/>
      <name val="GillSans Light"/>
      <charset val="1"/>
    </font>
    <font>
      <b/>
      <sz val="8"/>
      <color rgb="FFFFFFFF"/>
      <name val="Verdana"/>
      <family val="2"/>
      <charset val="1"/>
    </font>
    <font>
      <b/>
      <sz val="12"/>
      <name val="Arial"/>
      <family val="2"/>
      <charset val="1"/>
    </font>
    <font>
      <b/>
      <sz val="16"/>
      <name val="Arial"/>
      <family val="2"/>
      <charset val="1"/>
    </font>
    <font>
      <sz val="8"/>
      <name val="MS Sans Serif"/>
      <family val="2"/>
      <charset val="1"/>
    </font>
    <font>
      <sz val="8.25"/>
      <color rgb="FF000000"/>
      <name val="Arial"/>
      <family val="2"/>
      <charset val="1"/>
    </font>
    <font>
      <sz val="8"/>
      <color rgb="FF000000"/>
      <name val="Arial"/>
      <family val="2"/>
      <charset val="1"/>
    </font>
    <font>
      <sz val="7"/>
      <name val="Times New Roman"/>
      <family val="1"/>
      <charset val="1"/>
    </font>
    <font>
      <sz val="7"/>
      <color rgb="FF008000"/>
      <name val="Times New Roman"/>
      <family val="1"/>
      <charset val="1"/>
    </font>
    <font>
      <sz val="7"/>
      <color rgb="FF000080"/>
      <name val="Times New Roman"/>
      <family val="1"/>
      <charset val="1"/>
    </font>
    <font>
      <b/>
      <sz val="12"/>
      <name val="GillSans"/>
      <family val="2"/>
      <charset val="1"/>
    </font>
    <font>
      <b/>
      <sz val="8"/>
      <color rgb="FF000000"/>
      <name val="Arial"/>
      <family val="2"/>
      <charset val="1"/>
    </font>
    <font>
      <i/>
      <sz val="8"/>
      <color rgb="FF000000"/>
      <name val="Arial"/>
      <family val="2"/>
      <charset val="1"/>
    </font>
    <font>
      <b/>
      <sz val="18"/>
      <color rgb="FF003366"/>
      <name val="Cambria"/>
      <family val="2"/>
      <charset val="1"/>
    </font>
    <font>
      <b/>
      <sz val="11"/>
      <name val="GillSans"/>
      <charset val="1"/>
    </font>
    <font>
      <b/>
      <sz val="8"/>
      <color rgb="FF000080"/>
      <name val="Times New Roman"/>
      <family val="1"/>
      <charset val="1"/>
    </font>
    <font>
      <b/>
      <sz val="13"/>
      <color rgb="FF000000"/>
      <name val="Verdana"/>
      <family val="2"/>
      <charset val="1"/>
    </font>
    <font>
      <i/>
      <sz val="8"/>
      <name val="Times New Roman"/>
      <family val="1"/>
      <charset val="1"/>
    </font>
    <font>
      <u/>
      <sz val="11"/>
      <name val="GillSans"/>
      <family val="2"/>
      <charset val="1"/>
    </font>
    <font>
      <b/>
      <sz val="11"/>
      <color rgb="FF000000"/>
      <name val="Calibri"/>
      <family val="2"/>
      <charset val="1"/>
    </font>
    <font>
      <sz val="11"/>
      <color rgb="FFFF0000"/>
      <name val="Calibri"/>
      <family val="2"/>
      <charset val="1"/>
    </font>
    <font>
      <b/>
      <sz val="11"/>
      <color theme="1"/>
      <name val="Calibri"/>
      <family val="2"/>
      <charset val="1"/>
    </font>
    <font>
      <i/>
      <sz val="11"/>
      <color rgb="FF000000"/>
      <name val="Calibri"/>
      <family val="2"/>
      <charset val="1"/>
    </font>
    <font>
      <sz val="11"/>
      <color rgb="FF0000FF"/>
      <name val="Calibri"/>
      <family val="2"/>
      <charset val="1"/>
    </font>
    <font>
      <i/>
      <sz val="11"/>
      <color theme="1"/>
      <name val="Calibri"/>
      <family val="2"/>
      <charset val="1"/>
    </font>
    <font>
      <i/>
      <sz val="11"/>
      <color rgb="FF0000FF"/>
      <name val="Calibri"/>
      <family val="2"/>
      <charset val="1"/>
    </font>
    <font>
      <u/>
      <sz val="11"/>
      <color theme="1"/>
      <name val="Calibri"/>
      <family val="2"/>
      <charset val="1"/>
    </font>
    <font>
      <sz val="9"/>
      <color rgb="FF008000"/>
      <name val="Calibri"/>
      <family val="2"/>
      <charset val="1"/>
    </font>
    <font>
      <sz val="8"/>
      <color rgb="FFFF0000"/>
      <name val="Calibri"/>
      <family val="2"/>
      <charset val="1"/>
    </font>
    <font>
      <sz val="11"/>
      <color rgb="FF000000"/>
      <name val="Times New Roman"/>
      <family val="1"/>
      <charset val="1"/>
    </font>
    <font>
      <b/>
      <u/>
      <sz val="11"/>
      <color theme="1"/>
      <name val="Calibri"/>
      <family val="2"/>
      <charset val="1"/>
    </font>
    <font>
      <sz val="11"/>
      <name val="Calibri"/>
      <family val="2"/>
      <charset val="1"/>
    </font>
    <font>
      <b/>
      <sz val="9"/>
      <color theme="1"/>
      <name val="Calibri"/>
      <family val="2"/>
      <charset val="1"/>
    </font>
    <font>
      <b/>
      <sz val="11"/>
      <name val="Calibri"/>
      <family val="2"/>
      <charset val="1"/>
    </font>
    <font>
      <b/>
      <sz val="11"/>
      <color rgb="FF008000"/>
      <name val="Calibri"/>
      <family val="2"/>
      <charset val="1"/>
    </font>
    <font>
      <u/>
      <sz val="11"/>
      <color rgb="FF000000"/>
      <name val="Calibri"/>
      <family val="2"/>
      <charset val="1"/>
    </font>
    <font>
      <b/>
      <sz val="11"/>
      <color rgb="FF0000FF"/>
      <name val="Calibri"/>
      <family val="2"/>
      <charset val="1"/>
    </font>
    <font>
      <sz val="11"/>
      <color theme="1"/>
      <name val="Calibri"/>
      <family val="2"/>
      <charset val="1"/>
    </font>
  </fonts>
  <fills count="39">
    <fill>
      <patternFill patternType="none"/>
    </fill>
    <fill>
      <patternFill patternType="gray125"/>
    </fill>
    <fill>
      <patternFill patternType="solid">
        <fgColor rgb="FFC0C0C0"/>
        <bgColor rgb="FFC0C0FF"/>
      </patternFill>
    </fill>
    <fill>
      <patternFill patternType="solid">
        <fgColor rgb="FFCCCCFF"/>
        <bgColor rgb="FFC9DAF8"/>
      </patternFill>
    </fill>
    <fill>
      <patternFill patternType="solid">
        <fgColor rgb="FFFF99CC"/>
        <bgColor rgb="FFFF8080"/>
      </patternFill>
    </fill>
    <fill>
      <patternFill patternType="solid">
        <fgColor rgb="FFCCFFCC"/>
        <bgColor rgb="FFCCFFFF"/>
      </patternFill>
    </fill>
    <fill>
      <patternFill patternType="solid">
        <fgColor rgb="FFCC99FF"/>
        <bgColor rgb="FFC0C0FF"/>
      </patternFill>
    </fill>
    <fill>
      <patternFill patternType="solid">
        <fgColor rgb="FFCCFFFF"/>
        <bgColor rgb="FFD2F2FF"/>
      </patternFill>
    </fill>
    <fill>
      <patternFill patternType="solid">
        <fgColor rgb="FFFFCC99"/>
        <bgColor rgb="FFF4CCCC"/>
      </patternFill>
    </fill>
    <fill>
      <patternFill patternType="solid">
        <fgColor rgb="FF99CCFF"/>
        <bgColor rgb="FFC0C0FF"/>
      </patternFill>
    </fill>
    <fill>
      <patternFill patternType="solid">
        <fgColor rgb="FFFF8080"/>
        <bgColor rgb="FFFF99CC"/>
      </patternFill>
    </fill>
    <fill>
      <patternFill patternType="solid">
        <fgColor rgb="FF00FF00"/>
        <bgColor rgb="FF33CCCC"/>
      </patternFill>
    </fill>
    <fill>
      <patternFill patternType="solid">
        <fgColor rgb="FFFFCC00"/>
        <bgColor rgb="FFFFFF00"/>
      </patternFill>
    </fill>
    <fill>
      <patternFill patternType="solid">
        <fgColor rgb="FF0066CC"/>
        <bgColor rgb="FF008080"/>
      </patternFill>
    </fill>
    <fill>
      <patternFill patternType="solid">
        <fgColor rgb="FF800080"/>
        <bgColor rgb="FF800080"/>
      </patternFill>
    </fill>
    <fill>
      <patternFill patternType="solid">
        <fgColor rgb="FF33CCCC"/>
        <bgColor rgb="FF4BACC6"/>
      </patternFill>
    </fill>
    <fill>
      <patternFill patternType="solid">
        <fgColor rgb="FFFF9900"/>
        <bgColor rgb="FFFFCC00"/>
      </patternFill>
    </fill>
    <fill>
      <patternFill patternType="solid">
        <fgColor rgb="FF333399"/>
        <bgColor rgb="FF003366"/>
      </patternFill>
    </fill>
    <fill>
      <patternFill patternType="solid">
        <fgColor rgb="FFFF0000"/>
        <bgColor rgb="FF9C0006"/>
      </patternFill>
    </fill>
    <fill>
      <patternFill patternType="solid">
        <fgColor rgb="FF339966"/>
        <bgColor rgb="FF008080"/>
      </patternFill>
    </fill>
    <fill>
      <patternFill patternType="solid">
        <fgColor rgb="FFFF6600"/>
        <bgColor rgb="FFFF9900"/>
      </patternFill>
    </fill>
    <fill>
      <patternFill patternType="solid">
        <fgColor rgb="FF969696"/>
        <bgColor rgb="FF808080"/>
      </patternFill>
    </fill>
    <fill>
      <patternFill patternType="solid">
        <fgColor rgb="FF993300"/>
        <bgColor rgb="FF993366"/>
      </patternFill>
    </fill>
    <fill>
      <patternFill patternType="solid">
        <fgColor rgb="FFC0C0FF"/>
        <bgColor rgb="FFCCCCFF"/>
      </patternFill>
    </fill>
    <fill>
      <patternFill patternType="solid">
        <fgColor rgb="FFFFFFCC"/>
        <bgColor rgb="FFFFFFFF"/>
      </patternFill>
    </fill>
    <fill>
      <patternFill patternType="solid">
        <fgColor rgb="FF00FFFF"/>
        <bgColor rgb="FF33CCCC"/>
      </patternFill>
    </fill>
    <fill>
      <patternFill patternType="solid">
        <fgColor rgb="FFFFFF99"/>
        <bgColor rgb="FFFFFFCC"/>
      </patternFill>
    </fill>
    <fill>
      <patternFill patternType="solid">
        <fgColor rgb="FF000000"/>
        <bgColor rgb="FF003300"/>
      </patternFill>
    </fill>
    <fill>
      <patternFill patternType="solid">
        <fgColor rgb="FFFFFF00"/>
        <bgColor rgb="FFFFCC00"/>
      </patternFill>
    </fill>
    <fill>
      <patternFill patternType="solid">
        <fgColor rgb="FF808080"/>
        <bgColor rgb="FF969696"/>
      </patternFill>
    </fill>
    <fill>
      <patternFill patternType="solid">
        <fgColor rgb="FF333333"/>
        <bgColor rgb="FF333300"/>
      </patternFill>
    </fill>
    <fill>
      <patternFill patternType="solid">
        <fgColor rgb="FF003366"/>
        <bgColor rgb="FF333399"/>
      </patternFill>
    </fill>
    <fill>
      <patternFill patternType="solid">
        <fgColor rgb="FF993366"/>
        <bgColor rgb="FF993366"/>
      </patternFill>
    </fill>
    <fill>
      <patternFill patternType="solid">
        <fgColor rgb="FFE0E0E0"/>
        <bgColor rgb="FFEEECE1"/>
      </patternFill>
    </fill>
    <fill>
      <patternFill patternType="solid">
        <fgColor rgb="FFFCE5CD"/>
        <bgColor rgb="FFEEECE1"/>
      </patternFill>
    </fill>
    <fill>
      <patternFill patternType="solid">
        <fgColor rgb="FFC9DAF8"/>
        <bgColor rgb="FFCCCCFF"/>
      </patternFill>
    </fill>
    <fill>
      <patternFill patternType="solid">
        <fgColor rgb="FFF4CCCC"/>
        <bgColor rgb="FFFFCC99"/>
      </patternFill>
    </fill>
    <fill>
      <patternFill patternType="solid">
        <fgColor rgb="FFD2F2FF"/>
        <bgColor rgb="FFCCFFFF"/>
      </patternFill>
    </fill>
    <fill>
      <patternFill patternType="solid">
        <fgColor theme="2"/>
        <bgColor rgb="FFFCE5CD"/>
      </patternFill>
    </fill>
  </fills>
  <borders count="45">
    <border>
      <left/>
      <right/>
      <top/>
      <bottom/>
      <diagonal/>
    </border>
    <border>
      <left style="thin">
        <color rgb="FF808080"/>
      </left>
      <right style="thin">
        <color rgb="FF808080"/>
      </right>
      <top style="thin">
        <color rgb="FF808080"/>
      </top>
      <bottom style="thin">
        <color rgb="FF808080"/>
      </bottom>
      <diagonal/>
    </border>
    <border>
      <left/>
      <right/>
      <top/>
      <bottom style="double">
        <color auto="1"/>
      </bottom>
      <diagonal/>
    </border>
    <border>
      <left style="double">
        <color rgb="FF333333"/>
      </left>
      <right style="double">
        <color rgb="FF333333"/>
      </right>
      <top style="double">
        <color rgb="FF333333"/>
      </top>
      <bottom style="double">
        <color rgb="FF333333"/>
      </bottom>
      <diagonal/>
    </border>
    <border>
      <left/>
      <right/>
      <top/>
      <bottom style="thin">
        <color auto="1"/>
      </bottom>
      <diagonal/>
    </border>
    <border>
      <left style="thin">
        <color rgb="FF808080"/>
      </left>
      <right style="thin">
        <color rgb="FF808080"/>
      </right>
      <top/>
      <bottom/>
      <diagonal/>
    </border>
    <border>
      <left/>
      <right style="thin">
        <color auto="1"/>
      </right>
      <top/>
      <bottom/>
      <diagonal/>
    </border>
    <border>
      <left style="thin">
        <color auto="1"/>
      </left>
      <right style="thin">
        <color auto="1"/>
      </right>
      <top/>
      <bottom style="thin">
        <color auto="1"/>
      </bottom>
      <diagonal/>
    </border>
    <border>
      <left style="thin">
        <color rgb="FFFFFFFF"/>
      </left>
      <right style="thin">
        <color rgb="FFFFFFFF"/>
      </right>
      <top/>
      <bottom/>
      <diagonal/>
    </border>
    <border>
      <left style="thin">
        <color auto="1"/>
      </left>
      <right style="thin">
        <color auto="1"/>
      </right>
      <top style="thin">
        <color auto="1"/>
      </top>
      <bottom style="thin">
        <color auto="1"/>
      </bottom>
      <diagonal/>
    </border>
    <border>
      <left/>
      <right/>
      <top/>
      <bottom style="thick">
        <color rgb="FF333399"/>
      </bottom>
      <diagonal/>
    </border>
    <border>
      <left/>
      <right/>
      <top/>
      <bottom style="thick">
        <color rgb="FFC0C0C0"/>
      </bottom>
      <diagonal/>
    </border>
    <border>
      <left/>
      <right/>
      <top/>
      <bottom style="medium">
        <color rgb="FF0066CC"/>
      </bottom>
      <diagonal/>
    </border>
    <border>
      <left/>
      <right/>
      <top/>
      <bottom style="double">
        <color rgb="FFFF9900"/>
      </bottom>
      <diagonal/>
    </border>
    <border>
      <left/>
      <right style="hair">
        <color auto="1"/>
      </right>
      <top/>
      <bottom/>
      <diagonal/>
    </border>
    <border>
      <left style="thin">
        <color rgb="FFC0C0C0"/>
      </left>
      <right style="thin">
        <color rgb="FFC0C0C0"/>
      </right>
      <top style="thin">
        <color rgb="FFC0C0C0"/>
      </top>
      <bottom style="thin">
        <color rgb="FFC0C0C0"/>
      </bottom>
      <diagonal/>
    </border>
    <border>
      <left style="thin">
        <color rgb="FF333333"/>
      </left>
      <right style="thin">
        <color rgb="FF333333"/>
      </right>
      <top style="thin">
        <color rgb="FF333333"/>
      </top>
      <bottom style="thin">
        <color rgb="FF333333"/>
      </bottom>
      <diagonal/>
    </border>
    <border>
      <left/>
      <right style="thin">
        <color auto="1"/>
      </right>
      <top style="thin">
        <color auto="1"/>
      </top>
      <bottom/>
      <diagonal/>
    </border>
    <border>
      <left/>
      <right/>
      <top/>
      <bottom style="thick">
        <color auto="1"/>
      </bottom>
      <diagonal/>
    </border>
    <border>
      <left/>
      <right/>
      <top style="thin">
        <color rgb="FF333399"/>
      </top>
      <bottom style="double">
        <color rgb="FF333399"/>
      </bottom>
      <diagonal/>
    </border>
    <border>
      <left/>
      <right/>
      <top style="medium">
        <color auto="1"/>
      </top>
      <bottom style="medium">
        <color auto="1"/>
      </bottom>
      <diagonal/>
    </border>
    <border>
      <left/>
      <right/>
      <top style="medium">
        <color auto="1"/>
      </top>
      <bottom/>
      <diagonal/>
    </border>
    <border>
      <left style="hair">
        <color auto="1"/>
      </left>
      <right style="hair">
        <color auto="1"/>
      </right>
      <top style="hair">
        <color auto="1"/>
      </top>
      <bottom style="hair">
        <color auto="1"/>
      </bottom>
      <diagonal/>
    </border>
    <border>
      <left/>
      <right/>
      <top/>
      <bottom style="hair">
        <color auto="1"/>
      </bottom>
      <diagonal/>
    </border>
    <border>
      <left/>
      <right/>
      <top style="thin">
        <color auto="1"/>
      </top>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right/>
      <top style="hair">
        <color auto="1"/>
      </top>
      <bottom/>
      <diagonal/>
    </border>
    <border>
      <left/>
      <right/>
      <top/>
      <bottom style="medium">
        <color auto="1"/>
      </bottom>
      <diagonal/>
    </border>
    <border>
      <left style="thin">
        <color auto="1"/>
      </left>
      <right/>
      <top style="thin">
        <color auto="1"/>
      </top>
      <bottom/>
      <diagonal/>
    </border>
    <border>
      <left/>
      <right/>
      <top style="thin">
        <color auto="1"/>
      </top>
      <bottom style="medium">
        <color auto="1"/>
      </bottom>
      <diagonal/>
    </border>
    <border>
      <left style="thin">
        <color auto="1"/>
      </left>
      <right style="medium">
        <color auto="1"/>
      </right>
      <top/>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right style="medium">
        <color auto="1"/>
      </right>
      <top/>
      <bottom/>
      <diagonal/>
    </border>
    <border>
      <left style="medium">
        <color auto="1"/>
      </left>
      <right style="medium">
        <color auto="1"/>
      </right>
      <top/>
      <bottom style="thin">
        <color auto="1"/>
      </bottom>
      <diagonal/>
    </border>
    <border>
      <left style="medium">
        <color auto="1"/>
      </left>
      <right style="medium">
        <color auto="1"/>
      </right>
      <top/>
      <bottom/>
      <diagonal/>
    </border>
    <border>
      <left style="medium">
        <color auto="1"/>
      </left>
      <right style="medium">
        <color auto="1"/>
      </right>
      <top/>
      <bottom style="medium">
        <color auto="1"/>
      </bottom>
      <diagonal/>
    </border>
    <border>
      <left/>
      <right/>
      <top style="thin">
        <color auto="1"/>
      </top>
      <bottom style="hair">
        <color auto="1"/>
      </bottom>
      <diagonal/>
    </border>
    <border>
      <left/>
      <right style="hair">
        <color auto="1"/>
      </right>
      <top style="hair">
        <color auto="1"/>
      </top>
      <bottom/>
      <diagonal/>
    </border>
    <border>
      <left/>
      <right style="hair">
        <color auto="1"/>
      </right>
      <top/>
      <bottom style="hair">
        <color auto="1"/>
      </bottom>
      <diagonal/>
    </border>
    <border>
      <left style="hair">
        <color auto="1"/>
      </left>
      <right/>
      <top/>
      <bottom/>
      <diagonal/>
    </border>
    <border>
      <left style="hair">
        <color auto="1"/>
      </left>
      <right/>
      <top style="hair">
        <color auto="1"/>
      </top>
      <bottom/>
      <diagonal/>
    </border>
    <border>
      <left style="hair">
        <color auto="1"/>
      </left>
      <right/>
      <top/>
      <bottom style="hair">
        <color auto="1"/>
      </bottom>
      <diagonal/>
    </border>
  </borders>
  <cellStyleXfs count="210">
    <xf numFmtId="0" fontId="0" fillId="0" borderId="0"/>
    <xf numFmtId="173" fontId="85" fillId="0" borderId="0"/>
    <xf numFmtId="0" fontId="2" fillId="0" borderId="0"/>
    <xf numFmtId="164" fontId="2" fillId="0" borderId="0">
      <alignment horizontal="right"/>
    </xf>
    <xf numFmtId="165" fontId="2" fillId="2" borderId="0"/>
    <xf numFmtId="166" fontId="2" fillId="2" borderId="0"/>
    <xf numFmtId="167" fontId="2" fillId="2" borderId="0"/>
    <xf numFmtId="168" fontId="2" fillId="2" borderId="0">
      <alignment horizontal="right"/>
    </xf>
    <xf numFmtId="169" fontId="3" fillId="0" borderId="0"/>
    <xf numFmtId="0" fontId="4" fillId="0" borderId="0"/>
    <xf numFmtId="170" fontId="5" fillId="0" borderId="0">
      <alignment horizontal="right"/>
    </xf>
    <xf numFmtId="171" fontId="6" fillId="0" borderId="0"/>
    <xf numFmtId="0" fontId="7" fillId="3" borderId="0"/>
    <xf numFmtId="0" fontId="7" fillId="4" borderId="0"/>
    <xf numFmtId="0" fontId="7" fillId="5" borderId="0"/>
    <xf numFmtId="0" fontId="7" fillId="6" borderId="0"/>
    <xf numFmtId="0" fontId="7" fillId="7" borderId="0"/>
    <xf numFmtId="0" fontId="7" fillId="8" borderId="0"/>
    <xf numFmtId="0" fontId="7" fillId="9" borderId="0"/>
    <xf numFmtId="0" fontId="7" fillId="10" borderId="0"/>
    <xf numFmtId="0" fontId="7" fillId="11" borderId="0"/>
    <xf numFmtId="0" fontId="7" fillId="6" borderId="0"/>
    <xf numFmtId="0" fontId="7" fillId="9" borderId="0"/>
    <xf numFmtId="0" fontId="7" fillId="12" borderId="0"/>
    <xf numFmtId="0" fontId="8" fillId="13" borderId="0"/>
    <xf numFmtId="0" fontId="8" fillId="10" borderId="0"/>
    <xf numFmtId="0" fontId="8" fillId="11" borderId="0"/>
    <xf numFmtId="0" fontId="8" fillId="14" borderId="0"/>
    <xf numFmtId="0" fontId="8" fillId="15" borderId="0"/>
    <xf numFmtId="0" fontId="8" fillId="16" borderId="0"/>
    <xf numFmtId="0" fontId="8" fillId="17" borderId="0"/>
    <xf numFmtId="0" fontId="8" fillId="18" borderId="0"/>
    <xf numFmtId="0" fontId="8" fillId="19" borderId="0"/>
    <xf numFmtId="0" fontId="8" fillId="14" borderId="0"/>
    <xf numFmtId="0" fontId="8" fillId="15" borderId="0"/>
    <xf numFmtId="0" fontId="8" fillId="20" borderId="0"/>
    <xf numFmtId="0" fontId="6" fillId="0" borderId="0"/>
    <xf numFmtId="0" fontId="9" fillId="4" borderId="0"/>
    <xf numFmtId="172" fontId="10" fillId="0" borderId="0"/>
    <xf numFmtId="38" fontId="10" fillId="0" borderId="0">
      <protection locked="0"/>
    </xf>
    <xf numFmtId="0" fontId="11" fillId="0" borderId="0"/>
    <xf numFmtId="37" fontId="12" fillId="0" borderId="0">
      <alignment horizontal="center"/>
    </xf>
    <xf numFmtId="0" fontId="13" fillId="2" borderId="1"/>
    <xf numFmtId="172" fontId="10" fillId="0" borderId="0">
      <protection locked="0"/>
    </xf>
    <xf numFmtId="0" fontId="14" fillId="0" borderId="0"/>
    <xf numFmtId="172" fontId="10" fillId="0" borderId="2"/>
    <xf numFmtId="0" fontId="15" fillId="21" borderId="3"/>
    <xf numFmtId="0" fontId="16" fillId="0" borderId="0"/>
    <xf numFmtId="0" fontId="4" fillId="0" borderId="0">
      <alignment horizontal="center" wrapText="1"/>
      <protection hidden="1"/>
    </xf>
    <xf numFmtId="0" fontId="17" fillId="0" borderId="4">
      <alignment horizontal="left" vertical="center"/>
    </xf>
    <xf numFmtId="0" fontId="17" fillId="0" borderId="4">
      <alignment horizontal="right" vertical="center"/>
    </xf>
    <xf numFmtId="0" fontId="18" fillId="22" borderId="0"/>
    <xf numFmtId="173" fontId="4" fillId="0" borderId="0"/>
    <xf numFmtId="37" fontId="19" fillId="0" borderId="0"/>
    <xf numFmtId="39" fontId="19" fillId="0" borderId="0"/>
    <xf numFmtId="0" fontId="20" fillId="23" borderId="0">
      <alignment horizontal="center" vertical="center" wrapText="1"/>
    </xf>
    <xf numFmtId="174" fontId="4" fillId="0" borderId="0">
      <alignment horizontal="right"/>
      <protection locked="0"/>
    </xf>
    <xf numFmtId="0" fontId="21" fillId="0" borderId="0"/>
    <xf numFmtId="175" fontId="4" fillId="0" borderId="0"/>
    <xf numFmtId="176" fontId="21" fillId="0" borderId="5"/>
    <xf numFmtId="177" fontId="19" fillId="0" borderId="0"/>
    <xf numFmtId="178" fontId="6" fillId="0" borderId="0">
      <alignment horizontal="right"/>
    </xf>
    <xf numFmtId="179" fontId="2" fillId="2" borderId="6">
      <alignment horizontal="right"/>
    </xf>
    <xf numFmtId="180" fontId="2" fillId="2" borderId="6">
      <alignment horizontal="right"/>
    </xf>
    <xf numFmtId="179" fontId="2" fillId="2" borderId="6">
      <alignment horizontal="right"/>
    </xf>
    <xf numFmtId="15" fontId="5" fillId="0" borderId="0"/>
    <xf numFmtId="181" fontId="22" fillId="24" borderId="7"/>
    <xf numFmtId="182" fontId="5" fillId="0" borderId="0"/>
    <xf numFmtId="183" fontId="21" fillId="0" borderId="0"/>
    <xf numFmtId="181" fontId="21" fillId="24" borderId="0"/>
    <xf numFmtId="184" fontId="5" fillId="0" borderId="4"/>
    <xf numFmtId="185" fontId="23" fillId="0" borderId="0">
      <alignment horizontal="center"/>
    </xf>
    <xf numFmtId="186" fontId="23" fillId="0" borderId="0">
      <alignment horizontal="center"/>
    </xf>
    <xf numFmtId="187" fontId="6" fillId="0" borderId="0"/>
    <xf numFmtId="188" fontId="10" fillId="0" borderId="0"/>
    <xf numFmtId="189" fontId="10" fillId="0" borderId="0">
      <alignment horizontal="right"/>
    </xf>
    <xf numFmtId="189" fontId="10" fillId="0" borderId="0"/>
    <xf numFmtId="39" fontId="2" fillId="25" borderId="0"/>
    <xf numFmtId="175" fontId="2" fillId="25" borderId="0"/>
    <xf numFmtId="190" fontId="2" fillId="25" borderId="0"/>
    <xf numFmtId="191" fontId="2" fillId="0" borderId="0"/>
    <xf numFmtId="192" fontId="2" fillId="25" borderId="0"/>
    <xf numFmtId="193" fontId="11" fillId="0" borderId="0">
      <alignment horizontal="left"/>
      <protection locked="0"/>
    </xf>
    <xf numFmtId="194" fontId="2" fillId="0" borderId="0"/>
    <xf numFmtId="195" fontId="11" fillId="0" borderId="0">
      <alignment horizontal="left"/>
      <protection locked="0"/>
    </xf>
    <xf numFmtId="196" fontId="4" fillId="0" borderId="0"/>
    <xf numFmtId="0" fontId="24" fillId="0" borderId="0"/>
    <xf numFmtId="169" fontId="2" fillId="0" borderId="8"/>
    <xf numFmtId="197" fontId="2" fillId="2" borderId="6">
      <alignment horizontal="right"/>
    </xf>
    <xf numFmtId="198" fontId="2" fillId="2" borderId="6">
      <alignment horizontal="right"/>
    </xf>
    <xf numFmtId="197" fontId="2" fillId="2" borderId="6">
      <alignment horizontal="right"/>
    </xf>
    <xf numFmtId="199" fontId="10" fillId="0" borderId="0">
      <protection locked="0"/>
    </xf>
    <xf numFmtId="0" fontId="25" fillId="5" borderId="0"/>
    <xf numFmtId="200" fontId="26" fillId="0" borderId="0"/>
    <xf numFmtId="169" fontId="27" fillId="0" borderId="0">
      <alignment horizontal="left"/>
      <protection locked="0"/>
    </xf>
    <xf numFmtId="199" fontId="6" fillId="26" borderId="9"/>
    <xf numFmtId="0" fontId="28" fillId="0" borderId="10"/>
    <xf numFmtId="0" fontId="29" fillId="0" borderId="11"/>
    <xf numFmtId="0" fontId="30" fillId="0" borderId="12"/>
    <xf numFmtId="0" fontId="30" fillId="0" borderId="0"/>
    <xf numFmtId="199" fontId="31" fillId="0" borderId="0"/>
    <xf numFmtId="0" fontId="32" fillId="0" borderId="0"/>
    <xf numFmtId="172" fontId="10" fillId="0" borderId="0"/>
    <xf numFmtId="38" fontId="10" fillId="0" borderId="0">
      <alignment horizontal="right"/>
      <protection locked="0"/>
    </xf>
    <xf numFmtId="0" fontId="33" fillId="8" borderId="1"/>
    <xf numFmtId="0" fontId="21" fillId="24" borderId="0">
      <protection locked="0"/>
    </xf>
    <xf numFmtId="0" fontId="4" fillId="0" borderId="0">
      <alignment horizontal="right"/>
      <protection locked="0"/>
    </xf>
    <xf numFmtId="17" fontId="34" fillId="27" borderId="0"/>
    <xf numFmtId="0" fontId="35" fillId="0" borderId="0"/>
    <xf numFmtId="201" fontId="4" fillId="0" borderId="0">
      <alignment horizontal="right"/>
      <protection locked="0"/>
    </xf>
    <xf numFmtId="0" fontId="36" fillId="28" borderId="9">
      <alignment horizontal="left" vertical="center" wrapText="1"/>
    </xf>
    <xf numFmtId="0" fontId="37" fillId="0" borderId="13"/>
    <xf numFmtId="202" fontId="10" fillId="0" borderId="0">
      <alignment horizontal="right"/>
    </xf>
    <xf numFmtId="203" fontId="2" fillId="0" borderId="0">
      <alignment horizontal="right"/>
    </xf>
    <xf numFmtId="204" fontId="2" fillId="25" borderId="0">
      <alignment horizontal="right"/>
    </xf>
    <xf numFmtId="185" fontId="5" fillId="0" borderId="4"/>
    <xf numFmtId="205" fontId="2" fillId="0" borderId="0">
      <alignment horizontal="right"/>
    </xf>
    <xf numFmtId="203" fontId="2" fillId="0" borderId="0">
      <alignment horizontal="right"/>
    </xf>
    <xf numFmtId="169" fontId="38" fillId="0" borderId="0">
      <alignment horizontal="right"/>
    </xf>
    <xf numFmtId="169" fontId="38" fillId="0" borderId="0"/>
    <xf numFmtId="206" fontId="2" fillId="2" borderId="6">
      <alignment horizontal="right"/>
    </xf>
    <xf numFmtId="207" fontId="10" fillId="0" borderId="0"/>
    <xf numFmtId="0" fontId="7" fillId="29" borderId="14"/>
    <xf numFmtId="0" fontId="19" fillId="2" borderId="0">
      <alignment horizontal="right"/>
      <protection hidden="1"/>
    </xf>
    <xf numFmtId="0" fontId="39" fillId="26" borderId="0"/>
    <xf numFmtId="0" fontId="40" fillId="17" borderId="0"/>
    <xf numFmtId="0" fontId="41" fillId="30" borderId="0"/>
    <xf numFmtId="0" fontId="42" fillId="0" borderId="0"/>
    <xf numFmtId="0" fontId="4" fillId="0" borderId="0"/>
    <xf numFmtId="37" fontId="4" fillId="0" borderId="0"/>
    <xf numFmtId="208" fontId="4" fillId="0" borderId="0"/>
    <xf numFmtId="39" fontId="4" fillId="0" borderId="0"/>
    <xf numFmtId="209" fontId="4" fillId="0" borderId="0"/>
    <xf numFmtId="0" fontId="5" fillId="0" borderId="0"/>
    <xf numFmtId="0" fontId="21" fillId="0" borderId="0"/>
    <xf numFmtId="210" fontId="21" fillId="0" borderId="0">
      <alignment horizontal="right"/>
    </xf>
    <xf numFmtId="211" fontId="21" fillId="0" borderId="0"/>
    <xf numFmtId="0" fontId="7" fillId="24" borderId="15"/>
    <xf numFmtId="0" fontId="19" fillId="0" borderId="0"/>
    <xf numFmtId="212" fontId="4" fillId="0" borderId="0"/>
    <xf numFmtId="0" fontId="19" fillId="0" borderId="0"/>
    <xf numFmtId="0" fontId="43" fillId="2" borderId="16"/>
    <xf numFmtId="213" fontId="10" fillId="0" borderId="0">
      <alignment horizontal="right"/>
    </xf>
    <xf numFmtId="0" fontId="44" fillId="0" borderId="0"/>
    <xf numFmtId="0" fontId="21" fillId="0" borderId="0"/>
    <xf numFmtId="214" fontId="2" fillId="25" borderId="0"/>
    <xf numFmtId="9" fontId="10" fillId="0" borderId="0">
      <alignment horizontal="right"/>
    </xf>
    <xf numFmtId="215" fontId="2" fillId="0" borderId="0"/>
    <xf numFmtId="0" fontId="4" fillId="0" borderId="0"/>
    <xf numFmtId="165" fontId="4" fillId="0" borderId="0"/>
    <xf numFmtId="216" fontId="4" fillId="0" borderId="0"/>
    <xf numFmtId="217" fontId="4" fillId="0" borderId="0">
      <alignment horizontal="right"/>
      <protection locked="0"/>
    </xf>
    <xf numFmtId="200" fontId="10" fillId="0" borderId="0"/>
    <xf numFmtId="188" fontId="10" fillId="0" borderId="0"/>
    <xf numFmtId="172" fontId="10" fillId="0" borderId="0">
      <protection locked="0"/>
    </xf>
    <xf numFmtId="199" fontId="10" fillId="0" borderId="0"/>
    <xf numFmtId="38" fontId="10" fillId="0" borderId="0"/>
    <xf numFmtId="167" fontId="2" fillId="2" borderId="17">
      <alignment horizontal="right"/>
    </xf>
    <xf numFmtId="218" fontId="45" fillId="2" borderId="0"/>
    <xf numFmtId="219" fontId="2" fillId="2" borderId="0"/>
    <xf numFmtId="0" fontId="46" fillId="0" borderId="0">
      <alignment horizontal="center"/>
    </xf>
    <xf numFmtId="0" fontId="2" fillId="0" borderId="4">
      <alignment horizontal="center"/>
    </xf>
    <xf numFmtId="220" fontId="2" fillId="2" borderId="0">
      <alignment horizontal="right"/>
    </xf>
    <xf numFmtId="221" fontId="2" fillId="2" borderId="6">
      <alignment horizontal="right"/>
    </xf>
    <xf numFmtId="222" fontId="4" fillId="0" borderId="0">
      <alignment horizontal="right"/>
      <protection locked="0"/>
    </xf>
    <xf numFmtId="199" fontId="47" fillId="0" borderId="0">
      <alignment horizontal="left"/>
    </xf>
    <xf numFmtId="199" fontId="23" fillId="0" borderId="0"/>
    <xf numFmtId="0" fontId="48" fillId="0" borderId="0">
      <alignment horizontal="right" vertical="center"/>
    </xf>
    <xf numFmtId="0" fontId="49" fillId="31" borderId="0"/>
    <xf numFmtId="0" fontId="50" fillId="23" borderId="9">
      <alignment horizontal="center" vertical="center" wrapText="1"/>
      <protection hidden="1"/>
    </xf>
    <xf numFmtId="172" fontId="10" fillId="0" borderId="0">
      <protection locked="0"/>
    </xf>
    <xf numFmtId="223" fontId="23" fillId="0" borderId="0">
      <alignment horizontal="right"/>
    </xf>
    <xf numFmtId="38" fontId="4" fillId="0" borderId="0"/>
    <xf numFmtId="0" fontId="51" fillId="0" borderId="18">
      <alignment horizontal="left" vertical="top" wrapText="1"/>
    </xf>
    <xf numFmtId="0" fontId="32" fillId="0" borderId="0">
      <alignment horizontal="left" vertical="top" wrapText="1"/>
    </xf>
    <xf numFmtId="0" fontId="52" fillId="0" borderId="0">
      <alignment horizontal="left" vertical="top" wrapText="1"/>
    </xf>
    <xf numFmtId="0" fontId="53" fillId="0" borderId="0"/>
    <xf numFmtId="0" fontId="18" fillId="32" borderId="0"/>
    <xf numFmtId="0" fontId="54" fillId="0" borderId="0">
      <alignment vertical="top"/>
    </xf>
    <xf numFmtId="224" fontId="22" fillId="0" borderId="0">
      <alignment horizontal="right" wrapText="1"/>
    </xf>
    <xf numFmtId="225" fontId="22" fillId="0" borderId="0">
      <alignment horizontal="right"/>
    </xf>
    <xf numFmtId="4" fontId="21" fillId="0" borderId="0">
      <alignment horizontal="right"/>
    </xf>
    <xf numFmtId="192" fontId="55" fillId="0" borderId="0"/>
    <xf numFmtId="226" fontId="56" fillId="0" borderId="0">
      <alignment horizontal="left"/>
      <protection locked="0"/>
    </xf>
    <xf numFmtId="226" fontId="56" fillId="0" borderId="0"/>
    <xf numFmtId="226" fontId="57" fillId="0" borderId="0">
      <alignment horizontal="left"/>
      <protection locked="0"/>
    </xf>
    <xf numFmtId="226" fontId="57" fillId="0" borderId="0">
      <protection locked="0"/>
    </xf>
    <xf numFmtId="199" fontId="10" fillId="0" borderId="0">
      <protection locked="0"/>
    </xf>
    <xf numFmtId="0" fontId="54" fillId="0" borderId="0"/>
    <xf numFmtId="199" fontId="55" fillId="0" borderId="0"/>
    <xf numFmtId="0" fontId="54" fillId="0" borderId="0"/>
    <xf numFmtId="49" fontId="58" fillId="0" borderId="0"/>
    <xf numFmtId="0" fontId="59" fillId="0" borderId="0"/>
    <xf numFmtId="0" fontId="60" fillId="0" borderId="0"/>
    <xf numFmtId="0" fontId="54" fillId="0" borderId="0"/>
    <xf numFmtId="227" fontId="21" fillId="0" borderId="0">
      <alignment horizontal="right"/>
    </xf>
    <xf numFmtId="228" fontId="4" fillId="0" borderId="0"/>
    <xf numFmtId="229" fontId="4" fillId="0" borderId="0"/>
    <xf numFmtId="0" fontId="61" fillId="0" borderId="0"/>
    <xf numFmtId="0" fontId="62" fillId="33" borderId="0">
      <alignment horizontal="left" vertical="center"/>
    </xf>
    <xf numFmtId="199" fontId="63" fillId="0" borderId="0"/>
    <xf numFmtId="0" fontId="64" fillId="0" borderId="0"/>
    <xf numFmtId="0" fontId="4" fillId="0" borderId="0"/>
    <xf numFmtId="38" fontId="65" fillId="0" borderId="0">
      <alignment horizontal="left"/>
    </xf>
    <xf numFmtId="0" fontId="66" fillId="0" borderId="0"/>
    <xf numFmtId="0" fontId="67" fillId="0" borderId="19"/>
    <xf numFmtId="0" fontId="68" fillId="0" borderId="0"/>
    <xf numFmtId="1" fontId="10" fillId="0" borderId="0"/>
    <xf numFmtId="230" fontId="4" fillId="0" borderId="0"/>
    <xf numFmtId="231" fontId="21" fillId="0" borderId="0"/>
  </cellStyleXfs>
  <cellXfs count="288">
    <xf numFmtId="0" fontId="0" fillId="0" borderId="0" xfId="0"/>
    <xf numFmtId="0" fontId="9" fillId="0" borderId="0" xfId="0" applyFont="1" applyAlignment="1">
      <alignment horizontal="center"/>
    </xf>
    <xf numFmtId="0" fontId="69" fillId="0" borderId="0" xfId="0" applyFont="1" applyAlignment="1">
      <alignment horizontal="center"/>
    </xf>
    <xf numFmtId="0" fontId="69" fillId="0" borderId="24" xfId="0" applyFont="1" applyBorder="1" applyAlignment="1">
      <alignment horizontal="center"/>
    </xf>
    <xf numFmtId="0" fontId="69" fillId="0" borderId="20" xfId="0" applyFont="1" applyBorder="1"/>
    <xf numFmtId="0" fontId="0" fillId="0" borderId="20" xfId="0" applyBorder="1"/>
    <xf numFmtId="185" fontId="70" fillId="0" borderId="0" xfId="0" applyNumberFormat="1" applyFont="1" applyAlignment="1">
      <alignment horizontal="left"/>
    </xf>
    <xf numFmtId="0" fontId="0" fillId="0" borderId="21" xfId="0" applyBorder="1"/>
    <xf numFmtId="0" fontId="7" fillId="0" borderId="0" xfId="0" applyFont="1"/>
    <xf numFmtId="0" fontId="71" fillId="0" borderId="0" xfId="0" applyFont="1" applyAlignment="1">
      <alignment horizontal="center"/>
    </xf>
    <xf numFmtId="232" fontId="71" fillId="34" borderId="22" xfId="0" applyNumberFormat="1" applyFont="1" applyFill="1" applyBorder="1" applyAlignment="1">
      <alignment horizontal="center"/>
    </xf>
    <xf numFmtId="188" fontId="71" fillId="0" borderId="0" xfId="0" applyNumberFormat="1" applyFont="1" applyAlignment="1">
      <alignment horizontal="center"/>
    </xf>
    <xf numFmtId="185" fontId="71" fillId="0" borderId="0" xfId="0" applyNumberFormat="1" applyFont="1" applyAlignment="1">
      <alignment horizontal="center"/>
    </xf>
    <xf numFmtId="233" fontId="71" fillId="0" borderId="0" xfId="0" applyNumberFormat="1" applyFont="1" applyAlignment="1">
      <alignment horizontal="center"/>
    </xf>
    <xf numFmtId="173" fontId="71" fillId="35" borderId="0" xfId="1" applyFont="1" applyFill="1" applyAlignment="1">
      <alignment horizontal="center"/>
    </xf>
    <xf numFmtId="0" fontId="71" fillId="0" borderId="0" xfId="0" applyFont="1"/>
    <xf numFmtId="0" fontId="69" fillId="0" borderId="4" xfId="0" applyFont="1" applyBorder="1"/>
    <xf numFmtId="0" fontId="0" fillId="0" borderId="4" xfId="0" applyBorder="1"/>
    <xf numFmtId="234" fontId="69" fillId="0" borderId="0" xfId="0" applyNumberFormat="1" applyFont="1"/>
    <xf numFmtId="0" fontId="72" fillId="0" borderId="4" xfId="0" applyFont="1" applyBorder="1"/>
    <xf numFmtId="233" fontId="72" fillId="0" borderId="4" xfId="0" applyNumberFormat="1" applyFont="1" applyBorder="1"/>
    <xf numFmtId="188" fontId="7" fillId="0" borderId="0" xfId="0" applyNumberFormat="1" applyFont="1"/>
    <xf numFmtId="235" fontId="7" fillId="0" borderId="0" xfId="0" applyNumberFormat="1" applyFont="1"/>
    <xf numFmtId="0" fontId="72" fillId="0" borderId="0" xfId="0" applyFont="1"/>
    <xf numFmtId="233" fontId="73" fillId="0" borderId="0" xfId="0" applyNumberFormat="1" applyFont="1"/>
    <xf numFmtId="233" fontId="72" fillId="0" borderId="0" xfId="0" applyNumberFormat="1" applyFont="1"/>
    <xf numFmtId="37" fontId="71" fillId="35" borderId="0" xfId="0" applyNumberFormat="1" applyFont="1" applyFill="1"/>
    <xf numFmtId="0" fontId="69" fillId="0" borderId="0" xfId="0" applyFont="1"/>
    <xf numFmtId="37" fontId="67" fillId="35" borderId="0" xfId="0" applyNumberFormat="1" applyFont="1" applyFill="1"/>
    <xf numFmtId="0" fontId="0" fillId="0" borderId="0" xfId="0" applyAlignment="1">
      <alignment horizontal="left" indent="1"/>
    </xf>
    <xf numFmtId="0" fontId="0" fillId="0" borderId="0" xfId="0" applyAlignment="1">
      <alignment horizontal="left"/>
    </xf>
    <xf numFmtId="0" fontId="69" fillId="0" borderId="0" xfId="0" applyFont="1" applyAlignment="1">
      <alignment horizontal="left"/>
    </xf>
    <xf numFmtId="0" fontId="74" fillId="0" borderId="0" xfId="0" applyFont="1"/>
    <xf numFmtId="0" fontId="7" fillId="29" borderId="0" xfId="0" applyFont="1" applyFill="1"/>
    <xf numFmtId="236" fontId="7" fillId="35" borderId="0" xfId="0" applyNumberFormat="1" applyFont="1" applyFill="1"/>
    <xf numFmtId="237" fontId="71" fillId="0" borderId="0" xfId="0" applyNumberFormat="1" applyFont="1"/>
    <xf numFmtId="185" fontId="72" fillId="0" borderId="0" xfId="0" applyNumberFormat="1" applyFont="1"/>
    <xf numFmtId="234" fontId="67" fillId="0" borderId="0" xfId="0" applyNumberFormat="1" applyFont="1"/>
    <xf numFmtId="233" fontId="70" fillId="0" borderId="4" xfId="0" applyNumberFormat="1" applyFont="1" applyBorder="1"/>
    <xf numFmtId="37" fontId="71" fillId="0" borderId="0" xfId="0" applyNumberFormat="1" applyFont="1"/>
    <xf numFmtId="3" fontId="0" fillId="0" borderId="0" xfId="0" applyNumberFormat="1"/>
    <xf numFmtId="37" fontId="67" fillId="0" borderId="0" xfId="0" applyNumberFormat="1" applyFont="1"/>
    <xf numFmtId="37" fontId="0" fillId="0" borderId="0" xfId="0" applyNumberFormat="1"/>
    <xf numFmtId="0" fontId="67" fillId="0" borderId="0" xfId="0" applyFont="1"/>
    <xf numFmtId="37" fontId="7" fillId="0" borderId="0" xfId="0" applyNumberFormat="1" applyFont="1"/>
    <xf numFmtId="37" fontId="69" fillId="0" borderId="0" xfId="0" applyNumberFormat="1" applyFont="1"/>
    <xf numFmtId="37" fontId="72" fillId="0" borderId="0" xfId="0" applyNumberFormat="1" applyFont="1"/>
    <xf numFmtId="37" fontId="71" fillId="35" borderId="23" xfId="0" applyNumberFormat="1" applyFont="1" applyFill="1" applyBorder="1"/>
    <xf numFmtId="10" fontId="71" fillId="35" borderId="0" xfId="0" applyNumberFormat="1" applyFont="1" applyFill="1"/>
    <xf numFmtId="10" fontId="71" fillId="0" borderId="0" xfId="0" applyNumberFormat="1" applyFont="1"/>
    <xf numFmtId="37" fontId="7" fillId="0" borderId="0" xfId="0" applyNumberFormat="1" applyFont="1" applyAlignment="1">
      <alignment horizontal="left" indent="1"/>
    </xf>
    <xf numFmtId="236" fontId="0" fillId="0" borderId="0" xfId="0" applyNumberFormat="1"/>
    <xf numFmtId="188" fontId="71" fillId="28" borderId="0" xfId="0" applyNumberFormat="1" applyFont="1" applyFill="1" applyAlignment="1">
      <alignment horizontal="center"/>
    </xf>
    <xf numFmtId="9" fontId="0" fillId="0" borderId="0" xfId="0" applyNumberFormat="1"/>
    <xf numFmtId="209" fontId="71" fillId="0" borderId="0" xfId="0" applyNumberFormat="1" applyFont="1" applyAlignment="1">
      <alignment horizontal="center"/>
    </xf>
    <xf numFmtId="238" fontId="69" fillId="0" borderId="0" xfId="0" applyNumberFormat="1" applyFont="1"/>
    <xf numFmtId="9" fontId="72" fillId="0" borderId="0" xfId="0" applyNumberFormat="1" applyFont="1"/>
    <xf numFmtId="202" fontId="72" fillId="0" borderId="0" xfId="0" applyNumberFormat="1" applyFont="1"/>
    <xf numFmtId="37" fontId="7" fillId="35" borderId="0" xfId="0" applyNumberFormat="1" applyFont="1" applyFill="1"/>
    <xf numFmtId="37" fontId="71" fillId="28" borderId="0" xfId="0" applyNumberFormat="1" applyFont="1" applyFill="1"/>
    <xf numFmtId="37" fontId="0" fillId="36" borderId="0" xfId="0" applyNumberFormat="1" applyFill="1"/>
    <xf numFmtId="37" fontId="0" fillId="35" borderId="0" xfId="0" applyNumberFormat="1" applyFill="1"/>
    <xf numFmtId="4" fontId="0" fillId="0" borderId="0" xfId="0" applyNumberFormat="1"/>
    <xf numFmtId="237" fontId="7" fillId="0" borderId="0" xfId="0" applyNumberFormat="1" applyFont="1"/>
    <xf numFmtId="237" fontId="71" fillId="28" borderId="0" xfId="0" applyNumberFormat="1" applyFont="1" applyFill="1"/>
    <xf numFmtId="238" fontId="67" fillId="0" borderId="0" xfId="0" applyNumberFormat="1" applyFont="1"/>
    <xf numFmtId="37" fontId="69" fillId="35" borderId="0" xfId="0" applyNumberFormat="1" applyFont="1" applyFill="1"/>
    <xf numFmtId="0" fontId="0" fillId="0" borderId="23" xfId="0" applyBorder="1" applyAlignment="1">
      <alignment horizontal="left" indent="1"/>
    </xf>
    <xf numFmtId="37" fontId="71" fillId="0" borderId="23" xfId="0" applyNumberFormat="1" applyFont="1" applyBorder="1"/>
    <xf numFmtId="37" fontId="0" fillId="35" borderId="23" xfId="0" applyNumberFormat="1" applyFill="1" applyBorder="1"/>
    <xf numFmtId="0" fontId="69" fillId="0" borderId="0" xfId="0" applyFont="1" applyAlignment="1">
      <alignment horizontal="left" indent="1"/>
    </xf>
    <xf numFmtId="237" fontId="0" fillId="0" borderId="0" xfId="0" applyNumberFormat="1"/>
    <xf numFmtId="237" fontId="7" fillId="35" borderId="0" xfId="0" applyNumberFormat="1" applyFont="1" applyFill="1"/>
    <xf numFmtId="236" fontId="71" fillId="35" borderId="0" xfId="0" applyNumberFormat="1" applyFont="1" applyFill="1"/>
    <xf numFmtId="232" fontId="0" fillId="0" borderId="0" xfId="0" applyNumberFormat="1"/>
    <xf numFmtId="0" fontId="69" fillId="0" borderId="4" xfId="0" applyFont="1" applyBorder="1" applyAlignment="1">
      <alignment horizontal="left"/>
    </xf>
    <xf numFmtId="237" fontId="0" fillId="0" borderId="4" xfId="0" applyNumberFormat="1" applyBorder="1"/>
    <xf numFmtId="237" fontId="7" fillId="0" borderId="4" xfId="0" applyNumberFormat="1" applyFont="1" applyBorder="1"/>
    <xf numFmtId="37" fontId="69" fillId="0" borderId="4" xfId="0" applyNumberFormat="1" applyFont="1" applyBorder="1"/>
    <xf numFmtId="37" fontId="7" fillId="35" borderId="24" xfId="0" applyNumberFormat="1" applyFont="1" applyFill="1" applyBorder="1"/>
    <xf numFmtId="0" fontId="0" fillId="0" borderId="23" xfId="0" applyBorder="1"/>
    <xf numFmtId="37" fontId="7" fillId="35" borderId="23" xfId="0" applyNumberFormat="1" applyFont="1" applyFill="1" applyBorder="1"/>
    <xf numFmtId="37" fontId="69" fillId="0" borderId="4" xfId="0" applyNumberFormat="1" applyFont="1" applyBorder="1" applyAlignment="1">
      <alignment horizontal="left"/>
    </xf>
    <xf numFmtId="37" fontId="0" fillId="36" borderId="23" xfId="0" applyNumberFormat="1" applyFill="1" applyBorder="1"/>
    <xf numFmtId="37" fontId="69" fillId="36" borderId="0" xfId="0" applyNumberFormat="1" applyFont="1" applyFill="1"/>
    <xf numFmtId="37" fontId="0" fillId="0" borderId="23" xfId="0" applyNumberFormat="1" applyBorder="1"/>
    <xf numFmtId="37" fontId="69" fillId="0" borderId="23" xfId="0" applyNumberFormat="1" applyFont="1" applyBorder="1"/>
    <xf numFmtId="0" fontId="75" fillId="0" borderId="25" xfId="0" applyFont="1" applyBorder="1" applyAlignment="1">
      <alignment horizontal="left" indent="2"/>
    </xf>
    <xf numFmtId="37" fontId="0" fillId="0" borderId="26" xfId="0" applyNumberFormat="1" applyBorder="1"/>
    <xf numFmtId="0" fontId="0" fillId="0" borderId="26" xfId="0" applyBorder="1"/>
    <xf numFmtId="37" fontId="76" fillId="0" borderId="26" xfId="0" applyNumberFormat="1" applyFont="1" applyBorder="1" applyAlignment="1">
      <alignment horizontal="right"/>
    </xf>
    <xf numFmtId="37" fontId="76" fillId="0" borderId="27" xfId="0" applyNumberFormat="1" applyFont="1" applyBorder="1" applyAlignment="1">
      <alignment horizontal="right"/>
    </xf>
    <xf numFmtId="0" fontId="75" fillId="0" borderId="0" xfId="0" applyFont="1" applyAlignment="1">
      <alignment horizontal="center"/>
    </xf>
    <xf numFmtId="37" fontId="76" fillId="0" borderId="0" xfId="0" applyNumberFormat="1" applyFont="1" applyAlignment="1">
      <alignment horizontal="right"/>
    </xf>
    <xf numFmtId="9" fontId="71" fillId="0" borderId="4" xfId="0" applyNumberFormat="1" applyFont="1" applyBorder="1"/>
    <xf numFmtId="3" fontId="77" fillId="0" borderId="0" xfId="0" applyNumberFormat="1" applyFont="1"/>
    <xf numFmtId="37" fontId="0" fillId="0" borderId="24" xfId="0" applyNumberFormat="1" applyBorder="1"/>
    <xf numFmtId="0" fontId="74" fillId="0" borderId="0" xfId="0" applyFont="1" applyAlignment="1">
      <alignment horizontal="left" indent="1"/>
    </xf>
    <xf numFmtId="0" fontId="78" fillId="0" borderId="0" xfId="0" applyFont="1" applyAlignment="1">
      <alignment horizontal="left"/>
    </xf>
    <xf numFmtId="239" fontId="71" fillId="0" borderId="0" xfId="0" applyNumberFormat="1" applyFont="1"/>
    <xf numFmtId="240" fontId="79" fillId="36" borderId="0" xfId="0" applyNumberFormat="1" applyFont="1" applyFill="1"/>
    <xf numFmtId="0" fontId="67" fillId="0" borderId="28" xfId="0" applyFont="1" applyBorder="1" applyAlignment="1">
      <alignment horizontal="left" indent="1"/>
    </xf>
    <xf numFmtId="37" fontId="67" fillId="36" borderId="28" xfId="0" applyNumberFormat="1" applyFont="1" applyFill="1" applyBorder="1"/>
    <xf numFmtId="0" fontId="0" fillId="0" borderId="0" xfId="0" applyAlignment="1">
      <alignment horizontal="left" indent="2"/>
    </xf>
    <xf numFmtId="236" fontId="71" fillId="28" borderId="0" xfId="0" applyNumberFormat="1" applyFont="1" applyFill="1"/>
    <xf numFmtId="236" fontId="79" fillId="36" borderId="0" xfId="0" applyNumberFormat="1" applyFont="1" applyFill="1"/>
    <xf numFmtId="37" fontId="67" fillId="36" borderId="0" xfId="0" applyNumberFormat="1" applyFont="1" applyFill="1"/>
    <xf numFmtId="10" fontId="71" fillId="28" borderId="0" xfId="0" applyNumberFormat="1" applyFont="1" applyFill="1"/>
    <xf numFmtId="239" fontId="71" fillId="28" borderId="0" xfId="0" applyNumberFormat="1" applyFont="1" applyFill="1"/>
    <xf numFmtId="240" fontId="7" fillId="36" borderId="0" xfId="0" applyNumberFormat="1" applyFont="1" applyFill="1"/>
    <xf numFmtId="37" fontId="7" fillId="36" borderId="0" xfId="0" applyNumberFormat="1" applyFont="1" applyFill="1"/>
    <xf numFmtId="37" fontId="7" fillId="29" borderId="0" xfId="0" applyNumberFormat="1" applyFont="1" applyFill="1"/>
    <xf numFmtId="37" fontId="0" fillId="37" borderId="0" xfId="0" applyNumberFormat="1" applyFill="1"/>
    <xf numFmtId="237" fontId="71" fillId="35" borderId="0" xfId="0" applyNumberFormat="1" applyFont="1" applyFill="1"/>
    <xf numFmtId="37" fontId="7" fillId="38" borderId="0" xfId="0" applyNumberFormat="1" applyFont="1" applyFill="1"/>
    <xf numFmtId="236" fontId="71" fillId="0" borderId="0" xfId="0" applyNumberFormat="1" applyFont="1"/>
    <xf numFmtId="9" fontId="71" fillId="0" borderId="0" xfId="0" applyNumberFormat="1" applyFont="1"/>
    <xf numFmtId="0" fontId="69" fillId="0" borderId="23" xfId="0" applyFont="1" applyBorder="1" applyAlignment="1">
      <alignment horizontal="left" indent="1"/>
    </xf>
    <xf numFmtId="239" fontId="79" fillId="35" borderId="0" xfId="0" applyNumberFormat="1" applyFont="1" applyFill="1"/>
    <xf numFmtId="37" fontId="67" fillId="0" borderId="28" xfId="0" applyNumberFormat="1" applyFont="1" applyBorder="1"/>
    <xf numFmtId="37" fontId="67" fillId="35" borderId="28" xfId="0" applyNumberFormat="1" applyFont="1" applyFill="1" applyBorder="1"/>
    <xf numFmtId="236" fontId="0" fillId="36" borderId="0" xfId="0" applyNumberFormat="1" applyFill="1"/>
    <xf numFmtId="236" fontId="79" fillId="35" borderId="0" xfId="0" applyNumberFormat="1" applyFont="1" applyFill="1"/>
    <xf numFmtId="37" fontId="7" fillId="0" borderId="24" xfId="0" applyNumberFormat="1" applyFont="1" applyBorder="1"/>
    <xf numFmtId="37" fontId="7" fillId="0" borderId="23" xfId="0" applyNumberFormat="1" applyFont="1" applyBorder="1"/>
    <xf numFmtId="240" fontId="79" fillId="0" borderId="0" xfId="0" applyNumberFormat="1" applyFont="1"/>
    <xf numFmtId="236" fontId="79" fillId="0" borderId="0" xfId="0" applyNumberFormat="1" applyFont="1"/>
    <xf numFmtId="240" fontId="7" fillId="0" borderId="0" xfId="0" applyNumberFormat="1" applyFont="1"/>
    <xf numFmtId="238" fontId="69" fillId="0" borderId="29" xfId="0" applyNumberFormat="1" applyFont="1" applyBorder="1"/>
    <xf numFmtId="0" fontId="0" fillId="0" borderId="29" xfId="0" applyBorder="1"/>
    <xf numFmtId="0" fontId="69" fillId="0" borderId="0" xfId="0" applyFont="1" applyAlignment="1">
      <alignment horizontal="center"/>
    </xf>
    <xf numFmtId="177" fontId="7" fillId="35" borderId="30" xfId="0" applyNumberFormat="1" applyFont="1" applyFill="1" applyBorder="1"/>
    <xf numFmtId="241" fontId="71" fillId="35" borderId="31" xfId="0" applyNumberFormat="1" applyFont="1" applyFill="1" applyBorder="1"/>
    <xf numFmtId="242" fontId="71" fillId="35" borderId="32" xfId="0" applyNumberFormat="1" applyFont="1" applyFill="1" applyBorder="1"/>
    <xf numFmtId="243" fontId="0" fillId="35" borderId="0" xfId="0" applyNumberFormat="1" applyFill="1"/>
    <xf numFmtId="0" fontId="69" fillId="0" borderId="0" xfId="0" applyFont="1" applyAlignment="1">
      <alignment horizontal="right"/>
    </xf>
    <xf numFmtId="0" fontId="69" fillId="0" borderId="33" xfId="0" applyFont="1" applyBorder="1"/>
    <xf numFmtId="0" fontId="80" fillId="0" borderId="34" xfId="0" applyFont="1" applyBorder="1" applyAlignment="1">
      <alignment horizontal="center"/>
    </xf>
    <xf numFmtId="0" fontId="0" fillId="0" borderId="35" xfId="0" applyBorder="1"/>
    <xf numFmtId="0" fontId="80" fillId="0" borderId="36" xfId="0" applyFont="1" applyBorder="1" applyAlignment="1">
      <alignment horizontal="center"/>
    </xf>
    <xf numFmtId="237" fontId="0" fillId="35" borderId="37" xfId="0" applyNumberFormat="1" applyFill="1" applyBorder="1" applyAlignment="1">
      <alignment horizontal="center"/>
    </xf>
    <xf numFmtId="237" fontId="0" fillId="35" borderId="0" xfId="0" applyNumberFormat="1" applyFill="1"/>
    <xf numFmtId="236" fontId="70" fillId="0" borderId="0" xfId="0" applyNumberFormat="1" applyFont="1"/>
    <xf numFmtId="0" fontId="0" fillId="0" borderId="37" xfId="0" applyBorder="1"/>
    <xf numFmtId="236" fontId="71" fillId="0" borderId="37" xfId="0" applyNumberFormat="1" applyFont="1" applyBorder="1" applyAlignment="1">
      <alignment horizontal="center"/>
    </xf>
    <xf numFmtId="0" fontId="0" fillId="0" borderId="37" xfId="0" applyBorder="1" applyAlignment="1">
      <alignment horizontal="center"/>
    </xf>
    <xf numFmtId="244" fontId="0" fillId="0" borderId="0" xfId="0" applyNumberFormat="1"/>
    <xf numFmtId="236" fontId="71" fillId="0" borderId="38" xfId="0" applyNumberFormat="1" applyFont="1" applyBorder="1" applyAlignment="1">
      <alignment horizontal="center"/>
    </xf>
    <xf numFmtId="37" fontId="79" fillId="35" borderId="0" xfId="0" applyNumberFormat="1" applyFont="1" applyFill="1"/>
    <xf numFmtId="175" fontId="67" fillId="35" borderId="0" xfId="0" applyNumberFormat="1" applyFont="1" applyFill="1"/>
    <xf numFmtId="245" fontId="81" fillId="35" borderId="0" xfId="0" applyNumberFormat="1" applyFont="1" applyFill="1"/>
    <xf numFmtId="188" fontId="0" fillId="0" borderId="0" xfId="0" applyNumberFormat="1"/>
    <xf numFmtId="188" fontId="71" fillId="35" borderId="0" xfId="0" applyNumberFormat="1" applyFont="1" applyFill="1"/>
    <xf numFmtId="188" fontId="79" fillId="35" borderId="0" xfId="0" applyNumberFormat="1" applyFont="1" applyFill="1"/>
    <xf numFmtId="0" fontId="0" fillId="0" borderId="0" xfId="0" applyAlignment="1">
      <alignment horizontal="right"/>
    </xf>
    <xf numFmtId="37" fontId="69" fillId="35" borderId="9" xfId="0" applyNumberFormat="1" applyFont="1" applyFill="1" applyBorder="1"/>
    <xf numFmtId="236" fontId="0" fillId="35" borderId="0" xfId="0" applyNumberFormat="1" applyFill="1"/>
    <xf numFmtId="188" fontId="0" fillId="35" borderId="0" xfId="0" applyNumberFormat="1" applyFill="1"/>
    <xf numFmtId="0" fontId="69" fillId="0" borderId="29" xfId="0" applyFont="1" applyBorder="1"/>
    <xf numFmtId="37" fontId="69" fillId="35" borderId="7" xfId="0" applyNumberFormat="1" applyFont="1" applyFill="1" applyBorder="1"/>
    <xf numFmtId="0" fontId="82" fillId="0" borderId="4" xfId="0" applyFont="1" applyBorder="1"/>
    <xf numFmtId="233" fontId="70" fillId="0" borderId="0" xfId="0" applyNumberFormat="1" applyFont="1"/>
    <xf numFmtId="0" fontId="67" fillId="0" borderId="39" xfId="0" applyFont="1" applyBorder="1"/>
    <xf numFmtId="0" fontId="7" fillId="0" borderId="39" xfId="0" applyFont="1" applyBorder="1"/>
    <xf numFmtId="0" fontId="83" fillId="0" borderId="0" xfId="0" applyFont="1"/>
    <xf numFmtId="0" fontId="7" fillId="0" borderId="40" xfId="0" applyFont="1" applyBorder="1"/>
    <xf numFmtId="37" fontId="71" fillId="35" borderId="14" xfId="0" applyNumberFormat="1" applyFont="1" applyFill="1" applyBorder="1"/>
    <xf numFmtId="189" fontId="0" fillId="0" borderId="0" xfId="0" applyNumberFormat="1"/>
    <xf numFmtId="3" fontId="71" fillId="0" borderId="0" xfId="0" applyNumberFormat="1" applyFont="1"/>
    <xf numFmtId="3" fontId="71" fillId="0" borderId="14" xfId="0" applyNumberFormat="1" applyFont="1" applyBorder="1"/>
    <xf numFmtId="37" fontId="7" fillId="0" borderId="14" xfId="0" applyNumberFormat="1" applyFont="1" applyBorder="1"/>
    <xf numFmtId="37" fontId="67" fillId="35" borderId="14" xfId="0" applyNumberFormat="1" applyFont="1" applyFill="1" applyBorder="1"/>
    <xf numFmtId="237" fontId="0" fillId="35" borderId="14" xfId="0" applyNumberFormat="1" applyFill="1" applyBorder="1"/>
    <xf numFmtId="237" fontId="0" fillId="0" borderId="14" xfId="0" applyNumberFormat="1" applyBorder="1"/>
    <xf numFmtId="0" fontId="69" fillId="0" borderId="23" xfId="0" applyFont="1" applyBorder="1"/>
    <xf numFmtId="0" fontId="0" fillId="0" borderId="41" xfId="0" applyBorder="1"/>
    <xf numFmtId="243" fontId="71" fillId="35" borderId="0" xfId="0" applyNumberFormat="1" applyFont="1" applyFill="1"/>
    <xf numFmtId="0" fontId="0" fillId="0" borderId="14" xfId="0" applyBorder="1"/>
    <xf numFmtId="246" fontId="7" fillId="35" borderId="0" xfId="0" applyNumberFormat="1" applyFont="1" applyFill="1"/>
    <xf numFmtId="246" fontId="7" fillId="35" borderId="40" xfId="0" applyNumberFormat="1" applyFont="1" applyFill="1" applyBorder="1"/>
    <xf numFmtId="246" fontId="71" fillId="35" borderId="28" xfId="0" applyNumberFormat="1" applyFont="1" applyFill="1" applyBorder="1"/>
    <xf numFmtId="246" fontId="71" fillId="35" borderId="0" xfId="0" applyNumberFormat="1" applyFont="1" applyFill="1"/>
    <xf numFmtId="246" fontId="7" fillId="35" borderId="14" xfId="0" applyNumberFormat="1" applyFont="1" applyFill="1" applyBorder="1"/>
    <xf numFmtId="246" fontId="7" fillId="0" borderId="0" xfId="0" applyNumberFormat="1" applyFont="1"/>
    <xf numFmtId="246" fontId="7" fillId="0" borderId="14" xfId="0" applyNumberFormat="1" applyFont="1" applyBorder="1"/>
    <xf numFmtId="246" fontId="71" fillId="0" borderId="0" xfId="0" applyNumberFormat="1" applyFont="1"/>
    <xf numFmtId="246" fontId="71" fillId="0" borderId="14" xfId="0" applyNumberFormat="1" applyFont="1" applyBorder="1"/>
    <xf numFmtId="237" fontId="7" fillId="35" borderId="42" xfId="0" applyNumberFormat="1" applyFont="1" applyFill="1" applyBorder="1"/>
    <xf numFmtId="237" fontId="7" fillId="35" borderId="14" xfId="0" applyNumberFormat="1" applyFont="1" applyFill="1" applyBorder="1"/>
    <xf numFmtId="0" fontId="0" fillId="0" borderId="42" xfId="0" applyBorder="1"/>
    <xf numFmtId="3" fontId="7" fillId="0" borderId="0" xfId="0" applyNumberFormat="1" applyFont="1"/>
    <xf numFmtId="246" fontId="0" fillId="0" borderId="0" xfId="0" applyNumberFormat="1"/>
    <xf numFmtId="236" fontId="0" fillId="35" borderId="42" xfId="0" applyNumberFormat="1" applyFill="1" applyBorder="1"/>
    <xf numFmtId="236" fontId="0" fillId="35" borderId="14" xfId="0" applyNumberFormat="1" applyFill="1" applyBorder="1"/>
    <xf numFmtId="236" fontId="7" fillId="35" borderId="42" xfId="0" applyNumberFormat="1" applyFont="1" applyFill="1" applyBorder="1"/>
    <xf numFmtId="0" fontId="7" fillId="0" borderId="43" xfId="0" applyFont="1" applyBorder="1"/>
    <xf numFmtId="0" fontId="7" fillId="0" borderId="28" xfId="0" applyFont="1" applyBorder="1"/>
    <xf numFmtId="37" fontId="71" fillId="0" borderId="14" xfId="0" applyNumberFormat="1" applyFont="1" applyBorder="1"/>
    <xf numFmtId="3" fontId="67" fillId="0" borderId="0" xfId="0" applyNumberFormat="1" applyFont="1"/>
    <xf numFmtId="3" fontId="67" fillId="0" borderId="14" xfId="0" applyNumberFormat="1" applyFont="1" applyBorder="1"/>
    <xf numFmtId="208" fontId="0" fillId="35" borderId="0" xfId="0" applyNumberFormat="1" applyFill="1"/>
    <xf numFmtId="246" fontId="71" fillId="0" borderId="42" xfId="0" applyNumberFormat="1" applyFont="1" applyBorder="1"/>
    <xf numFmtId="0" fontId="0" fillId="0" borderId="44" xfId="0" applyBorder="1"/>
    <xf numFmtId="237" fontId="7" fillId="0" borderId="42" xfId="0" applyNumberFormat="1" applyFont="1" applyBorder="1"/>
    <xf numFmtId="237" fontId="7" fillId="0" borderId="14" xfId="0" applyNumberFormat="1" applyFont="1" applyBorder="1"/>
    <xf numFmtId="236" fontId="0" fillId="0" borderId="42" xfId="0" applyNumberFormat="1" applyBorder="1"/>
    <xf numFmtId="236" fontId="0" fillId="0" borderId="14" xfId="0" applyNumberFormat="1" applyBorder="1"/>
    <xf numFmtId="236" fontId="7" fillId="0" borderId="42" xfId="0" applyNumberFormat="1" applyFont="1" applyBorder="1"/>
    <xf numFmtId="236" fontId="7" fillId="0" borderId="0" xfId="0" applyNumberFormat="1" applyFont="1"/>
    <xf numFmtId="236" fontId="7" fillId="0" borderId="44" xfId="0" applyNumberFormat="1" applyFont="1" applyBorder="1"/>
    <xf numFmtId="236" fontId="7" fillId="0" borderId="23" xfId="0" applyNumberFormat="1" applyFont="1" applyBorder="1"/>
    <xf numFmtId="0" fontId="0" fillId="0" borderId="0" xfId="0" applyAlignment="1">
      <alignment wrapText="1"/>
    </xf>
    <xf numFmtId="37" fontId="7" fillId="0" borderId="42" xfId="0" applyNumberFormat="1" applyFont="1" applyBorder="1"/>
    <xf numFmtId="243" fontId="25" fillId="0" borderId="0" xfId="0" applyNumberFormat="1" applyFont="1"/>
    <xf numFmtId="243" fontId="25" fillId="0" borderId="40" xfId="0" applyNumberFormat="1" applyFont="1" applyBorder="1"/>
    <xf numFmtId="243" fontId="71" fillId="0" borderId="0" xfId="0" applyNumberFormat="1" applyFont="1"/>
    <xf numFmtId="243" fontId="71" fillId="0" borderId="14" xfId="0" applyNumberFormat="1" applyFont="1" applyBorder="1"/>
    <xf numFmtId="246" fontId="7" fillId="0" borderId="28" xfId="0" applyNumberFormat="1" applyFont="1" applyBorder="1"/>
    <xf numFmtId="246" fontId="25" fillId="0" borderId="43" xfId="0" applyNumberFormat="1" applyFont="1" applyBorder="1"/>
    <xf numFmtId="246" fontId="25" fillId="0" borderId="0" xfId="0" applyNumberFormat="1" applyFont="1"/>
    <xf numFmtId="246" fontId="25" fillId="0" borderId="40" xfId="0" applyNumberFormat="1" applyFont="1" applyBorder="1"/>
    <xf numFmtId="236" fontId="71" fillId="0" borderId="14" xfId="0" applyNumberFormat="1" applyFont="1" applyBorder="1"/>
    <xf numFmtId="236" fontId="71" fillId="0" borderId="23" xfId="0" applyNumberFormat="1" applyFont="1" applyBorder="1"/>
    <xf numFmtId="236" fontId="71" fillId="0" borderId="41" xfId="0" applyNumberFormat="1" applyFont="1" applyBorder="1"/>
    <xf numFmtId="208" fontId="0" fillId="0" borderId="0" xfId="0" applyNumberFormat="1"/>
    <xf numFmtId="235" fontId="0" fillId="0" borderId="0" xfId="0" applyNumberFormat="1"/>
    <xf numFmtId="1" fontId="0" fillId="0" borderId="0" xfId="0" applyNumberFormat="1"/>
    <xf numFmtId="2" fontId="0" fillId="0" borderId="0" xfId="0" applyNumberFormat="1"/>
    <xf numFmtId="237" fontId="25" fillId="35" borderId="0" xfId="0" applyNumberFormat="1" applyFont="1" applyFill="1"/>
    <xf numFmtId="177" fontId="7" fillId="0" borderId="30" xfId="0" applyNumberFormat="1" applyFont="1" applyBorder="1"/>
    <xf numFmtId="241" fontId="71" fillId="0" borderId="31" xfId="0" applyNumberFormat="1" applyFont="1" applyBorder="1"/>
    <xf numFmtId="242" fontId="71" fillId="0" borderId="32" xfId="0" applyNumberFormat="1" applyFont="1" applyBorder="1"/>
    <xf numFmtId="243" fontId="0" fillId="0" borderId="0" xfId="0" applyNumberFormat="1"/>
    <xf numFmtId="0" fontId="0" fillId="35" borderId="0" xfId="0" applyFill="1" applyAlignment="1">
      <alignment horizontal="left" indent="1"/>
    </xf>
    <xf numFmtId="0" fontId="0" fillId="35" borderId="0" xfId="0" applyFill="1"/>
    <xf numFmtId="37" fontId="0" fillId="35" borderId="37" xfId="0" applyNumberFormat="1" applyFill="1" applyBorder="1" applyAlignment="1">
      <alignment horizontal="center"/>
    </xf>
    <xf numFmtId="237" fontId="0" fillId="0" borderId="37" xfId="0" applyNumberFormat="1" applyBorder="1" applyAlignment="1">
      <alignment horizontal="center"/>
    </xf>
    <xf numFmtId="0" fontId="69" fillId="35" borderId="0" xfId="0" applyFont="1" applyFill="1" applyAlignment="1">
      <alignment horizontal="left" indent="1"/>
    </xf>
    <xf numFmtId="0" fontId="0" fillId="35" borderId="37" xfId="0" applyFill="1" applyBorder="1"/>
    <xf numFmtId="0" fontId="0" fillId="35" borderId="0" xfId="0" applyFill="1" applyAlignment="1">
      <alignment horizontal="left" indent="2"/>
    </xf>
    <xf numFmtId="37" fontId="71" fillId="35" borderId="37" xfId="0" applyNumberFormat="1" applyFont="1" applyFill="1" applyBorder="1" applyAlignment="1">
      <alignment horizontal="center"/>
    </xf>
    <xf numFmtId="208" fontId="7" fillId="35" borderId="0" xfId="0" applyNumberFormat="1" applyFont="1" applyFill="1"/>
    <xf numFmtId="0" fontId="0" fillId="35" borderId="37" xfId="0" applyFill="1" applyBorder="1" applyAlignment="1">
      <alignment horizontal="center"/>
    </xf>
    <xf numFmtId="0" fontId="69" fillId="35" borderId="0" xfId="0" applyFont="1" applyFill="1" applyAlignment="1">
      <alignment horizontal="left"/>
    </xf>
    <xf numFmtId="236" fontId="71" fillId="35" borderId="37" xfId="0" applyNumberFormat="1" applyFont="1" applyFill="1" applyBorder="1" applyAlignment="1">
      <alignment horizontal="center"/>
    </xf>
    <xf numFmtId="240" fontId="0" fillId="0" borderId="0" xfId="0" applyNumberFormat="1"/>
    <xf numFmtId="238" fontId="69" fillId="0" borderId="0" xfId="0" applyNumberFormat="1" applyFont="1" applyAlignment="1">
      <alignment horizontal="center"/>
    </xf>
    <xf numFmtId="233" fontId="72" fillId="0" borderId="4" xfId="0" applyNumberFormat="1" applyFont="1" applyBorder="1" applyAlignment="1">
      <alignment horizontal="center"/>
    </xf>
    <xf numFmtId="233" fontId="72" fillId="0" borderId="0" xfId="0" applyNumberFormat="1" applyFont="1" applyAlignment="1">
      <alignment horizontal="center"/>
    </xf>
    <xf numFmtId="236" fontId="7" fillId="35" borderId="0" xfId="0" applyNumberFormat="1" applyFont="1" applyFill="1" applyAlignment="1">
      <alignment horizontal="center"/>
    </xf>
    <xf numFmtId="37" fontId="7" fillId="0" borderId="0" xfId="0" applyNumberFormat="1" applyFont="1" applyAlignment="1">
      <alignment horizontal="center"/>
    </xf>
    <xf numFmtId="37" fontId="67" fillId="0" borderId="0" xfId="0" applyNumberFormat="1" applyFont="1" applyAlignment="1">
      <alignment horizontal="center"/>
    </xf>
    <xf numFmtId="37" fontId="0" fillId="0" borderId="0" xfId="0" applyNumberFormat="1" applyAlignment="1">
      <alignment horizontal="center"/>
    </xf>
    <xf numFmtId="237" fontId="25" fillId="0" borderId="0" xfId="0" applyNumberFormat="1" applyFont="1"/>
    <xf numFmtId="0" fontId="0" fillId="0" borderId="24" xfId="0" applyBorder="1"/>
    <xf numFmtId="0" fontId="9" fillId="0" borderId="0" xfId="0" applyFont="1" applyAlignment="1">
      <alignment horizontal="center"/>
    </xf>
    <xf numFmtId="0" fontId="84" fillId="35" borderId="9" xfId="0" applyFont="1" applyFill="1" applyBorder="1" applyAlignment="1">
      <alignment horizontal="center"/>
    </xf>
    <xf numFmtId="247" fontId="0" fillId="0" borderId="0" xfId="0" applyNumberFormat="1"/>
    <xf numFmtId="247" fontId="71" fillId="35" borderId="0" xfId="0" applyNumberFormat="1" applyFont="1" applyFill="1"/>
    <xf numFmtId="37" fontId="9" fillId="0" borderId="0" xfId="0" applyNumberFormat="1" applyFont="1" applyAlignment="1">
      <alignment horizontal="center"/>
    </xf>
    <xf numFmtId="228" fontId="0" fillId="0" borderId="0" xfId="0" applyNumberFormat="1"/>
    <xf numFmtId="228" fontId="71" fillId="35" borderId="0" xfId="0" applyNumberFormat="1" applyFont="1" applyFill="1"/>
    <xf numFmtId="247" fontId="0" fillId="35" borderId="0" xfId="0" applyNumberFormat="1" applyFill="1"/>
    <xf numFmtId="247" fontId="69" fillId="35" borderId="0" xfId="0" applyNumberFormat="1" applyFont="1" applyFill="1"/>
    <xf numFmtId="247" fontId="69" fillId="0" borderId="0" xfId="0" applyNumberFormat="1" applyFont="1"/>
    <xf numFmtId="247" fontId="67" fillId="35" borderId="0" xfId="0" applyNumberFormat="1" applyFont="1" applyFill="1"/>
    <xf numFmtId="247" fontId="67" fillId="0" borderId="0" xfId="0" applyNumberFormat="1" applyFont="1"/>
    <xf numFmtId="39" fontId="0" fillId="0" borderId="0" xfId="0" applyNumberFormat="1"/>
    <xf numFmtId="237" fontId="0" fillId="0" borderId="23" xfId="0" applyNumberFormat="1" applyBorder="1"/>
    <xf numFmtId="237" fontId="7" fillId="0" borderId="23" xfId="0" applyNumberFormat="1" applyFont="1" applyBorder="1"/>
    <xf numFmtId="39" fontId="7" fillId="0" borderId="0" xfId="0" applyNumberFormat="1" applyFont="1"/>
    <xf numFmtId="39" fontId="71" fillId="35" borderId="0" xfId="0" applyNumberFormat="1" applyFont="1" applyFill="1"/>
    <xf numFmtId="0" fontId="74" fillId="0" borderId="0" xfId="0" applyFont="1" applyAlignment="1">
      <alignment horizontal="right"/>
    </xf>
    <xf numFmtId="0" fontId="71" fillId="35" borderId="0" xfId="0" applyFont="1" applyFill="1" applyAlignment="1">
      <alignment horizontal="center"/>
    </xf>
    <xf numFmtId="37" fontId="0" fillId="0" borderId="37" xfId="0" applyNumberFormat="1" applyBorder="1" applyAlignment="1">
      <alignment horizontal="center"/>
    </xf>
    <xf numFmtId="37" fontId="71" fillId="0" borderId="37" xfId="0" applyNumberFormat="1" applyFont="1" applyBorder="1" applyAlignment="1">
      <alignment horizontal="center"/>
    </xf>
    <xf numFmtId="208" fontId="7" fillId="0" borderId="0" xfId="0" applyNumberFormat="1" applyFont="1"/>
    <xf numFmtId="175" fontId="67" fillId="0" borderId="0" xfId="0" applyNumberFormat="1" applyFont="1"/>
    <xf numFmtId="247" fontId="71" fillId="0" borderId="0" xfId="0" applyNumberFormat="1" applyFont="1"/>
    <xf numFmtId="228" fontId="71" fillId="0" borderId="0" xfId="0" applyNumberFormat="1" applyFont="1"/>
    <xf numFmtId="38" fontId="69" fillId="0" borderId="0" xfId="0" applyNumberFormat="1" applyFont="1"/>
    <xf numFmtId="0" fontId="0" fillId="0" borderId="28" xfId="0" applyBorder="1"/>
    <xf numFmtId="0" fontId="75" fillId="0" borderId="26" xfId="0" applyFont="1" applyBorder="1" applyAlignment="1">
      <alignment horizontal="left" indent="2"/>
    </xf>
    <xf numFmtId="0" fontId="67" fillId="0" borderId="0" xfId="0" applyFont="1" applyAlignment="1">
      <alignment horizontal="left" indent="1"/>
    </xf>
    <xf numFmtId="188" fontId="71" fillId="0" borderId="0" xfId="0" applyNumberFormat="1" applyFont="1"/>
    <xf numFmtId="37" fontId="69" fillId="0" borderId="9" xfId="0" applyNumberFormat="1" applyFont="1" applyBorder="1"/>
    <xf numFmtId="9" fontId="7" fillId="0" borderId="0" xfId="0" applyNumberFormat="1" applyFont="1"/>
    <xf numFmtId="232" fontId="69" fillId="0" borderId="33" xfId="0" applyNumberFormat="1" applyFont="1" applyBorder="1"/>
  </cellXfs>
  <cellStyles count="210">
    <cellStyle name="******************************************" xfId="9" xr:uid="{00000000-0005-0000-0000-00000D000000}"/>
    <cellStyle name="%" xfId="8" xr:uid="{00000000-0005-0000-0000-00000C000000}"/>
    <cellStyle name="$" xfId="2" xr:uid="{00000000-0005-0000-0000-000006000000}"/>
    <cellStyle name="$m" xfId="3" xr:uid="{00000000-0005-0000-0000-000007000000}"/>
    <cellStyle name="$q" xfId="4" xr:uid="{00000000-0005-0000-0000-000008000000}"/>
    <cellStyle name="$q*" xfId="5" xr:uid="{00000000-0005-0000-0000-000009000000}"/>
    <cellStyle name="$qA" xfId="6" xr:uid="{00000000-0005-0000-0000-00000A000000}"/>
    <cellStyle name="$qRange" xfId="7" xr:uid="{00000000-0005-0000-0000-00000B000000}"/>
    <cellStyle name="10Q" xfId="10" xr:uid="{00000000-0005-0000-0000-00000E000000}"/>
    <cellStyle name="2 Decimal Places_MA Software Comps - List_AccretionDilution OTGS v16.xls Chart 1" xfId="11" xr:uid="{00000000-0005-0000-0000-00000F000000}"/>
    <cellStyle name="20% - Accent1 2" xfId="12" xr:uid="{00000000-0005-0000-0000-000010000000}"/>
    <cellStyle name="20% - Accent2 2" xfId="13" xr:uid="{00000000-0005-0000-0000-000011000000}"/>
    <cellStyle name="20% - Accent3 2" xfId="14" xr:uid="{00000000-0005-0000-0000-000012000000}"/>
    <cellStyle name="20% - Accent4 2" xfId="15" xr:uid="{00000000-0005-0000-0000-000013000000}"/>
    <cellStyle name="20% - Accent5 2" xfId="16" xr:uid="{00000000-0005-0000-0000-000014000000}"/>
    <cellStyle name="20% - Accent6 2" xfId="17" xr:uid="{00000000-0005-0000-0000-000015000000}"/>
    <cellStyle name="40% - Accent1 2" xfId="18" xr:uid="{00000000-0005-0000-0000-000016000000}"/>
    <cellStyle name="40% - Accent2 2" xfId="19" xr:uid="{00000000-0005-0000-0000-000017000000}"/>
    <cellStyle name="40% - Accent3 2" xfId="20" xr:uid="{00000000-0005-0000-0000-000018000000}"/>
    <cellStyle name="40% - Accent4 2" xfId="21" xr:uid="{00000000-0005-0000-0000-000019000000}"/>
    <cellStyle name="40% - Accent5 2" xfId="22" xr:uid="{00000000-0005-0000-0000-00001A000000}"/>
    <cellStyle name="40% - Accent6 2" xfId="23" xr:uid="{00000000-0005-0000-0000-00001B000000}"/>
    <cellStyle name="60% - Accent1 2" xfId="24" xr:uid="{00000000-0005-0000-0000-00001C000000}"/>
    <cellStyle name="60% - Accent2 2" xfId="25" xr:uid="{00000000-0005-0000-0000-00001D000000}"/>
    <cellStyle name="60% - Accent3 2" xfId="26" xr:uid="{00000000-0005-0000-0000-00001E000000}"/>
    <cellStyle name="60% - Accent4 2" xfId="27" xr:uid="{00000000-0005-0000-0000-00001F000000}"/>
    <cellStyle name="60% - Accent5 2" xfId="28" xr:uid="{00000000-0005-0000-0000-000020000000}"/>
    <cellStyle name="60% - Accent6 2" xfId="29" xr:uid="{00000000-0005-0000-0000-000021000000}"/>
    <cellStyle name="Accent1 2" xfId="30" xr:uid="{00000000-0005-0000-0000-000022000000}"/>
    <cellStyle name="Accent2 2" xfId="31" xr:uid="{00000000-0005-0000-0000-000023000000}"/>
    <cellStyle name="Accent3 2" xfId="32" xr:uid="{00000000-0005-0000-0000-000024000000}"/>
    <cellStyle name="Accent4 2" xfId="33" xr:uid="{00000000-0005-0000-0000-000025000000}"/>
    <cellStyle name="Accent5 2" xfId="34" xr:uid="{00000000-0005-0000-0000-000026000000}"/>
    <cellStyle name="Accent6 2" xfId="35" xr:uid="{00000000-0005-0000-0000-000027000000}"/>
    <cellStyle name="AFE" xfId="36" xr:uid="{00000000-0005-0000-0000-000028000000}"/>
    <cellStyle name="Bad 2" xfId="37" xr:uid="{00000000-0005-0000-0000-000029000000}"/>
    <cellStyle name="Balance" xfId="38" xr:uid="{00000000-0005-0000-0000-00002A000000}"/>
    <cellStyle name="BalanceSheet" xfId="39" xr:uid="{00000000-0005-0000-0000-00002B000000}"/>
    <cellStyle name="Body_$Numeric" xfId="40" xr:uid="{00000000-0005-0000-0000-00002C000000}"/>
    <cellStyle name="Bold Header" xfId="41" xr:uid="{00000000-0005-0000-0000-00002D000000}"/>
    <cellStyle name="Calculation 2" xfId="42" xr:uid="{00000000-0005-0000-0000-00002E000000}"/>
    <cellStyle name="CashFlow" xfId="43" xr:uid="{00000000-0005-0000-0000-00002F000000}"/>
    <cellStyle name="ChartingText" xfId="44" xr:uid="{00000000-0005-0000-0000-000030000000}"/>
    <cellStyle name="Check" xfId="45" xr:uid="{00000000-0005-0000-0000-000031000000}"/>
    <cellStyle name="Check Cell 2" xfId="46" xr:uid="{00000000-0005-0000-0000-000032000000}"/>
    <cellStyle name="CHPTop" xfId="47" xr:uid="{00000000-0005-0000-0000-000033000000}"/>
    <cellStyle name="ColHeading" xfId="48" xr:uid="{00000000-0005-0000-0000-000034000000}"/>
    <cellStyle name="colheadleft" xfId="49" xr:uid="{00000000-0005-0000-0000-000035000000}"/>
    <cellStyle name="colheadright" xfId="50" xr:uid="{00000000-0005-0000-0000-000036000000}"/>
    <cellStyle name="ColumnHeaderNormal" xfId="51" xr:uid="{00000000-0005-0000-0000-000037000000}"/>
    <cellStyle name="Comma" xfId="1" builtinId="3"/>
    <cellStyle name="Comma 2" xfId="52" xr:uid="{00000000-0005-0000-0000-000038000000}"/>
    <cellStyle name="Comma0" xfId="53" xr:uid="{00000000-0005-0000-0000-000039000000}"/>
    <cellStyle name="Comma2" xfId="54" xr:uid="{00000000-0005-0000-0000-00003A000000}"/>
    <cellStyle name="Company" xfId="55" xr:uid="{00000000-0005-0000-0000-00003B000000}"/>
    <cellStyle name="CurRatio" xfId="56" xr:uid="{00000000-0005-0000-0000-00003C000000}"/>
    <cellStyle name="Currency [1]" xfId="57" xr:uid="{00000000-0005-0000-0000-00003D000000}"/>
    <cellStyle name="Currency [2]" xfId="58" xr:uid="{00000000-0005-0000-0000-00003E000000}"/>
    <cellStyle name="Currency--" xfId="59" xr:uid="{00000000-0005-0000-0000-00003F000000}"/>
    <cellStyle name="Currency0" xfId="60" xr:uid="{00000000-0005-0000-0000-000040000000}"/>
    <cellStyle name="Currency2" xfId="61" xr:uid="{00000000-0005-0000-0000-000041000000}"/>
    <cellStyle name="d_yield" xfId="62" xr:uid="{00000000-0005-0000-0000-000042000000}"/>
    <cellStyle name="d_yield_CW's MAKER MODEL" xfId="63" xr:uid="{00000000-0005-0000-0000-000043000000}"/>
    <cellStyle name="d_yield_valuation" xfId="64" xr:uid="{00000000-0005-0000-0000-000044000000}"/>
    <cellStyle name="Date [d-mmm-yy]" xfId="65" xr:uid="{00000000-0005-0000-0000-000045000000}"/>
    <cellStyle name="Date [mm-d-yyyy]" xfId="66" xr:uid="{00000000-0005-0000-0000-000046000000}"/>
    <cellStyle name="Date [mm-dd-yy]" xfId="67" xr:uid="{00000000-0005-0000-0000-000047000000}"/>
    <cellStyle name="Date [mm-dd-yyyy]" xfId="68" xr:uid="{00000000-0005-0000-0000-000048000000}"/>
    <cellStyle name="Date [mmm-d-yyyy]" xfId="69" xr:uid="{00000000-0005-0000-0000-000049000000}"/>
    <cellStyle name="Date [mmm-yyyy]" xfId="70" xr:uid="{00000000-0005-0000-0000-00004A000000}"/>
    <cellStyle name="Dates" xfId="71" xr:uid="{00000000-0005-0000-0000-00004B000000}"/>
    <cellStyle name="DateYear" xfId="72" xr:uid="{00000000-0005-0000-0000-00004C000000}"/>
    <cellStyle name="Dezimal_Capital expenditure planning FY 2000" xfId="73" xr:uid="{00000000-0005-0000-0000-00004D000000}"/>
    <cellStyle name="Dollar" xfId="74" xr:uid="{00000000-0005-0000-0000-00004E000000}"/>
    <cellStyle name="Dollars" xfId="75" xr:uid="{00000000-0005-0000-0000-00004F000000}"/>
    <cellStyle name="DollarWhole" xfId="76" xr:uid="{00000000-0005-0000-0000-000050000000}"/>
    <cellStyle name="eps" xfId="77" xr:uid="{00000000-0005-0000-0000-000051000000}"/>
    <cellStyle name="eps$" xfId="78" xr:uid="{00000000-0005-0000-0000-000052000000}"/>
    <cellStyle name="eps$A" xfId="79" xr:uid="{00000000-0005-0000-0000-000053000000}"/>
    <cellStyle name="eps$E" xfId="80" xr:uid="{00000000-0005-0000-0000-000054000000}"/>
    <cellStyle name="epsA" xfId="81" xr:uid="{00000000-0005-0000-0000-000055000000}"/>
    <cellStyle name="EPSActual" xfId="82" xr:uid="{00000000-0005-0000-0000-000056000000}"/>
    <cellStyle name="epsE" xfId="83" xr:uid="{00000000-0005-0000-0000-000057000000}"/>
    <cellStyle name="EPSEstimate" xfId="84" xr:uid="{00000000-0005-0000-0000-000058000000}"/>
    <cellStyle name="Euro" xfId="85" xr:uid="{00000000-0005-0000-0000-000059000000}"/>
    <cellStyle name="Explanatory Text 2" xfId="86" xr:uid="{00000000-0005-0000-0000-00005A000000}"/>
    <cellStyle name="fy_eps$" xfId="87" xr:uid="{00000000-0005-0000-0000-00005B000000}"/>
    <cellStyle name="g_rate" xfId="88" xr:uid="{00000000-0005-0000-0000-00005C000000}"/>
    <cellStyle name="g_rate_CW's MAKER MODEL" xfId="89" xr:uid="{00000000-0005-0000-0000-00005D000000}"/>
    <cellStyle name="g_rate_valuation" xfId="90" xr:uid="{00000000-0005-0000-0000-00005E000000}"/>
    <cellStyle name="General" xfId="91" xr:uid="{00000000-0005-0000-0000-00005F000000}"/>
    <cellStyle name="Good 2" xfId="92" xr:uid="{00000000-0005-0000-0000-000060000000}"/>
    <cellStyle name="GrowthRate" xfId="93" xr:uid="{00000000-0005-0000-0000-000061000000}"/>
    <cellStyle name="GrowthSeq" xfId="94" xr:uid="{00000000-0005-0000-0000-000062000000}"/>
    <cellStyle name="Hard Number Input" xfId="95" xr:uid="{00000000-0005-0000-0000-000063000000}"/>
    <cellStyle name="Heading 1 2" xfId="96" xr:uid="{00000000-0005-0000-0000-000064000000}"/>
    <cellStyle name="Heading 2 2" xfId="97" xr:uid="{00000000-0005-0000-0000-000065000000}"/>
    <cellStyle name="Heading 3 2" xfId="98" xr:uid="{00000000-0005-0000-0000-000066000000}"/>
    <cellStyle name="Heading 4 2" xfId="99" xr:uid="{00000000-0005-0000-0000-000067000000}"/>
    <cellStyle name="Historical Number" xfId="100" xr:uid="{00000000-0005-0000-0000-000068000000}"/>
    <cellStyle name="iemens" xfId="101" xr:uid="{00000000-0005-0000-0000-000069000000}"/>
    <cellStyle name="Income" xfId="102" xr:uid="{00000000-0005-0000-0000-00006A000000}"/>
    <cellStyle name="IncomeStatement" xfId="103" xr:uid="{00000000-0005-0000-0000-00006B000000}"/>
    <cellStyle name="Input 2" xfId="104" xr:uid="{00000000-0005-0000-0000-00006C000000}"/>
    <cellStyle name="Input Fixed [0]" xfId="105" xr:uid="{00000000-0005-0000-0000-00006D000000}"/>
    <cellStyle name="Integer" xfId="106" xr:uid="{00000000-0005-0000-0000-00006E000000}"/>
    <cellStyle name="Inverse Header" xfId="107" xr:uid="{00000000-0005-0000-0000-00006F000000}"/>
    <cellStyle name="Invisible" xfId="108" xr:uid="{00000000-0005-0000-0000-000070000000}"/>
    <cellStyle name="Item" xfId="109" xr:uid="{00000000-0005-0000-0000-000071000000}"/>
    <cellStyle name="ItemTypeClass" xfId="110" xr:uid="{00000000-0005-0000-0000-000072000000}"/>
    <cellStyle name="Linked Cell 2" xfId="111" xr:uid="{00000000-0005-0000-0000-000073000000}"/>
    <cellStyle name="LTGR" xfId="112" xr:uid="{00000000-0005-0000-0000-000074000000}"/>
    <cellStyle name="m" xfId="113" xr:uid="{00000000-0005-0000-0000-000075000000}"/>
    <cellStyle name="m_CW's MAKER MODEL" xfId="116" xr:uid="{00000000-0005-0000-0000-000078000000}"/>
    <cellStyle name="m_valuation" xfId="117" xr:uid="{00000000-0005-0000-0000-000079000000}"/>
    <cellStyle name="m/d/yy" xfId="115" xr:uid="{00000000-0005-0000-0000-000077000000}"/>
    <cellStyle name="m$" xfId="114" xr:uid="{00000000-0005-0000-0000-000076000000}"/>
    <cellStyle name="Margin" xfId="118" xr:uid="{00000000-0005-0000-0000-00007A000000}"/>
    <cellStyle name="Margins" xfId="119" xr:uid="{00000000-0005-0000-0000-00007B000000}"/>
    <cellStyle name="mm" xfId="120" xr:uid="{00000000-0005-0000-0000-00007C000000}"/>
    <cellStyle name="Multiple" xfId="121" xr:uid="{00000000-0005-0000-0000-00007D000000}"/>
    <cellStyle name="MyStyle" xfId="122" xr:uid="{00000000-0005-0000-0000-00007E000000}"/>
    <cellStyle name="NA is zero" xfId="123" xr:uid="{00000000-0005-0000-0000-00007F000000}"/>
    <cellStyle name="Neutral 2" xfId="124" xr:uid="{00000000-0005-0000-0000-000080000000}"/>
    <cellStyle name="NewColumnHeaderNormal" xfId="125" xr:uid="{00000000-0005-0000-0000-000081000000}"/>
    <cellStyle name="NewSectionHeaderNormal" xfId="126" xr:uid="{00000000-0005-0000-0000-000082000000}"/>
    <cellStyle name="NewTitleNormal" xfId="127" xr:uid="{00000000-0005-0000-0000-000083000000}"/>
    <cellStyle name="Normal" xfId="0" builtinId="0"/>
    <cellStyle name="Normal [0]" xfId="129" xr:uid="{00000000-0005-0000-0000-000085000000}"/>
    <cellStyle name="Normal [1]" xfId="130" xr:uid="{00000000-0005-0000-0000-000086000000}"/>
    <cellStyle name="Normal [2]" xfId="131" xr:uid="{00000000-0005-0000-0000-000087000000}"/>
    <cellStyle name="Normal [3]" xfId="132" xr:uid="{00000000-0005-0000-0000-000088000000}"/>
    <cellStyle name="Normal 2" xfId="128" xr:uid="{00000000-0005-0000-0000-000084000000}"/>
    <cellStyle name="Normal Bold" xfId="133" xr:uid="{00000000-0005-0000-0000-000089000000}"/>
    <cellStyle name="Normal Pct" xfId="134" xr:uid="{00000000-0005-0000-0000-00008A000000}"/>
    <cellStyle name="Normal--" xfId="135" xr:uid="{00000000-0005-0000-0000-00008B000000}"/>
    <cellStyle name="NormalX" xfId="136" xr:uid="{00000000-0005-0000-0000-00008C000000}"/>
    <cellStyle name="Note 2" xfId="137" xr:uid="{00000000-0005-0000-0000-00008D000000}"/>
    <cellStyle name="NPPESalesPct" xfId="138" xr:uid="{00000000-0005-0000-0000-00008E000000}"/>
    <cellStyle name="Number" xfId="139" xr:uid="{00000000-0005-0000-0000-00008F000000}"/>
    <cellStyle name="NWI%S" xfId="140" xr:uid="{00000000-0005-0000-0000-000090000000}"/>
    <cellStyle name="Output 2" xfId="141" xr:uid="{00000000-0005-0000-0000-000091000000}"/>
    <cellStyle name="P/E" xfId="142" xr:uid="{00000000-0005-0000-0000-000092000000}"/>
    <cellStyle name="Palatino" xfId="143" xr:uid="{00000000-0005-0000-0000-000093000000}"/>
    <cellStyle name="pc1" xfId="144" xr:uid="{00000000-0005-0000-0000-000094000000}"/>
    <cellStyle name="pe" xfId="145" xr:uid="{00000000-0005-0000-0000-000095000000}"/>
    <cellStyle name="PE/LTGR" xfId="146" xr:uid="{00000000-0005-0000-0000-000096000000}"/>
    <cellStyle name="PEG" xfId="147" xr:uid="{00000000-0005-0000-0000-000097000000}"/>
    <cellStyle name="Percent [0]" xfId="148" xr:uid="{00000000-0005-0000-0000-000098000000}"/>
    <cellStyle name="Percent [1]" xfId="149" xr:uid="{00000000-0005-0000-0000-000099000000}"/>
    <cellStyle name="Percent [2]" xfId="150" xr:uid="{00000000-0005-0000-0000-00009A000000}"/>
    <cellStyle name="PercentChange" xfId="151" xr:uid="{00000000-0005-0000-0000-00009B000000}"/>
    <cellStyle name="PercentPresentation" xfId="152" xr:uid="{00000000-0005-0000-0000-00009C000000}"/>
    <cellStyle name="PerShare" xfId="153" xr:uid="{00000000-0005-0000-0000-00009D000000}"/>
    <cellStyle name="POPS" xfId="154" xr:uid="{00000000-0005-0000-0000-00009E000000}"/>
    <cellStyle name="Presentation" xfId="155" xr:uid="{00000000-0005-0000-0000-00009F000000}"/>
    <cellStyle name="PresentationZero" xfId="156" xr:uid="{00000000-0005-0000-0000-0000A0000000}"/>
    <cellStyle name="price" xfId="157" xr:uid="{00000000-0005-0000-0000-0000A1000000}"/>
    <cellStyle name="q" xfId="158" xr:uid="{00000000-0005-0000-0000-0000A2000000}"/>
    <cellStyle name="q_CW's MAKER MODEL" xfId="159" xr:uid="{00000000-0005-0000-0000-0000A3000000}"/>
    <cellStyle name="QEPS-h" xfId="160" xr:uid="{00000000-0005-0000-0000-0000A4000000}"/>
    <cellStyle name="QEPS-H1" xfId="161" xr:uid="{00000000-0005-0000-0000-0000A5000000}"/>
    <cellStyle name="qRange" xfId="162" xr:uid="{00000000-0005-0000-0000-0000A6000000}"/>
    <cellStyle name="range" xfId="163" xr:uid="{00000000-0005-0000-0000-0000A7000000}"/>
    <cellStyle name="RatioX" xfId="164" xr:uid="{00000000-0005-0000-0000-0000A8000000}"/>
    <cellStyle name="Red font" xfId="165" xr:uid="{00000000-0005-0000-0000-0000A9000000}"/>
    <cellStyle name="Report" xfId="166" xr:uid="{00000000-0005-0000-0000-0000AA000000}"/>
    <cellStyle name="Right" xfId="167" xr:uid="{00000000-0005-0000-0000-0000AB000000}"/>
    <cellStyle name="SectionHeaderNormal" xfId="168" xr:uid="{00000000-0005-0000-0000-0000AC000000}"/>
    <cellStyle name="SectionHeading" xfId="169" xr:uid="{00000000-0005-0000-0000-0000AD000000}"/>
    <cellStyle name="Shares" xfId="170" xr:uid="{00000000-0005-0000-0000-0000AE000000}"/>
    <cellStyle name="StockPrice" xfId="171" xr:uid="{00000000-0005-0000-0000-0000AF000000}"/>
    <cellStyle name="Style 1" xfId="172" xr:uid="{00000000-0005-0000-0000-0000B0000000}"/>
    <cellStyle name="Style 21" xfId="173" xr:uid="{00000000-0005-0000-0000-0000B1000000}"/>
    <cellStyle name="Style 22" xfId="174" xr:uid="{00000000-0005-0000-0000-0000B2000000}"/>
    <cellStyle name="Style 23" xfId="175" xr:uid="{00000000-0005-0000-0000-0000B3000000}"/>
    <cellStyle name="Style 24" xfId="176" xr:uid="{00000000-0005-0000-0000-0000B4000000}"/>
    <cellStyle name="Style 26" xfId="177" xr:uid="{00000000-0005-0000-0000-0000B5000000}"/>
    <cellStyle name="Style 27" xfId="178" xr:uid="{00000000-0005-0000-0000-0000B6000000}"/>
    <cellStyle name="Style 34" xfId="179" xr:uid="{00000000-0005-0000-0000-0000B7000000}"/>
    <cellStyle name="Style 37" xfId="180" xr:uid="{00000000-0005-0000-0000-0000B8000000}"/>
    <cellStyle name="Style 63" xfId="181" xr:uid="{00000000-0005-0000-0000-0000B9000000}"/>
    <cellStyle name="SubDollar" xfId="182" xr:uid="{00000000-0005-0000-0000-0000BA000000}"/>
    <cellStyle name="SubGrowth" xfId="183" xr:uid="{00000000-0005-0000-0000-0000BB000000}"/>
    <cellStyle name="SubGrowthRate" xfId="184" xr:uid="{00000000-0005-0000-0000-0000BC000000}"/>
    <cellStyle name="SubMargins" xfId="185" xr:uid="{00000000-0005-0000-0000-0000BD000000}"/>
    <cellStyle name="SubPenetration" xfId="186" xr:uid="{00000000-0005-0000-0000-0000BE000000}"/>
    <cellStyle name="Subscribers" xfId="187" xr:uid="{00000000-0005-0000-0000-0000BF000000}"/>
    <cellStyle name="SubScript" xfId="188" xr:uid="{00000000-0005-0000-0000-0000C0000000}"/>
    <cellStyle name="SubVariable" xfId="189" xr:uid="{00000000-0005-0000-0000-0000C1000000}"/>
    <cellStyle name="SuperScript" xfId="190" xr:uid="{00000000-0005-0000-0000-0000C2000000}"/>
    <cellStyle name="tcn" xfId="191" xr:uid="{00000000-0005-0000-0000-0000C3000000}"/>
    <cellStyle name="TextBold" xfId="192" xr:uid="{00000000-0005-0000-0000-0000C4000000}"/>
    <cellStyle name="TextItalic" xfId="193" xr:uid="{00000000-0005-0000-0000-0000C5000000}"/>
    <cellStyle name="TextNormal" xfId="194" xr:uid="{00000000-0005-0000-0000-0000C6000000}"/>
    <cellStyle name="Times" xfId="195" xr:uid="{00000000-0005-0000-0000-0000C7000000}"/>
    <cellStyle name="Times [1]" xfId="196" xr:uid="{00000000-0005-0000-0000-0000C8000000}"/>
    <cellStyle name="Times [2]" xfId="197" xr:uid="{00000000-0005-0000-0000-0000C9000000}"/>
    <cellStyle name="Title 2" xfId="198" xr:uid="{00000000-0005-0000-0000-0000CA000000}"/>
    <cellStyle name="title2" xfId="199" xr:uid="{00000000-0005-0000-0000-0000CB000000}"/>
    <cellStyle name="TitleII" xfId="200" xr:uid="{00000000-0005-0000-0000-0000CC000000}"/>
    <cellStyle name="TitleNormal" xfId="201" xr:uid="{00000000-0005-0000-0000-0000CD000000}"/>
    <cellStyle name="Titles" xfId="202" xr:uid="{00000000-0005-0000-0000-0000CE000000}"/>
    <cellStyle name="TitleSub" xfId="203" xr:uid="{00000000-0005-0000-0000-0000CF000000}"/>
    <cellStyle name="tn" xfId="204" xr:uid="{00000000-0005-0000-0000-0000D0000000}"/>
    <cellStyle name="Total 2" xfId="205" xr:uid="{00000000-0005-0000-0000-0000D1000000}"/>
    <cellStyle name="Warning Text 2" xfId="206" xr:uid="{00000000-0005-0000-0000-0000D2000000}"/>
    <cellStyle name="WholeNumber" xfId="207" xr:uid="{00000000-0005-0000-0000-0000D3000000}"/>
    <cellStyle name="Year&quot;E&quot;" xfId="208" xr:uid="{00000000-0005-0000-0000-0000D4000000}"/>
    <cellStyle name="Years" xfId="209" xr:uid="{00000000-0005-0000-0000-0000D5000000}"/>
  </cellStyles>
  <dxfs count="27">
    <dxf>
      <fill>
        <patternFill>
          <bgColor theme="8"/>
        </patternFill>
      </fill>
      <border diagonalUp="0" diagonalDown="0">
        <left/>
        <right/>
        <top style="thin">
          <color rgb="FF9C0006"/>
        </top>
        <bottom style="thin">
          <color rgb="FF9C0006"/>
        </bottom>
      </border>
    </dxf>
    <dxf>
      <fill>
        <patternFill>
          <bgColor theme="8"/>
        </patternFill>
      </fill>
      <border diagonalUp="0" diagonalDown="0">
        <left/>
        <right/>
        <top style="thin">
          <color rgb="FF9C0006"/>
        </top>
        <bottom style="thin">
          <color rgb="FF9C0006"/>
        </bottom>
      </border>
    </dxf>
    <dxf>
      <fill>
        <patternFill>
          <bgColor theme="8"/>
        </patternFill>
      </fill>
      <border diagonalUp="0" diagonalDown="0">
        <left/>
        <right/>
        <top style="thin">
          <color rgb="FF9C0006"/>
        </top>
        <bottom style="thin">
          <color rgb="FF9C0006"/>
        </bottom>
      </border>
    </dxf>
    <dxf>
      <fill>
        <patternFill>
          <bgColor theme="8"/>
        </patternFill>
      </fill>
      <border diagonalUp="0" diagonalDown="0">
        <left/>
        <right/>
        <top style="thin">
          <color rgb="FF9C0006"/>
        </top>
        <bottom style="thin">
          <color rgb="FF9C0006"/>
        </bottom>
      </border>
    </dxf>
    <dxf>
      <fill>
        <patternFill>
          <bgColor theme="8"/>
        </patternFill>
      </fill>
      <border diagonalUp="0" diagonalDown="0">
        <left/>
        <right/>
        <top style="thin">
          <color rgb="FF9C0006"/>
        </top>
        <bottom style="thin">
          <color rgb="FF9C0006"/>
        </bottom>
      </border>
    </dxf>
    <dxf>
      <fill>
        <patternFill>
          <bgColor theme="8"/>
        </patternFill>
      </fill>
      <border diagonalUp="0" diagonalDown="0">
        <left/>
        <right/>
        <top style="thin">
          <color rgb="FF9C0006"/>
        </top>
        <bottom style="thin">
          <color rgb="FF9C0006"/>
        </bottom>
      </border>
    </dxf>
    <dxf>
      <fill>
        <patternFill>
          <bgColor theme="8"/>
        </patternFill>
      </fill>
      <border diagonalUp="0" diagonalDown="0">
        <left/>
        <right/>
        <top style="thin">
          <color rgb="FF9C0006"/>
        </top>
        <bottom style="thin">
          <color rgb="FF9C0006"/>
        </bottom>
      </border>
    </dxf>
    <dxf>
      <fill>
        <patternFill>
          <bgColor theme="8"/>
        </patternFill>
      </fill>
      <border diagonalUp="0" diagonalDown="0">
        <left/>
        <right/>
        <top style="thin">
          <color rgb="FF9C0006"/>
        </top>
        <bottom style="thin">
          <color rgb="FF9C0006"/>
        </bottom>
      </border>
    </dxf>
    <dxf>
      <fill>
        <patternFill>
          <bgColor theme="8"/>
        </patternFill>
      </fill>
      <border diagonalUp="0" diagonalDown="0">
        <left/>
        <right/>
        <top style="thin">
          <color rgb="FF9C0006"/>
        </top>
        <bottom style="thin">
          <color rgb="FF9C0006"/>
        </bottom>
      </border>
    </dxf>
    <dxf>
      <fill>
        <patternFill>
          <bgColor theme="8"/>
        </patternFill>
      </fill>
      <border diagonalUp="0" diagonalDown="0">
        <left/>
        <right/>
        <top style="thin">
          <color rgb="FF9C0006"/>
        </top>
        <bottom style="thin">
          <color rgb="FF9C0006"/>
        </bottom>
      </border>
    </dxf>
    <dxf>
      <fill>
        <patternFill>
          <bgColor theme="8"/>
        </patternFill>
      </fill>
      <border diagonalUp="0" diagonalDown="0">
        <left/>
        <right/>
        <top style="thin">
          <color rgb="FF9C0006"/>
        </top>
        <bottom style="thin">
          <color rgb="FF9C0006"/>
        </bottom>
      </border>
    </dxf>
    <dxf>
      <fill>
        <patternFill>
          <bgColor theme="8"/>
        </patternFill>
      </fill>
      <border diagonalUp="0" diagonalDown="0">
        <left/>
        <right/>
        <top style="thin">
          <color rgb="FF9C0006"/>
        </top>
        <bottom style="thin">
          <color rgb="FF9C0006"/>
        </bottom>
      </border>
    </dxf>
    <dxf>
      <fill>
        <patternFill>
          <bgColor theme="8"/>
        </patternFill>
      </fill>
      <border diagonalUp="0" diagonalDown="0">
        <left/>
        <right/>
        <top style="thin">
          <color rgb="FF9C0006"/>
        </top>
        <bottom style="thin">
          <color rgb="FF9C0006"/>
        </bottom>
      </border>
    </dxf>
    <dxf>
      <fill>
        <patternFill>
          <bgColor theme="8"/>
        </patternFill>
      </fill>
      <border diagonalUp="0" diagonalDown="0">
        <left/>
        <right/>
        <top style="thin">
          <color rgb="FF9C0006"/>
        </top>
        <bottom style="thin">
          <color rgb="FF9C0006"/>
        </bottom>
      </border>
    </dxf>
    <dxf>
      <fill>
        <patternFill>
          <bgColor theme="8"/>
        </patternFill>
      </fill>
      <border diagonalUp="0" diagonalDown="0">
        <left/>
        <right/>
        <top style="thin">
          <color rgb="FF9C0006"/>
        </top>
        <bottom style="thin">
          <color rgb="FF9C0006"/>
        </bottom>
      </border>
    </dxf>
    <dxf>
      <fill>
        <patternFill>
          <bgColor theme="8"/>
        </patternFill>
      </fill>
      <border diagonalUp="0" diagonalDown="0">
        <left/>
        <right/>
        <top style="thin">
          <color rgb="FF9C0006"/>
        </top>
        <bottom style="thin">
          <color rgb="FF9C0006"/>
        </bottom>
      </border>
    </dxf>
    <dxf>
      <fill>
        <patternFill>
          <bgColor theme="8"/>
        </patternFill>
      </fill>
      <border diagonalUp="0" diagonalDown="0">
        <left/>
        <right/>
        <top style="thin">
          <color rgb="FF9C0006"/>
        </top>
        <bottom style="thin">
          <color rgb="FF9C0006"/>
        </bottom>
      </border>
    </dxf>
    <dxf>
      <fill>
        <patternFill>
          <bgColor theme="8"/>
        </patternFill>
      </fill>
      <border diagonalUp="0" diagonalDown="0">
        <left/>
        <right/>
        <top style="thin">
          <color rgb="FF9C0006"/>
        </top>
        <bottom style="thin">
          <color rgb="FF9C0006"/>
        </bottom>
      </border>
    </dxf>
    <dxf>
      <fill>
        <patternFill>
          <bgColor theme="8"/>
        </patternFill>
      </fill>
      <border diagonalUp="0" diagonalDown="0">
        <left/>
        <right/>
        <top style="thin">
          <color rgb="FF9C0006"/>
        </top>
        <bottom style="thin">
          <color rgb="FF9C0006"/>
        </bottom>
      </border>
    </dxf>
    <dxf>
      <fill>
        <patternFill>
          <bgColor theme="8"/>
        </patternFill>
      </fill>
      <border diagonalUp="0" diagonalDown="0">
        <left/>
        <right/>
        <top style="thin">
          <color rgb="FF9C0006"/>
        </top>
        <bottom style="thin">
          <color rgb="FF9C0006"/>
        </bottom>
      </border>
    </dxf>
    <dxf>
      <fill>
        <patternFill>
          <bgColor theme="8"/>
        </patternFill>
      </fill>
      <border diagonalUp="0" diagonalDown="0">
        <left/>
        <right/>
        <top style="thin">
          <color rgb="FF9C0006"/>
        </top>
        <bottom style="thin">
          <color rgb="FF9C0006"/>
        </bottom>
      </border>
    </dxf>
    <dxf>
      <fill>
        <patternFill>
          <bgColor theme="8"/>
        </patternFill>
      </fill>
      <border diagonalUp="0" diagonalDown="0">
        <left/>
        <right/>
        <top style="thin">
          <color rgb="FF9C0006"/>
        </top>
        <bottom style="thin">
          <color rgb="FF9C0006"/>
        </bottom>
      </border>
    </dxf>
    <dxf>
      <fill>
        <patternFill>
          <bgColor theme="8"/>
        </patternFill>
      </fill>
      <border diagonalUp="0" diagonalDown="0">
        <left/>
        <right/>
        <top style="thin">
          <color rgb="FF9C0006"/>
        </top>
        <bottom style="thin">
          <color rgb="FF9C0006"/>
        </bottom>
      </border>
    </dxf>
    <dxf>
      <fill>
        <patternFill>
          <bgColor theme="8"/>
        </patternFill>
      </fill>
      <border diagonalUp="0" diagonalDown="0">
        <left/>
        <right/>
        <top style="thin">
          <color rgb="FF9C0006"/>
        </top>
        <bottom style="thin">
          <color rgb="FF9C0006"/>
        </bottom>
      </border>
    </dxf>
    <dxf>
      <fill>
        <patternFill>
          <bgColor theme="8"/>
        </patternFill>
      </fill>
      <border diagonalUp="0" diagonalDown="0">
        <left/>
        <right/>
        <top style="thin">
          <color rgb="FF9C0006"/>
        </top>
        <bottom style="thin">
          <color rgb="FF9C0006"/>
        </bottom>
      </border>
    </dxf>
    <dxf>
      <fill>
        <patternFill>
          <bgColor theme="8"/>
        </patternFill>
      </fill>
      <border diagonalUp="0" diagonalDown="0">
        <left/>
        <right/>
        <top style="thin">
          <color rgb="FF9C0006"/>
        </top>
        <bottom style="thin">
          <color rgb="FF9C0006"/>
        </bottom>
      </border>
    </dxf>
    <dxf>
      <fill>
        <patternFill>
          <bgColor theme="8"/>
        </patternFill>
      </fill>
      <border diagonalUp="0" diagonalDown="0">
        <left/>
        <right/>
        <top style="thin">
          <color rgb="FF9C0006"/>
        </top>
        <bottom style="thin">
          <color rgb="FF9C0006"/>
        </bottom>
      </border>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E0E0E0"/>
      <rgbColor rgb="FF800080"/>
      <rgbColor rgb="FF008080"/>
      <rgbColor rgb="FFC0C0C0"/>
      <rgbColor rgb="FF808080"/>
      <rgbColor rgb="FFC0C0FF"/>
      <rgbColor rgb="FF993366"/>
      <rgbColor rgb="FFFFFFCC"/>
      <rgbColor rgb="FFCCFFFF"/>
      <rgbColor rgb="FF660066"/>
      <rgbColor rgb="FFFF8080"/>
      <rgbColor rgb="FF0066CC"/>
      <rgbColor rgb="FFCCCCFF"/>
      <rgbColor rgb="FF000080"/>
      <rgbColor rgb="FFFF00FF"/>
      <rgbColor rgb="FFFCE5CD"/>
      <rgbColor rgb="FFEEECE1"/>
      <rgbColor rgb="FF800080"/>
      <rgbColor rgb="FF800000"/>
      <rgbColor rgb="FF008080"/>
      <rgbColor rgb="FF0000FF"/>
      <rgbColor rgb="FF4BACC6"/>
      <rgbColor rgb="FFD2F2FF"/>
      <rgbColor rgb="FFCCFFCC"/>
      <rgbColor rgb="FFFFFF99"/>
      <rgbColor rgb="FF99CCFF"/>
      <rgbColor rgb="FFFF99CC"/>
      <rgbColor rgb="FFCC99FF"/>
      <rgbColor rgb="FFFFCC99"/>
      <rgbColor rgb="FF3366FF"/>
      <rgbColor rgb="FF33CCCC"/>
      <rgbColor rgb="FFF4CCCC"/>
      <rgbColor rgb="FFFFCC00"/>
      <rgbColor rgb="FFFF9900"/>
      <rgbColor rgb="FFFF6600"/>
      <rgbColor rgb="FFC9DAF8"/>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18.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19.xml.rels><?xml version="1.0" encoding="UTF-8" standalone="yes"?>
<Relationships xmlns="http://schemas.openxmlformats.org/package/2006/relationships"><Relationship Id="rId2" Type="http://schemas.openxmlformats.org/officeDocument/2006/relationships/comments" Target="../comments18.xml"/><Relationship Id="rId1" Type="http://schemas.openxmlformats.org/officeDocument/2006/relationships/vmlDrawing" Target="../drawings/vmlDrawing18.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C1:O75"/>
  <sheetViews>
    <sheetView zoomScaleNormal="100" workbookViewId="0">
      <selection activeCell="D11" sqref="D11"/>
    </sheetView>
  </sheetViews>
  <sheetFormatPr baseColWidth="10" defaultColWidth="8.83203125" defaultRowHeight="15"/>
  <cols>
    <col min="1" max="2" width="1.6640625" customWidth="1"/>
    <col min="3" max="3" width="48" customWidth="1"/>
    <col min="4" max="4" width="12" customWidth="1"/>
    <col min="5" max="6" width="11.5" customWidth="1"/>
    <col min="7" max="7" width="2.33203125" customWidth="1"/>
    <col min="8" max="8" width="11.5" customWidth="1"/>
    <col min="9" max="9" width="26.1640625" customWidth="1"/>
    <col min="10" max="10" width="10.33203125" customWidth="1"/>
    <col min="11" max="11" width="19.5" customWidth="1"/>
    <col min="12" max="12" width="11.5" customWidth="1"/>
    <col min="13" max="14" width="9.5" customWidth="1"/>
  </cols>
  <sheetData>
    <row r="1" spans="3:12" ht="15.75" customHeight="1"/>
    <row r="2" spans="3:12" ht="15.75" customHeight="1">
      <c r="C2" s="4" t="str">
        <f>"Financial Statement Model for "&amp;D5</f>
        <v>Financial Statement Model for Apple</v>
      </c>
      <c r="D2" s="5"/>
      <c r="E2" s="5"/>
      <c r="F2" s="5"/>
    </row>
    <row r="3" spans="3:12" ht="15" customHeight="1">
      <c r="C3" s="6" t="s">
        <v>0</v>
      </c>
      <c r="D3" s="7"/>
      <c r="E3" s="7"/>
      <c r="F3" s="7"/>
    </row>
    <row r="5" spans="3:12" ht="15" customHeight="1">
      <c r="C5" s="8" t="s">
        <v>1</v>
      </c>
      <c r="D5" s="9" t="s">
        <v>2</v>
      </c>
    </row>
    <row r="6" spans="3:12" ht="15" customHeight="1">
      <c r="C6" s="8" t="s">
        <v>3</v>
      </c>
      <c r="D6" s="9" t="s">
        <v>4</v>
      </c>
    </row>
    <row r="7" spans="3:12" ht="15" customHeight="1">
      <c r="C7" t="s">
        <v>5</v>
      </c>
      <c r="D7" s="10">
        <v>1</v>
      </c>
    </row>
    <row r="8" spans="3:12" ht="15" customHeight="1">
      <c r="C8" t="s">
        <v>6</v>
      </c>
      <c r="D8" s="11">
        <v>299.24</v>
      </c>
    </row>
    <row r="9" spans="3:12" ht="15" customHeight="1">
      <c r="C9" t="s">
        <v>7</v>
      </c>
      <c r="D9" s="12">
        <v>43500</v>
      </c>
    </row>
    <row r="10" spans="3:12" ht="15" customHeight="1">
      <c r="C10" s="8" t="s">
        <v>8</v>
      </c>
      <c r="D10" s="13">
        <v>45947</v>
      </c>
    </row>
    <row r="11" spans="3:12" ht="15" customHeight="1">
      <c r="C11" t="s">
        <v>9</v>
      </c>
      <c r="D11" s="14">
        <v>14776.352999999999</v>
      </c>
    </row>
    <row r="12" spans="3:12" ht="15" customHeight="1">
      <c r="K12" s="15"/>
      <c r="L12" s="8"/>
    </row>
    <row r="13" spans="3:12" ht="15" customHeight="1">
      <c r="C13" s="16" t="s">
        <v>10</v>
      </c>
      <c r="D13" s="17"/>
      <c r="E13" s="17"/>
      <c r="F13" s="17"/>
      <c r="K13" s="15"/>
      <c r="L13" s="8"/>
    </row>
    <row r="14" spans="3:12" ht="15" customHeight="1">
      <c r="C14" t="s">
        <v>11</v>
      </c>
      <c r="D14" s="18">
        <f>E14-1</f>
        <v>2023</v>
      </c>
      <c r="E14" s="18">
        <f>F14-1</f>
        <v>2024</v>
      </c>
      <c r="F14" s="18">
        <f>YEAR(D10)</f>
        <v>2025</v>
      </c>
      <c r="K14" s="8"/>
      <c r="L14" s="8"/>
    </row>
    <row r="15" spans="3:12" ht="15" customHeight="1">
      <c r="C15" s="19" t="s">
        <v>12</v>
      </c>
      <c r="D15" s="20">
        <f>EOMONTH(E15,-12)</f>
        <v>45230</v>
      </c>
      <c r="E15" s="20">
        <f>EOMONTH(F15,-12)</f>
        <v>45596</v>
      </c>
      <c r="F15" s="20">
        <f>D10</f>
        <v>45947</v>
      </c>
      <c r="K15" s="21"/>
      <c r="L15" s="22"/>
    </row>
    <row r="16" spans="3:12" ht="15" customHeight="1">
      <c r="C16" s="23"/>
      <c r="D16" s="24"/>
      <c r="E16" s="25"/>
      <c r="F16" s="25"/>
    </row>
    <row r="17" spans="3:8" ht="15" customHeight="1">
      <c r="C17" t="s">
        <v>13</v>
      </c>
      <c r="D17" s="26">
        <v>383285</v>
      </c>
      <c r="E17" s="26">
        <v>391035</v>
      </c>
      <c r="F17" s="26">
        <v>416161</v>
      </c>
    </row>
    <row r="18" spans="3:8" ht="15" customHeight="1">
      <c r="C18" t="s">
        <v>14</v>
      </c>
      <c r="D18" s="26">
        <v>-214137</v>
      </c>
      <c r="E18" s="26">
        <v>-210352</v>
      </c>
      <c r="F18" s="26">
        <v>-220960</v>
      </c>
    </row>
    <row r="19" spans="3:8" ht="15" customHeight="1">
      <c r="C19" s="27" t="s">
        <v>15</v>
      </c>
      <c r="D19" s="28">
        <f>SUM(D17:D18)</f>
        <v>169148</v>
      </c>
      <c r="E19" s="28">
        <f>SUM(E17:E18)</f>
        <v>180683</v>
      </c>
      <c r="F19" s="28">
        <f>SUM(F17:F18)</f>
        <v>195201</v>
      </c>
    </row>
    <row r="20" spans="3:8" ht="15" customHeight="1">
      <c r="C20" t="s">
        <v>16</v>
      </c>
      <c r="D20" s="26">
        <v>-29915</v>
      </c>
      <c r="E20" s="26">
        <v>-31370</v>
      </c>
      <c r="F20" s="26">
        <v>-34550</v>
      </c>
    </row>
    <row r="21" spans="3:8" ht="15" customHeight="1">
      <c r="C21" t="s">
        <v>17</v>
      </c>
      <c r="D21" s="26">
        <v>-24932</v>
      </c>
      <c r="E21" s="26">
        <v>-26097</v>
      </c>
      <c r="F21" s="26">
        <v>-27601</v>
      </c>
    </row>
    <row r="22" spans="3:8" ht="15" customHeight="1">
      <c r="C22" s="27" t="s">
        <v>18</v>
      </c>
      <c r="D22" s="28">
        <f>SUM(D19:D21)</f>
        <v>114301</v>
      </c>
      <c r="E22" s="28">
        <f>SUM(E19:E21)</f>
        <v>123216</v>
      </c>
      <c r="F22" s="28">
        <f>SUM(F19:F21)</f>
        <v>133050</v>
      </c>
    </row>
    <row r="23" spans="3:8" ht="15" customHeight="1">
      <c r="C23" t="s">
        <v>19</v>
      </c>
      <c r="D23" s="26">
        <v>0</v>
      </c>
      <c r="E23" s="26">
        <v>0</v>
      </c>
      <c r="F23" s="26">
        <v>0</v>
      </c>
    </row>
    <row r="24" spans="3:8" ht="15" customHeight="1">
      <c r="C24" t="s">
        <v>20</v>
      </c>
      <c r="D24" s="26">
        <v>0</v>
      </c>
      <c r="E24" s="26">
        <v>0</v>
      </c>
      <c r="F24" s="26">
        <v>0</v>
      </c>
    </row>
    <row r="25" spans="3:8" ht="15" customHeight="1">
      <c r="C25" t="s">
        <v>21</v>
      </c>
      <c r="D25" s="26">
        <v>-565</v>
      </c>
      <c r="E25" s="26">
        <v>269</v>
      </c>
      <c r="F25" s="26">
        <v>-321</v>
      </c>
    </row>
    <row r="26" spans="3:8" ht="15" customHeight="1">
      <c r="C26" s="27" t="s">
        <v>22</v>
      </c>
      <c r="D26" s="28">
        <f>SUM(D22:D25)</f>
        <v>113736</v>
      </c>
      <c r="E26" s="28">
        <f>SUM(E22:E25)</f>
        <v>123485</v>
      </c>
      <c r="F26" s="28">
        <f>SUM(F22:F25)</f>
        <v>132729</v>
      </c>
    </row>
    <row r="27" spans="3:8" ht="15" customHeight="1">
      <c r="C27" t="s">
        <v>23</v>
      </c>
      <c r="D27" s="26">
        <v>-16741</v>
      </c>
      <c r="E27" s="26">
        <v>-29749</v>
      </c>
      <c r="F27" s="26">
        <v>-20719</v>
      </c>
    </row>
    <row r="28" spans="3:8" ht="15" customHeight="1">
      <c r="C28" s="27" t="s">
        <v>24</v>
      </c>
      <c r="D28" s="28">
        <f>SUM(D26:D27)</f>
        <v>96995</v>
      </c>
      <c r="E28" s="28">
        <f>SUM(E26:E27)</f>
        <v>93736</v>
      </c>
      <c r="F28" s="28">
        <f>SUM(F26:F27)</f>
        <v>112010</v>
      </c>
      <c r="H28" s="27"/>
    </row>
    <row r="29" spans="3:8" ht="15" customHeight="1">
      <c r="C29" s="29"/>
    </row>
    <row r="30" spans="3:8" ht="15" customHeight="1">
      <c r="C30" s="30" t="s">
        <v>25</v>
      </c>
      <c r="D30" s="26">
        <v>11519</v>
      </c>
      <c r="E30" s="26">
        <v>11445</v>
      </c>
      <c r="F30" s="26">
        <v>11698</v>
      </c>
    </row>
    <row r="31" spans="3:8" ht="15" customHeight="1">
      <c r="C31" s="31" t="s">
        <v>26</v>
      </c>
      <c r="D31" s="28">
        <f>D30+D22</f>
        <v>125820</v>
      </c>
      <c r="E31" s="28">
        <f>E30+E22</f>
        <v>134661</v>
      </c>
      <c r="F31" s="28">
        <f>F30+F22</f>
        <v>144748</v>
      </c>
      <c r="H31" s="27"/>
    </row>
    <row r="32" spans="3:8" ht="15" customHeight="1">
      <c r="C32" s="30" t="s">
        <v>27</v>
      </c>
      <c r="D32" s="26">
        <v>10833</v>
      </c>
      <c r="E32" s="26">
        <v>11688</v>
      </c>
      <c r="F32" s="26">
        <v>12863</v>
      </c>
    </row>
    <row r="33" spans="3:15" ht="15" customHeight="1">
      <c r="C33" s="31" t="s">
        <v>28</v>
      </c>
      <c r="D33" s="28">
        <f>D31+D32</f>
        <v>136653</v>
      </c>
      <c r="E33" s="28">
        <f>E31+E32</f>
        <v>146349</v>
      </c>
      <c r="F33" s="28">
        <f>F31+F32</f>
        <v>157611</v>
      </c>
      <c r="H33" s="27"/>
    </row>
    <row r="34" spans="3:15" ht="15" customHeight="1">
      <c r="C34" s="29"/>
    </row>
    <row r="35" spans="3:15" ht="15" customHeight="1">
      <c r="C35" s="32" t="s">
        <v>29</v>
      </c>
    </row>
    <row r="36" spans="3:15" ht="15" customHeight="1">
      <c r="C36" s="29" t="s">
        <v>30</v>
      </c>
      <c r="D36" s="33"/>
      <c r="E36" s="34">
        <f>E17/D17-1</f>
        <v>2.021994077514111E-2</v>
      </c>
      <c r="F36" s="34">
        <f>F17/E17-1</f>
        <v>6.425511782832749E-2</v>
      </c>
      <c r="J36" s="35"/>
      <c r="K36" s="35"/>
      <c r="L36" s="35"/>
      <c r="M36" s="35"/>
      <c r="N36" s="35"/>
      <c r="O36" s="35"/>
    </row>
    <row r="37" spans="3:15" ht="15" customHeight="1">
      <c r="C37" s="29" t="s">
        <v>31</v>
      </c>
      <c r="D37" s="34">
        <f>D19/D17</f>
        <v>0.44131129577207562</v>
      </c>
      <c r="E37" s="34">
        <f>E19/E17</f>
        <v>0.46206349815233932</v>
      </c>
      <c r="F37" s="34">
        <f>F19/F17</f>
        <v>0.46905164107160452</v>
      </c>
      <c r="J37" s="35"/>
      <c r="K37" s="35"/>
      <c r="L37" s="35"/>
      <c r="M37" s="35"/>
      <c r="N37" s="35"/>
      <c r="O37" s="35"/>
    </row>
    <row r="38" spans="3:15" ht="15" customHeight="1">
      <c r="C38" s="29" t="s">
        <v>32</v>
      </c>
      <c r="D38" s="34">
        <f>-(D20/D17)</f>
        <v>7.8048971392045086E-2</v>
      </c>
      <c r="E38" s="34">
        <f>-(E20/E17)</f>
        <v>8.0222997941360744E-2</v>
      </c>
      <c r="F38" s="34">
        <f>-(F20/F17)</f>
        <v>8.3020753987038676E-2</v>
      </c>
      <c r="J38" s="35"/>
      <c r="K38" s="35"/>
      <c r="L38" s="35"/>
      <c r="M38" s="35"/>
      <c r="N38" s="35"/>
      <c r="O38" s="35"/>
    </row>
    <row r="39" spans="3:15" ht="15" customHeight="1">
      <c r="C39" s="29" t="s">
        <v>33</v>
      </c>
      <c r="D39" s="34">
        <f>-(D21/D17)</f>
        <v>6.5048201729783317E-2</v>
      </c>
      <c r="E39" s="34">
        <f>-(E21/E17)</f>
        <v>6.6738271510222866E-2</v>
      </c>
      <c r="F39" s="34">
        <f>-(F21/F17)</f>
        <v>6.6322889458647019E-2</v>
      </c>
      <c r="J39" s="35"/>
      <c r="K39" s="35"/>
      <c r="L39" s="35"/>
      <c r="M39" s="35"/>
      <c r="N39" s="35"/>
      <c r="O39" s="35"/>
    </row>
    <row r="40" spans="3:15" ht="15" customHeight="1">
      <c r="C40" s="29" t="s">
        <v>34</v>
      </c>
      <c r="D40" s="34">
        <f>-(D27/D26)</f>
        <v>0.14719174228036858</v>
      </c>
      <c r="E40" s="34">
        <f>-(E27/E26)</f>
        <v>0.24091185164189982</v>
      </c>
      <c r="F40" s="34">
        <f>-(F27/F26)</f>
        <v>0.15610002335586043</v>
      </c>
      <c r="J40" s="35"/>
      <c r="K40" s="35"/>
      <c r="L40" s="35"/>
      <c r="M40" s="35"/>
      <c r="N40" s="35"/>
      <c r="O40" s="35"/>
    </row>
    <row r="41" spans="3:15" ht="15" customHeight="1">
      <c r="C41" s="29"/>
    </row>
    <row r="42" spans="3:15" ht="15" customHeight="1">
      <c r="C42" s="16" t="s">
        <v>35</v>
      </c>
      <c r="D42" s="20"/>
      <c r="E42" s="20"/>
      <c r="F42" s="20"/>
    </row>
    <row r="43" spans="3:15" ht="15" customHeight="1">
      <c r="C43" s="36" t="str">
        <f>C14</f>
        <v xml:space="preserve">Fiscal year  </v>
      </c>
      <c r="D43" s="37"/>
      <c r="E43" s="37" t="s">
        <v>36</v>
      </c>
      <c r="F43" s="37" t="s">
        <v>37</v>
      </c>
    </row>
    <row r="44" spans="3:15" ht="15" customHeight="1">
      <c r="C44" s="17" t="str">
        <f>C15</f>
        <v>Fiscal year end date</v>
      </c>
      <c r="D44" s="38"/>
      <c r="E44" s="38">
        <f>E15</f>
        <v>45596</v>
      </c>
      <c r="F44" s="38">
        <f>F15</f>
        <v>45947</v>
      </c>
    </row>
    <row r="45" spans="3:15" ht="15" customHeight="1">
      <c r="C45" t="s">
        <v>38</v>
      </c>
      <c r="D45" s="39"/>
      <c r="E45" s="26">
        <f>29943+35228+91479</f>
        <v>156650</v>
      </c>
      <c r="F45" s="26">
        <f>35934+18763+77723</f>
        <v>132420</v>
      </c>
    </row>
    <row r="46" spans="3:15" ht="15" customHeight="1">
      <c r="C46" t="s">
        <v>39</v>
      </c>
      <c r="D46" s="39"/>
      <c r="E46" s="26">
        <v>33410</v>
      </c>
      <c r="F46" s="26">
        <v>39777</v>
      </c>
    </row>
    <row r="47" spans="3:15" ht="15" customHeight="1">
      <c r="C47" t="s">
        <v>40</v>
      </c>
      <c r="D47" s="39"/>
      <c r="E47" s="26">
        <v>7286</v>
      </c>
      <c r="F47" s="26">
        <v>5718</v>
      </c>
    </row>
    <row r="48" spans="3:15" ht="15" customHeight="1">
      <c r="C48" t="s">
        <v>41</v>
      </c>
      <c r="D48" s="39"/>
      <c r="E48" s="26">
        <f>32833+14287</f>
        <v>47120</v>
      </c>
      <c r="F48" s="26">
        <f>33180+14585</f>
        <v>47765</v>
      </c>
    </row>
    <row r="49" spans="3:10" ht="15" customHeight="1">
      <c r="C49" t="s">
        <v>42</v>
      </c>
      <c r="D49" s="39"/>
      <c r="E49" s="26">
        <v>45680</v>
      </c>
      <c r="F49" s="26">
        <v>49834</v>
      </c>
    </row>
    <row r="50" spans="3:10" ht="15" customHeight="1">
      <c r="C50" t="s">
        <v>43</v>
      </c>
      <c r="D50" s="39"/>
      <c r="E50" s="26">
        <v>74834</v>
      </c>
      <c r="F50" s="26">
        <v>83727</v>
      </c>
      <c r="H50" s="40"/>
    </row>
    <row r="51" spans="3:10" ht="15" customHeight="1">
      <c r="C51" s="31" t="s">
        <v>44</v>
      </c>
      <c r="D51" s="41"/>
      <c r="E51" s="28">
        <f>SUM(E45:E50)</f>
        <v>364980</v>
      </c>
      <c r="F51" s="28">
        <f>SUM(F45:F50)</f>
        <v>359241</v>
      </c>
      <c r="I51" s="40"/>
      <c r="J51" s="40"/>
    </row>
    <row r="52" spans="3:10" ht="15" customHeight="1">
      <c r="C52" s="30"/>
      <c r="D52" s="42"/>
      <c r="I52" s="40"/>
      <c r="J52" s="40"/>
    </row>
    <row r="53" spans="3:10" ht="15" customHeight="1">
      <c r="C53" s="30" t="s">
        <v>45</v>
      </c>
      <c r="D53" s="39"/>
      <c r="E53" s="26">
        <v>68960</v>
      </c>
      <c r="F53" s="26">
        <v>69860</v>
      </c>
      <c r="I53" s="40"/>
      <c r="J53" s="40"/>
    </row>
    <row r="54" spans="3:10" ht="15" customHeight="1">
      <c r="C54" s="30" t="s">
        <v>46</v>
      </c>
      <c r="D54" s="39"/>
      <c r="E54" s="26">
        <v>78304</v>
      </c>
      <c r="F54" s="26">
        <v>66387</v>
      </c>
      <c r="I54" s="40"/>
      <c r="J54" s="40"/>
    </row>
    <row r="55" spans="3:10" ht="15" customHeight="1">
      <c r="C55" s="30" t="s">
        <v>47</v>
      </c>
      <c r="D55" s="39"/>
      <c r="E55" s="26">
        <v>8249</v>
      </c>
      <c r="F55" s="26">
        <v>9055</v>
      </c>
      <c r="I55" s="40"/>
      <c r="J55" s="40"/>
    </row>
    <row r="56" spans="3:10" ht="15" customHeight="1">
      <c r="C56" s="30" t="s">
        <v>48</v>
      </c>
      <c r="D56" s="39"/>
      <c r="E56" s="26">
        <v>9967</v>
      </c>
      <c r="F56" s="26">
        <v>7979</v>
      </c>
      <c r="I56" s="40"/>
      <c r="J56" s="40"/>
    </row>
    <row r="57" spans="3:10" ht="15" customHeight="1">
      <c r="C57" s="30" t="s">
        <v>49</v>
      </c>
      <c r="D57" s="39"/>
      <c r="E57" s="26">
        <f>10912+85750</f>
        <v>96662</v>
      </c>
      <c r="F57" s="26">
        <f>12350+78328</f>
        <v>90678</v>
      </c>
    </row>
    <row r="58" spans="3:10" ht="15.75" customHeight="1">
      <c r="C58" s="30" t="s">
        <v>50</v>
      </c>
      <c r="D58" s="39"/>
      <c r="E58" s="26">
        <v>45888</v>
      </c>
      <c r="F58" s="26">
        <v>41549</v>
      </c>
      <c r="I58" s="40"/>
      <c r="J58" s="40"/>
    </row>
    <row r="59" spans="3:10" ht="15" customHeight="1">
      <c r="C59" s="31" t="s">
        <v>51</v>
      </c>
      <c r="D59" s="41"/>
      <c r="E59" s="28">
        <f>SUM(E53:E58)</f>
        <v>308030</v>
      </c>
      <c r="F59" s="28">
        <f>SUM(F53:F58)</f>
        <v>285508</v>
      </c>
      <c r="I59" s="40"/>
      <c r="J59" s="40"/>
    </row>
    <row r="60" spans="3:10" ht="15" customHeight="1">
      <c r="C60" s="31"/>
      <c r="D60" s="41"/>
      <c r="E60" s="43"/>
      <c r="F60" s="43"/>
      <c r="I60" s="40"/>
      <c r="J60" s="40"/>
    </row>
    <row r="61" spans="3:10" ht="15" customHeight="1">
      <c r="C61" s="30" t="s">
        <v>52</v>
      </c>
      <c r="D61" s="39"/>
      <c r="E61" s="26">
        <v>83276</v>
      </c>
      <c r="F61" s="26">
        <v>93568</v>
      </c>
      <c r="I61" s="40"/>
      <c r="J61" s="40"/>
    </row>
    <row r="62" spans="3:10" ht="15.75" customHeight="1">
      <c r="C62" s="30" t="s">
        <v>53</v>
      </c>
      <c r="D62" s="44"/>
      <c r="E62" s="26">
        <v>-19154</v>
      </c>
      <c r="F62" s="26">
        <v>-14264</v>
      </c>
      <c r="I62" s="40"/>
      <c r="J62" s="40"/>
    </row>
    <row r="63" spans="3:10" ht="15.75" customHeight="1">
      <c r="C63" s="30" t="s">
        <v>54</v>
      </c>
      <c r="D63" s="39"/>
      <c r="E63" s="26">
        <v>-7172</v>
      </c>
      <c r="F63" s="26">
        <v>-5571</v>
      </c>
    </row>
    <row r="64" spans="3:10" ht="15" customHeight="1">
      <c r="C64" s="31" t="s">
        <v>55</v>
      </c>
      <c r="D64" s="45"/>
      <c r="E64" s="28">
        <f>SUM(E61:E63)</f>
        <v>56950</v>
      </c>
      <c r="F64" s="28">
        <f>SUM(F61:F63)</f>
        <v>73733</v>
      </c>
    </row>
    <row r="65" spans="3:8" ht="15" customHeight="1">
      <c r="D65" s="42"/>
      <c r="E65" s="42"/>
      <c r="F65" s="42"/>
    </row>
    <row r="66" spans="3:8" ht="15" customHeight="1">
      <c r="C66" s="23" t="s">
        <v>56</v>
      </c>
      <c r="D66" s="46"/>
      <c r="E66" s="46">
        <f>ROUND(E51-E59-E64,3)</f>
        <v>0</v>
      </c>
      <c r="F66" s="46">
        <f>ROUND(F51-F59-F64,3)</f>
        <v>0</v>
      </c>
    </row>
    <row r="67" spans="3:8" ht="15" customHeight="1">
      <c r="E67" s="42"/>
      <c r="F67" s="42"/>
    </row>
    <row r="68" spans="3:8" ht="15" customHeight="1">
      <c r="C68" s="27" t="s">
        <v>57</v>
      </c>
      <c r="D68" s="40"/>
      <c r="E68" s="42"/>
      <c r="F68" s="42"/>
    </row>
    <row r="69" spans="3:8" ht="15" customHeight="1">
      <c r="C69" s="30" t="s">
        <v>58</v>
      </c>
      <c r="D69" s="26">
        <v>10959</v>
      </c>
      <c r="E69" s="26">
        <v>9447</v>
      </c>
      <c r="F69" s="26">
        <v>12715</v>
      </c>
    </row>
    <row r="70" spans="3:8" ht="15" customHeight="1">
      <c r="C70" s="30" t="s">
        <v>59</v>
      </c>
      <c r="D70" s="26">
        <v>-8500</v>
      </c>
      <c r="E70" s="26">
        <v>-8200</v>
      </c>
      <c r="F70" s="26">
        <v>-8000</v>
      </c>
      <c r="H70" t="s">
        <v>60</v>
      </c>
    </row>
    <row r="71" spans="3:8" ht="15" customHeight="1">
      <c r="C71" s="30" t="s">
        <v>61</v>
      </c>
      <c r="D71" s="26">
        <v>-14996</v>
      </c>
      <c r="E71" s="26">
        <v>-15218</v>
      </c>
      <c r="F71" s="26">
        <v>-15413</v>
      </c>
      <c r="H71" t="s">
        <v>62</v>
      </c>
    </row>
    <row r="72" spans="3:8" ht="15" customHeight="1">
      <c r="C72" s="30" t="s">
        <v>63</v>
      </c>
      <c r="D72" s="47">
        <v>-77046</v>
      </c>
      <c r="E72" s="26">
        <v>-95846</v>
      </c>
      <c r="F72" s="26">
        <v>-90052</v>
      </c>
      <c r="H72" t="s">
        <v>64</v>
      </c>
    </row>
    <row r="73" spans="3:8" ht="15" customHeight="1">
      <c r="C73" s="30" t="s">
        <v>65</v>
      </c>
      <c r="D73" s="33"/>
      <c r="E73" s="48">
        <v>0.05</v>
      </c>
      <c r="F73" s="48">
        <v>4.19E-2</v>
      </c>
    </row>
    <row r="74" spans="3:8" ht="15" customHeight="1">
      <c r="C74" s="30"/>
      <c r="D74" s="49"/>
      <c r="E74" s="49"/>
      <c r="F74" s="49"/>
    </row>
    <row r="75" spans="3:8" ht="15" customHeight="1">
      <c r="C75" s="50"/>
      <c r="D75" s="51"/>
      <c r="E75" s="51"/>
      <c r="F75" s="51"/>
    </row>
  </sheetData>
  <conditionalFormatting sqref="C39">
    <cfRule type="expression" dxfId="26" priority="2">
      <formula>#REF!=$C39</formula>
    </cfRule>
  </conditionalFormatting>
  <dataValidations count="2">
    <dataValidation type="list" allowBlank="1" showInputMessage="1" showErrorMessage="1" sqref="D7" xr:uid="{00000000-0002-0000-0000-000000000000}">
      <formula1>"0,1"</formula1>
      <formula2>0</formula2>
    </dataValidation>
    <dataValidation type="list" allowBlank="1" showInputMessage="1" showErrorMessage="1" sqref="C3" xr:uid="{00000000-0002-0000-0000-000001000000}">
      <formula1>"$ bns except per share,$ mm except per share,$ in thousands except per share"</formula1>
      <formula2>0</formula2>
    </dataValidation>
  </dataValidations>
  <pageMargins left="0.7" right="0.7" top="0.75" bottom="0.75" header="0.511811023622047" footer="0.511811023622047"/>
  <pageSetup fitToHeight="0"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C1:T157"/>
  <sheetViews>
    <sheetView tabSelected="1" zoomScaleNormal="100" workbookViewId="0">
      <selection activeCell="G18" sqref="G18"/>
    </sheetView>
  </sheetViews>
  <sheetFormatPr baseColWidth="10" defaultColWidth="8.83203125" defaultRowHeight="15"/>
  <cols>
    <col min="1" max="2" width="1.6640625" customWidth="1"/>
    <col min="3" max="3" width="46.6640625" customWidth="1"/>
    <col min="4" max="11" width="11.5" customWidth="1"/>
    <col min="12" max="12" width="2.33203125" customWidth="1"/>
    <col min="13" max="13" width="11.5" customWidth="1"/>
    <col min="14" max="14" width="11.83203125" customWidth="1"/>
    <col min="15" max="17" width="10.33203125" customWidth="1"/>
    <col min="18" max="19" width="9.5" customWidth="1"/>
  </cols>
  <sheetData>
    <row r="1" spans="3:19" ht="15.75" customHeight="1"/>
    <row r="2" spans="3:19" ht="15.75" customHeight="1">
      <c r="C2" s="4" t="str">
        <f>"Financial Statement Model for "&amp;D5</f>
        <v>Financial Statement Model for Apple</v>
      </c>
      <c r="D2" s="5"/>
      <c r="E2" s="5"/>
      <c r="F2" s="5"/>
      <c r="G2" s="5"/>
      <c r="H2" s="5"/>
      <c r="I2" s="5"/>
      <c r="J2" s="5"/>
      <c r="K2" s="5"/>
    </row>
    <row r="3" spans="3:19" ht="15" customHeight="1">
      <c r="C3" s="6" t="s">
        <v>0</v>
      </c>
      <c r="D3" s="7"/>
      <c r="E3" s="7"/>
      <c r="F3" s="7"/>
      <c r="G3" s="7"/>
      <c r="H3" s="7"/>
    </row>
    <row r="5" spans="3:19" ht="15" customHeight="1">
      <c r="C5" s="8" t="s">
        <v>1</v>
      </c>
      <c r="D5" s="9" t="s">
        <v>2</v>
      </c>
    </row>
    <row r="6" spans="3:19" ht="15" customHeight="1">
      <c r="C6" s="8" t="s">
        <v>3</v>
      </c>
      <c r="D6" s="9" t="s">
        <v>4</v>
      </c>
    </row>
    <row r="7" spans="3:19" ht="15" customHeight="1">
      <c r="C7" t="s">
        <v>5</v>
      </c>
      <c r="D7" s="10">
        <v>1</v>
      </c>
    </row>
    <row r="8" spans="3:19" ht="15" customHeight="1">
      <c r="C8" t="s">
        <v>6</v>
      </c>
      <c r="D8" s="52">
        <v>296.42</v>
      </c>
    </row>
    <row r="9" spans="3:19" ht="15" customHeight="1">
      <c r="C9" t="s">
        <v>7</v>
      </c>
      <c r="D9" s="12">
        <v>46189</v>
      </c>
    </row>
    <row r="10" spans="3:19" ht="15" customHeight="1">
      <c r="C10" s="8" t="s">
        <v>8</v>
      </c>
      <c r="D10" s="13">
        <v>45927</v>
      </c>
      <c r="G10" s="53"/>
    </row>
    <row r="11" spans="3:19" ht="15" customHeight="1">
      <c r="C11" t="s">
        <v>9</v>
      </c>
      <c r="D11" s="54">
        <v>14776.352999999999</v>
      </c>
    </row>
    <row r="13" spans="3:19" ht="15" customHeight="1">
      <c r="C13" s="16" t="s">
        <v>10</v>
      </c>
      <c r="D13" s="17"/>
      <c r="E13" s="17"/>
      <c r="F13" s="17"/>
      <c r="G13" s="17"/>
      <c r="H13" s="17"/>
      <c r="I13" s="17"/>
      <c r="J13" s="17"/>
      <c r="K13" s="17"/>
    </row>
    <row r="14" spans="3:19" ht="15" customHeight="1">
      <c r="C14" t="s">
        <v>11</v>
      </c>
      <c r="D14" s="18">
        <f>E14-1</f>
        <v>2023</v>
      </c>
      <c r="E14" s="18">
        <f>F14-1</f>
        <v>2024</v>
      </c>
      <c r="F14" s="18">
        <f>YEAR(D10)</f>
        <v>2025</v>
      </c>
      <c r="G14" s="55">
        <f>F14+1</f>
        <v>2026</v>
      </c>
      <c r="H14" s="55">
        <f>G14+1</f>
        <v>2027</v>
      </c>
      <c r="I14" s="55">
        <f>H14+1</f>
        <v>2028</v>
      </c>
      <c r="J14" s="55">
        <f>I14+1</f>
        <v>2029</v>
      </c>
      <c r="K14" s="55">
        <f>J14+1</f>
        <v>2030</v>
      </c>
    </row>
    <row r="15" spans="3:19" ht="15" customHeight="1">
      <c r="C15" s="19" t="s">
        <v>12</v>
      </c>
      <c r="D15" s="20">
        <f>EOMONTH(E15,-12)</f>
        <v>45199</v>
      </c>
      <c r="E15" s="20">
        <f>EOMONTH(F15,-12)</f>
        <v>45565</v>
      </c>
      <c r="F15" s="20">
        <f>D10</f>
        <v>45927</v>
      </c>
      <c r="G15" s="20">
        <f>EOMONTH(F15,12)</f>
        <v>46295</v>
      </c>
      <c r="H15" s="20">
        <f>EOMONTH(G15,12)</f>
        <v>46660</v>
      </c>
      <c r="I15" s="20">
        <f>EOMONTH(H15,12)</f>
        <v>47026</v>
      </c>
      <c r="J15" s="20">
        <f>EOMONTH(I15,12)</f>
        <v>47391</v>
      </c>
      <c r="K15" s="20">
        <f>EOMONTH(J15,12)</f>
        <v>47756</v>
      </c>
      <c r="M15" s="16" t="s">
        <v>66</v>
      </c>
      <c r="N15" s="17"/>
      <c r="O15" s="17"/>
      <c r="P15" s="17"/>
      <c r="Q15" s="17"/>
      <c r="R15" s="17"/>
      <c r="S15" s="17"/>
    </row>
    <row r="16" spans="3:19" ht="15" customHeight="1">
      <c r="C16" s="23"/>
      <c r="D16" s="24"/>
      <c r="E16" s="25"/>
      <c r="F16" s="25"/>
      <c r="G16" s="56"/>
      <c r="H16" s="57"/>
      <c r="I16" s="57"/>
      <c r="J16" s="25"/>
      <c r="K16" s="25"/>
    </row>
    <row r="17" spans="3:14" ht="15" customHeight="1">
      <c r="C17" t="s">
        <v>13</v>
      </c>
      <c r="D17" s="39">
        <v>383285</v>
      </c>
      <c r="E17" s="39">
        <v>391035</v>
      </c>
      <c r="F17" s="39">
        <v>416161</v>
      </c>
      <c r="G17" s="58">
        <f>F17*(1+G36)</f>
        <v>436969.05000000005</v>
      </c>
      <c r="H17" s="58">
        <f>G17*(1+H36)</f>
        <v>458817.50250000006</v>
      </c>
      <c r="I17" s="58">
        <f>H17*(1+I36)</f>
        <v>481758.37762500008</v>
      </c>
      <c r="J17" s="58">
        <f>I17*(1+J36)</f>
        <v>505846.2965062501</v>
      </c>
      <c r="K17" s="58">
        <f>J17*(1+K36)</f>
        <v>531138.61133156263</v>
      </c>
      <c r="M17" t="s">
        <v>67</v>
      </c>
    </row>
    <row r="18" spans="3:14" ht="15" customHeight="1">
      <c r="C18" t="s">
        <v>14</v>
      </c>
      <c r="D18" s="39">
        <v>-214137</v>
      </c>
      <c r="E18" s="39">
        <v>-210352</v>
      </c>
      <c r="F18" s="39">
        <v>-220960</v>
      </c>
      <c r="G18" s="58">
        <f>G19-G17</f>
        <v>-232008.00000000003</v>
      </c>
      <c r="H18" s="58">
        <f>H19-H17</f>
        <v>-243608.40000000002</v>
      </c>
      <c r="I18" s="58">
        <f>I19-I17</f>
        <v>-255788.82000000004</v>
      </c>
      <c r="J18" s="58">
        <f>J19-J17</f>
        <v>-268578.26100000006</v>
      </c>
      <c r="K18" s="58">
        <f>K19-K17</f>
        <v>-282007.17405000003</v>
      </c>
      <c r="M18" t="s">
        <v>68</v>
      </c>
    </row>
    <row r="19" spans="3:14" ht="15" customHeight="1">
      <c r="C19" s="27" t="s">
        <v>15</v>
      </c>
      <c r="D19" s="41">
        <f>SUM(D17:D18)</f>
        <v>169148</v>
      </c>
      <c r="E19" s="41">
        <f>SUM(E17:E18)</f>
        <v>180683</v>
      </c>
      <c r="F19" s="41">
        <f>SUM(F17:F18)</f>
        <v>195201</v>
      </c>
      <c r="G19" s="28">
        <f>G17*G37</f>
        <v>204961.05000000002</v>
      </c>
      <c r="H19" s="28">
        <f>H17*H37</f>
        <v>215209.10250000004</v>
      </c>
      <c r="I19" s="28">
        <f>I17*I37</f>
        <v>225969.55762500004</v>
      </c>
      <c r="J19" s="28">
        <f>J17*J37</f>
        <v>237268.03550625005</v>
      </c>
      <c r="K19" s="28">
        <f>K17*K37</f>
        <v>249131.43728156257</v>
      </c>
      <c r="M19" t="s">
        <v>69</v>
      </c>
    </row>
    <row r="20" spans="3:14" ht="15" customHeight="1">
      <c r="C20" t="s">
        <v>16</v>
      </c>
      <c r="D20" s="39">
        <v>-29915</v>
      </c>
      <c r="E20" s="39">
        <v>-31370</v>
      </c>
      <c r="F20" s="39">
        <v>-34550</v>
      </c>
      <c r="G20" s="58">
        <f>-G38*G17</f>
        <v>-36277.500000000007</v>
      </c>
      <c r="H20" s="58">
        <f>-H38*H17</f>
        <v>-38091.375000000007</v>
      </c>
      <c r="I20" s="58">
        <f>-I38*I17</f>
        <v>-39995.943750000006</v>
      </c>
      <c r="J20" s="58">
        <f>-J38*J17</f>
        <v>-41995.740937500013</v>
      </c>
      <c r="K20" s="58">
        <f>-K38*K17</f>
        <v>-44095.52798437501</v>
      </c>
      <c r="M20" t="s">
        <v>70</v>
      </c>
    </row>
    <row r="21" spans="3:14" ht="15" customHeight="1">
      <c r="C21" t="s">
        <v>17</v>
      </c>
      <c r="D21" s="39">
        <v>-24932</v>
      </c>
      <c r="E21" s="39">
        <v>-26097</v>
      </c>
      <c r="F21" s="39">
        <v>-27601</v>
      </c>
      <c r="G21" s="58">
        <f>-G17*G39</f>
        <v>-28981.050000000007</v>
      </c>
      <c r="H21" s="58">
        <f>-H17*H39</f>
        <v>-30430.102500000008</v>
      </c>
      <c r="I21" s="58">
        <f>-I17*I39</f>
        <v>-31951.607625000008</v>
      </c>
      <c r="J21" s="58">
        <f>-J17*J39</f>
        <v>-33549.188006250006</v>
      </c>
      <c r="K21" s="58">
        <f>-K17*K39</f>
        <v>-35226.647406562508</v>
      </c>
      <c r="M21" t="s">
        <v>71</v>
      </c>
    </row>
    <row r="22" spans="3:14" ht="15" customHeight="1">
      <c r="C22" s="27" t="s">
        <v>18</v>
      </c>
      <c r="D22" s="41">
        <f t="shared" ref="D22:K22" si="0">D19+D20+D21</f>
        <v>114301</v>
      </c>
      <c r="E22" s="41">
        <f t="shared" si="0"/>
        <v>123216</v>
      </c>
      <c r="F22" s="41">
        <f t="shared" si="0"/>
        <v>133050</v>
      </c>
      <c r="G22" s="28">
        <f t="shared" si="0"/>
        <v>139702.5</v>
      </c>
      <c r="H22" s="28">
        <f t="shared" si="0"/>
        <v>146687.62500000003</v>
      </c>
      <c r="I22" s="28">
        <f t="shared" si="0"/>
        <v>154022.00625000003</v>
      </c>
      <c r="J22" s="28">
        <f t="shared" si="0"/>
        <v>161723.1065625</v>
      </c>
      <c r="K22" s="28">
        <f t="shared" si="0"/>
        <v>169809.26189062506</v>
      </c>
      <c r="M22" s="27" t="s">
        <v>72</v>
      </c>
    </row>
    <row r="23" spans="3:14" ht="15" customHeight="1">
      <c r="C23" t="s">
        <v>19</v>
      </c>
      <c r="D23" s="59">
        <v>0</v>
      </c>
      <c r="E23" s="59">
        <v>0</v>
      </c>
      <c r="F23" s="59">
        <v>0</v>
      </c>
      <c r="G23" s="60">
        <f ca="1">G156</f>
        <v>5112.0223383388884</v>
      </c>
      <c r="H23" s="60">
        <f ca="1">H156</f>
        <v>6126.2494304238862</v>
      </c>
      <c r="I23" s="60">
        <f ca="1">I156</f>
        <v>7340.2594761439104</v>
      </c>
      <c r="J23" s="60">
        <f ca="1">J156</f>
        <v>8845.3403781500492</v>
      </c>
      <c r="K23" s="60">
        <f ca="1">K156</f>
        <v>10663.487974063724</v>
      </c>
      <c r="M23" t="s">
        <v>73</v>
      </c>
    </row>
    <row r="24" spans="3:14" ht="15" customHeight="1">
      <c r="C24" t="s">
        <v>20</v>
      </c>
      <c r="D24" s="59">
        <v>0</v>
      </c>
      <c r="E24" s="59">
        <v>0</v>
      </c>
      <c r="F24" s="59">
        <v>0</v>
      </c>
      <c r="G24" s="60">
        <f ca="1">-G142</f>
        <v>-3002.8830500000004</v>
      </c>
      <c r="H24" s="60">
        <f ca="1">-H142</f>
        <v>-3087.1230000000005</v>
      </c>
      <c r="I24" s="60">
        <f ca="1">-I142</f>
        <v>-3087.1230000000005</v>
      </c>
      <c r="J24" s="60">
        <f ca="1">-J142</f>
        <v>-3087.1230000000005</v>
      </c>
      <c r="K24" s="60">
        <f ca="1">-K142</f>
        <v>-3087.1230000000005</v>
      </c>
      <c r="M24" t="s">
        <v>74</v>
      </c>
    </row>
    <row r="25" spans="3:14" ht="15" customHeight="1">
      <c r="C25" t="s">
        <v>21</v>
      </c>
      <c r="D25" s="39">
        <v>-565</v>
      </c>
      <c r="E25" s="39">
        <v>269</v>
      </c>
      <c r="F25" s="39">
        <v>-321</v>
      </c>
      <c r="G25" s="61">
        <f>F25</f>
        <v>-321</v>
      </c>
      <c r="H25" s="61">
        <f>G25</f>
        <v>-321</v>
      </c>
      <c r="I25" s="61">
        <f>H25</f>
        <v>-321</v>
      </c>
      <c r="J25" s="61">
        <f>I25</f>
        <v>-321</v>
      </c>
      <c r="K25" s="61">
        <f>J25</f>
        <v>-321</v>
      </c>
      <c r="M25" t="s">
        <v>75</v>
      </c>
    </row>
    <row r="26" spans="3:14" ht="15" customHeight="1">
      <c r="C26" s="27" t="s">
        <v>22</v>
      </c>
      <c r="D26" s="41">
        <f t="shared" ref="D26:K26" si="1">SUM(D22:D25)</f>
        <v>113736</v>
      </c>
      <c r="E26" s="41">
        <f t="shared" si="1"/>
        <v>123485</v>
      </c>
      <c r="F26" s="41">
        <f t="shared" si="1"/>
        <v>132729</v>
      </c>
      <c r="G26" s="28">
        <f t="shared" ca="1" si="1"/>
        <v>141490.63928833889</v>
      </c>
      <c r="H26" s="28">
        <f t="shared" ca="1" si="1"/>
        <v>149405.75143042393</v>
      </c>
      <c r="I26" s="28">
        <f t="shared" ca="1" si="1"/>
        <v>157954.14272614397</v>
      </c>
      <c r="J26" s="28">
        <f t="shared" ca="1" si="1"/>
        <v>167160.32394065007</v>
      </c>
      <c r="K26" s="28">
        <f t="shared" ca="1" si="1"/>
        <v>177064.62686468879</v>
      </c>
      <c r="M26" s="27" t="s">
        <v>76</v>
      </c>
      <c r="N26" s="27"/>
    </row>
    <row r="27" spans="3:14" ht="15" customHeight="1">
      <c r="C27" t="s">
        <v>23</v>
      </c>
      <c r="D27" s="39">
        <v>-16741</v>
      </c>
      <c r="E27" s="39">
        <v>-29749</v>
      </c>
      <c r="F27" s="39">
        <v>-20719</v>
      </c>
      <c r="G27" s="58">
        <f ca="1">-G40*G26</f>
        <v>-22086.692097545325</v>
      </c>
      <c r="H27" s="58">
        <f ca="1">-H40*H26</f>
        <v>-23322.241287789053</v>
      </c>
      <c r="I27" s="58">
        <f ca="1">-I40*I26</f>
        <v>-24656.645368705984</v>
      </c>
      <c r="J27" s="58">
        <f ca="1">-J40*J26</f>
        <v>-26093.730471308671</v>
      </c>
      <c r="K27" s="58">
        <f ca="1">-K40*K26</f>
        <v>-27639.792389074632</v>
      </c>
      <c r="M27" t="s">
        <v>77</v>
      </c>
    </row>
    <row r="28" spans="3:14" ht="15" customHeight="1">
      <c r="C28" s="27" t="s">
        <v>24</v>
      </c>
      <c r="D28" s="41">
        <f t="shared" ref="D28:K28" si="2">SUM(D26:D27)</f>
        <v>96995</v>
      </c>
      <c r="E28" s="41">
        <f t="shared" si="2"/>
        <v>93736</v>
      </c>
      <c r="F28" s="41">
        <f t="shared" si="2"/>
        <v>112010</v>
      </c>
      <c r="G28" s="28">
        <f t="shared" ca="1" si="2"/>
        <v>119403.94719079357</v>
      </c>
      <c r="H28" s="28">
        <f t="shared" ca="1" si="2"/>
        <v>126083.51014263488</v>
      </c>
      <c r="I28" s="28">
        <f t="shared" ca="1" si="2"/>
        <v>133297.49735743797</v>
      </c>
      <c r="J28" s="28">
        <f t="shared" ca="1" si="2"/>
        <v>141066.5934693414</v>
      </c>
      <c r="K28" s="28">
        <f t="shared" ca="1" si="2"/>
        <v>149424.83447561416</v>
      </c>
      <c r="M28" s="27" t="s">
        <v>78</v>
      </c>
    </row>
    <row r="29" spans="3:14" ht="15" customHeight="1">
      <c r="C29" s="29"/>
      <c r="D29" s="42"/>
      <c r="E29" s="42"/>
      <c r="F29" s="42"/>
      <c r="G29" s="42"/>
      <c r="H29" s="42"/>
      <c r="I29" s="42"/>
      <c r="J29" s="42"/>
      <c r="K29" s="42"/>
    </row>
    <row r="30" spans="3:14" ht="15" customHeight="1">
      <c r="C30" s="30" t="s">
        <v>25</v>
      </c>
      <c r="D30" s="39">
        <v>11519</v>
      </c>
      <c r="E30" s="39">
        <v>11445</v>
      </c>
      <c r="F30" s="39">
        <v>11698</v>
      </c>
      <c r="G30" s="61">
        <f>G106</f>
        <v>12549.914999999999</v>
      </c>
      <c r="H30" s="61">
        <f>H106</f>
        <v>13457.7765</v>
      </c>
      <c r="I30" s="61">
        <f>I106</f>
        <v>14425.049362500002</v>
      </c>
      <c r="J30" s="61">
        <f>J106</f>
        <v>15455.405070000003</v>
      </c>
      <c r="K30" s="61">
        <f>K106</f>
        <v>16552.733724843754</v>
      </c>
      <c r="M30" t="s">
        <v>79</v>
      </c>
    </row>
    <row r="31" spans="3:14" ht="15" customHeight="1">
      <c r="C31" s="31" t="s">
        <v>26</v>
      </c>
      <c r="D31" s="41">
        <f t="shared" ref="D31:K31" si="3">D22+D30</f>
        <v>125820</v>
      </c>
      <c r="E31" s="41">
        <f t="shared" si="3"/>
        <v>134661</v>
      </c>
      <c r="F31" s="41">
        <f t="shared" si="3"/>
        <v>144748</v>
      </c>
      <c r="G31" s="28">
        <f t="shared" si="3"/>
        <v>152252.41500000001</v>
      </c>
      <c r="H31" s="28">
        <f t="shared" si="3"/>
        <v>160145.40150000004</v>
      </c>
      <c r="I31" s="28">
        <f t="shared" si="3"/>
        <v>168447.05561250003</v>
      </c>
      <c r="J31" s="28">
        <f t="shared" si="3"/>
        <v>177178.51163250001</v>
      </c>
      <c r="K31" s="28">
        <f t="shared" si="3"/>
        <v>186361.99561546883</v>
      </c>
      <c r="M31" s="27" t="s">
        <v>80</v>
      </c>
    </row>
    <row r="32" spans="3:14" ht="15" customHeight="1">
      <c r="C32" s="30" t="s">
        <v>27</v>
      </c>
      <c r="D32" s="39">
        <v>10833</v>
      </c>
      <c r="E32" s="39">
        <v>11688</v>
      </c>
      <c r="F32" s="39">
        <v>12863</v>
      </c>
      <c r="G32" s="61">
        <f>F32*(1+G36)</f>
        <v>13506.150000000001</v>
      </c>
      <c r="H32" s="61">
        <f>G32*(1+H36)</f>
        <v>14181.457500000002</v>
      </c>
      <c r="I32" s="61">
        <f>H32*(1+I36)</f>
        <v>14890.530375000002</v>
      </c>
      <c r="J32" s="61">
        <f>I32*(1+J36)</f>
        <v>15635.056893750003</v>
      </c>
      <c r="K32" s="61">
        <f>J32*(1+K36)</f>
        <v>16416.809738437503</v>
      </c>
      <c r="M32" t="s">
        <v>81</v>
      </c>
    </row>
    <row r="33" spans="3:20" ht="15" customHeight="1">
      <c r="C33" s="31" t="s">
        <v>28</v>
      </c>
      <c r="D33" s="41">
        <f t="shared" ref="D33:K33" si="4">SUM(D31:D32)</f>
        <v>136653</v>
      </c>
      <c r="E33" s="41">
        <f t="shared" si="4"/>
        <v>146349</v>
      </c>
      <c r="F33" s="41">
        <f t="shared" si="4"/>
        <v>157611</v>
      </c>
      <c r="G33" s="28">
        <f t="shared" si="4"/>
        <v>165758.565</v>
      </c>
      <c r="H33" s="28">
        <f t="shared" si="4"/>
        <v>174326.85900000003</v>
      </c>
      <c r="I33" s="28">
        <f t="shared" si="4"/>
        <v>183337.58598750003</v>
      </c>
      <c r="J33" s="28">
        <f t="shared" si="4"/>
        <v>192813.56852625002</v>
      </c>
      <c r="K33" s="28">
        <f t="shared" si="4"/>
        <v>202778.80535390633</v>
      </c>
      <c r="M33" s="27" t="s">
        <v>82</v>
      </c>
    </row>
    <row r="34" spans="3:20" ht="15" customHeight="1">
      <c r="C34" s="29"/>
      <c r="G34" s="62"/>
    </row>
    <row r="35" spans="3:20" ht="15" customHeight="1">
      <c r="C35" s="32" t="s">
        <v>83</v>
      </c>
    </row>
    <row r="36" spans="3:20" ht="15" customHeight="1">
      <c r="C36" s="29" t="s">
        <v>30</v>
      </c>
      <c r="D36" s="63"/>
      <c r="E36" s="63">
        <f>E17/D17-1</f>
        <v>2.021994077514111E-2</v>
      </c>
      <c r="F36" s="63">
        <f>F17/E17-1</f>
        <v>6.425511782832749E-2</v>
      </c>
      <c r="G36" s="64">
        <v>0.05</v>
      </c>
      <c r="H36" s="64">
        <v>0.05</v>
      </c>
      <c r="I36" s="64">
        <v>0.05</v>
      </c>
      <c r="J36" s="63">
        <f t="shared" ref="J36:K40" si="5">I36</f>
        <v>0.05</v>
      </c>
      <c r="K36" s="63">
        <f t="shared" si="5"/>
        <v>0.05</v>
      </c>
      <c r="M36" t="s">
        <v>84</v>
      </c>
      <c r="O36" s="35"/>
      <c r="P36" s="35"/>
      <c r="Q36" s="35"/>
      <c r="R36" s="35"/>
      <c r="S36" s="35"/>
      <c r="T36" s="35"/>
    </row>
    <row r="37" spans="3:20" ht="15" customHeight="1">
      <c r="C37" s="29" t="s">
        <v>31</v>
      </c>
      <c r="D37" s="63">
        <f>D19/D17</f>
        <v>0.44131129577207562</v>
      </c>
      <c r="E37" s="63">
        <f>E19/E17</f>
        <v>0.46206349815233932</v>
      </c>
      <c r="F37" s="63">
        <f>F19/F17</f>
        <v>0.46905164107160452</v>
      </c>
      <c r="G37" s="64">
        <f t="shared" ref="G37:I40" si="6">F37</f>
        <v>0.46905164107160452</v>
      </c>
      <c r="H37" s="64">
        <f t="shared" si="6"/>
        <v>0.46905164107160452</v>
      </c>
      <c r="I37" s="64">
        <f t="shared" si="6"/>
        <v>0.46905164107160452</v>
      </c>
      <c r="J37" s="63">
        <f t="shared" si="5"/>
        <v>0.46905164107160452</v>
      </c>
      <c r="K37" s="63">
        <f t="shared" si="5"/>
        <v>0.46905164107160452</v>
      </c>
      <c r="M37" t="s">
        <v>85</v>
      </c>
      <c r="O37" s="35"/>
      <c r="P37" s="35"/>
      <c r="Q37" s="35"/>
      <c r="R37" s="35"/>
      <c r="S37" s="35"/>
      <c r="T37" s="35"/>
    </row>
    <row r="38" spans="3:20" ht="15" customHeight="1">
      <c r="C38" s="29" t="s">
        <v>32</v>
      </c>
      <c r="D38" s="63">
        <f>-D20/D17</f>
        <v>7.8048971392045086E-2</v>
      </c>
      <c r="E38" s="63">
        <f>-E20/E17</f>
        <v>8.0222997941360744E-2</v>
      </c>
      <c r="F38" s="63">
        <f>-F20/F17</f>
        <v>8.3020753987038676E-2</v>
      </c>
      <c r="G38" s="64">
        <f t="shared" si="6"/>
        <v>8.3020753987038676E-2</v>
      </c>
      <c r="H38" s="64">
        <f t="shared" si="6"/>
        <v>8.3020753987038676E-2</v>
      </c>
      <c r="I38" s="64">
        <f t="shared" si="6"/>
        <v>8.3020753987038676E-2</v>
      </c>
      <c r="J38" s="63">
        <f t="shared" si="5"/>
        <v>8.3020753987038676E-2</v>
      </c>
      <c r="K38" s="63">
        <f t="shared" si="5"/>
        <v>8.3020753987038676E-2</v>
      </c>
      <c r="M38" t="s">
        <v>86</v>
      </c>
      <c r="O38" s="35"/>
      <c r="P38" s="35"/>
      <c r="Q38" s="35"/>
      <c r="R38" s="35"/>
      <c r="S38" s="35"/>
      <c r="T38" s="35"/>
    </row>
    <row r="39" spans="3:20" ht="15" customHeight="1">
      <c r="C39" s="29" t="s">
        <v>33</v>
      </c>
      <c r="D39" s="63">
        <f>-D21/D17</f>
        <v>6.5048201729783317E-2</v>
      </c>
      <c r="E39" s="63">
        <f>-E21/E17</f>
        <v>6.6738271510222866E-2</v>
      </c>
      <c r="F39" s="63">
        <f>-F21/F17</f>
        <v>6.6322889458647019E-2</v>
      </c>
      <c r="G39" s="64">
        <f t="shared" si="6"/>
        <v>6.6322889458647019E-2</v>
      </c>
      <c r="H39" s="64">
        <f t="shared" si="6"/>
        <v>6.6322889458647019E-2</v>
      </c>
      <c r="I39" s="64">
        <f t="shared" si="6"/>
        <v>6.6322889458647019E-2</v>
      </c>
      <c r="J39" s="63">
        <f t="shared" si="5"/>
        <v>6.6322889458647019E-2</v>
      </c>
      <c r="K39" s="63">
        <f t="shared" si="5"/>
        <v>6.6322889458647019E-2</v>
      </c>
      <c r="M39" t="s">
        <v>86</v>
      </c>
      <c r="O39" s="35"/>
      <c r="P39" s="35"/>
      <c r="Q39" s="35"/>
      <c r="R39" s="35"/>
      <c r="S39" s="35"/>
      <c r="T39" s="35"/>
    </row>
    <row r="40" spans="3:20" ht="15" customHeight="1">
      <c r="C40" s="29" t="s">
        <v>34</v>
      </c>
      <c r="D40" s="63">
        <f>-(D27/D26)</f>
        <v>0.14719174228036858</v>
      </c>
      <c r="E40" s="63">
        <f>-(E27/E26)</f>
        <v>0.24091185164189982</v>
      </c>
      <c r="F40" s="63">
        <f>-(F27/F26)</f>
        <v>0.15610002335586043</v>
      </c>
      <c r="G40" s="64">
        <f t="shared" si="6"/>
        <v>0.15610002335586043</v>
      </c>
      <c r="H40" s="64">
        <f t="shared" si="6"/>
        <v>0.15610002335586043</v>
      </c>
      <c r="I40" s="64">
        <f t="shared" si="6"/>
        <v>0.15610002335586043</v>
      </c>
      <c r="J40" s="63">
        <f t="shared" si="5"/>
        <v>0.15610002335586043</v>
      </c>
      <c r="K40" s="63">
        <f t="shared" si="5"/>
        <v>0.15610002335586043</v>
      </c>
      <c r="M40" t="s">
        <v>86</v>
      </c>
      <c r="O40" s="35"/>
      <c r="P40" s="35"/>
      <c r="Q40" s="35"/>
      <c r="R40" s="35"/>
      <c r="S40" s="35"/>
      <c r="T40" s="35"/>
    </row>
    <row r="41" spans="3:20" ht="15" customHeight="1">
      <c r="C41" s="29"/>
      <c r="G41" s="62"/>
    </row>
    <row r="42" spans="3:20" ht="15" customHeight="1">
      <c r="C42" s="16" t="s">
        <v>35</v>
      </c>
      <c r="D42" s="20"/>
      <c r="E42" s="20"/>
      <c r="F42" s="20"/>
      <c r="G42" s="17"/>
      <c r="H42" s="17"/>
      <c r="I42" s="17"/>
      <c r="J42" s="17"/>
      <c r="K42" s="17"/>
    </row>
    <row r="43" spans="3:20" ht="15" customHeight="1">
      <c r="C43" s="36" t="str">
        <f>C14</f>
        <v xml:space="preserve">Fiscal year  </v>
      </c>
      <c r="D43" s="37"/>
      <c r="E43" s="37">
        <f t="shared" ref="E43:K44" si="7">E14</f>
        <v>2024</v>
      </c>
      <c r="F43" s="37">
        <f t="shared" si="7"/>
        <v>2025</v>
      </c>
      <c r="G43" s="65">
        <f t="shared" si="7"/>
        <v>2026</v>
      </c>
      <c r="H43" s="65">
        <f t="shared" si="7"/>
        <v>2027</v>
      </c>
      <c r="I43" s="65">
        <f t="shared" si="7"/>
        <v>2028</v>
      </c>
      <c r="J43" s="65">
        <f t="shared" si="7"/>
        <v>2029</v>
      </c>
      <c r="K43" s="65">
        <f t="shared" si="7"/>
        <v>2030</v>
      </c>
    </row>
    <row r="44" spans="3:20" ht="15" customHeight="1">
      <c r="C44" s="17" t="str">
        <f>C15</f>
        <v>Fiscal year end date</v>
      </c>
      <c r="D44" s="38"/>
      <c r="E44" s="38">
        <f t="shared" si="7"/>
        <v>45565</v>
      </c>
      <c r="F44" s="38">
        <f t="shared" si="7"/>
        <v>45927</v>
      </c>
      <c r="G44" s="38">
        <f t="shared" si="7"/>
        <v>46295</v>
      </c>
      <c r="H44" s="38">
        <f t="shared" si="7"/>
        <v>46660</v>
      </c>
      <c r="I44" s="38">
        <f t="shared" si="7"/>
        <v>47026</v>
      </c>
      <c r="J44" s="38">
        <f t="shared" si="7"/>
        <v>47391</v>
      </c>
      <c r="K44" s="38">
        <f t="shared" si="7"/>
        <v>47756</v>
      </c>
    </row>
    <row r="45" spans="3:20" ht="15" customHeight="1">
      <c r="C45" t="s">
        <v>38</v>
      </c>
      <c r="D45" s="39"/>
      <c r="E45" s="39">
        <f>29943+35228+91479</f>
        <v>156650</v>
      </c>
      <c r="F45" s="39">
        <f>35934+18763+77723</f>
        <v>132420</v>
      </c>
      <c r="G45" s="61">
        <f ca="1">G90+F45</f>
        <v>159695.5621907936</v>
      </c>
      <c r="H45" s="61">
        <f ca="1">H90+G45</f>
        <v>190375.83383342845</v>
      </c>
      <c r="I45" s="61">
        <f ca="1">I90+H45</f>
        <v>229067.56480336637</v>
      </c>
      <c r="J45" s="61">
        <f ca="1">J90+I45</f>
        <v>276380.45680520777</v>
      </c>
      <c r="K45" s="61">
        <f ca="1">K90+J45</f>
        <v>332961.71314129065</v>
      </c>
      <c r="M45" t="s">
        <v>87</v>
      </c>
    </row>
    <row r="46" spans="3:20" ht="15" customHeight="1">
      <c r="C46" t="s">
        <v>39</v>
      </c>
      <c r="D46" s="39"/>
      <c r="E46" s="39">
        <v>33410</v>
      </c>
      <c r="F46" s="39">
        <v>39777</v>
      </c>
      <c r="G46" s="61">
        <f>F46*(1+G36)</f>
        <v>41765.85</v>
      </c>
      <c r="H46" s="61">
        <f>G46*(1+H36)</f>
        <v>43854.142500000002</v>
      </c>
      <c r="I46" s="61">
        <f>H46*(1+I36)</f>
        <v>46046.849625000003</v>
      </c>
      <c r="J46" s="61">
        <f>I46*(1+J36)</f>
        <v>48349.192106250004</v>
      </c>
      <c r="K46" s="61">
        <f>J46*(1+K36)</f>
        <v>50766.651711562503</v>
      </c>
      <c r="M46" t="s">
        <v>88</v>
      </c>
    </row>
    <row r="47" spans="3:20" ht="15" customHeight="1">
      <c r="C47" t="s">
        <v>40</v>
      </c>
      <c r="D47" s="39"/>
      <c r="E47" s="39">
        <v>7286</v>
      </c>
      <c r="F47" s="39">
        <v>5718</v>
      </c>
      <c r="G47" s="61">
        <f>F47*G18/F18</f>
        <v>6003.9000000000015</v>
      </c>
      <c r="H47" s="61">
        <f>G47*H18/G18</f>
        <v>6304.0950000000012</v>
      </c>
      <c r="I47" s="61">
        <f>H47*I18/H18</f>
        <v>6619.299750000001</v>
      </c>
      <c r="J47" s="61">
        <f>I47*J18/I18</f>
        <v>6950.2647375000015</v>
      </c>
      <c r="K47" s="61">
        <f>J47*K18/J18</f>
        <v>7297.7779743750007</v>
      </c>
      <c r="M47" t="s">
        <v>89</v>
      </c>
    </row>
    <row r="48" spans="3:20" ht="15" customHeight="1">
      <c r="C48" t="s">
        <v>41</v>
      </c>
      <c r="D48" s="39"/>
      <c r="E48" s="39">
        <f>14287+32833</f>
        <v>47120</v>
      </c>
      <c r="F48" s="39">
        <f>14585+33180</f>
        <v>47765</v>
      </c>
      <c r="G48" s="61">
        <f>F48*(1+G36)</f>
        <v>50153.25</v>
      </c>
      <c r="H48" s="61">
        <f>G48*(1+H36)</f>
        <v>52660.912500000006</v>
      </c>
      <c r="I48" s="61">
        <f>H48*(1+I36)</f>
        <v>55293.958125000012</v>
      </c>
      <c r="J48" s="61">
        <f>I48*(1+J36)</f>
        <v>58058.656031250015</v>
      </c>
      <c r="K48" s="61">
        <f>J48*(1+K36)</f>
        <v>60961.588832812522</v>
      </c>
      <c r="M48" t="s">
        <v>88</v>
      </c>
    </row>
    <row r="49" spans="3:13" ht="15" customHeight="1">
      <c r="C49" t="s">
        <v>42</v>
      </c>
      <c r="D49" s="39"/>
      <c r="E49" s="39">
        <v>45680</v>
      </c>
      <c r="F49" s="39">
        <v>49834</v>
      </c>
      <c r="G49" s="61">
        <f>G99</f>
        <v>54517.735000000001</v>
      </c>
      <c r="H49" s="61">
        <f>H99</f>
        <v>59155.291000000005</v>
      </c>
      <c r="I49" s="61">
        <f>I99</f>
        <v>63730.340762500011</v>
      </c>
      <c r="J49" s="61">
        <f>J99</f>
        <v>68225.039773750017</v>
      </c>
      <c r="K49" s="61">
        <f>K99</f>
        <v>72619.915334218764</v>
      </c>
      <c r="M49" t="s">
        <v>90</v>
      </c>
    </row>
    <row r="50" spans="3:13" ht="15" customHeight="1">
      <c r="C50" t="s">
        <v>43</v>
      </c>
      <c r="D50" s="39"/>
      <c r="E50" s="39">
        <v>74834</v>
      </c>
      <c r="F50" s="39">
        <v>83727</v>
      </c>
      <c r="G50" s="61">
        <f>F50*(1+G36)</f>
        <v>87913.35</v>
      </c>
      <c r="H50" s="61">
        <f>G50*(1+H36)</f>
        <v>92309.017500000016</v>
      </c>
      <c r="I50" s="61">
        <f>H50*(1+I36)</f>
        <v>96924.468375000026</v>
      </c>
      <c r="J50" s="61">
        <f>I50*(1+J36)</f>
        <v>101770.69179375003</v>
      </c>
      <c r="K50" s="61">
        <f>J50*(1+K36)</f>
        <v>106859.22638343753</v>
      </c>
      <c r="M50" t="s">
        <v>88</v>
      </c>
    </row>
    <row r="51" spans="3:13" ht="15" customHeight="1">
      <c r="C51" s="31" t="s">
        <v>44</v>
      </c>
      <c r="D51" s="41"/>
      <c r="E51" s="41">
        <f t="shared" ref="E51:K51" si="8">SUM(E45:E50)</f>
        <v>364980</v>
      </c>
      <c r="F51" s="41">
        <f t="shared" si="8"/>
        <v>359241</v>
      </c>
      <c r="G51" s="66">
        <f t="shared" ca="1" si="8"/>
        <v>400049.64719079365</v>
      </c>
      <c r="H51" s="66">
        <f t="shared" ca="1" si="8"/>
        <v>444659.29233342852</v>
      </c>
      <c r="I51" s="66">
        <f t="shared" ca="1" si="8"/>
        <v>497682.48144086637</v>
      </c>
      <c r="J51" s="66">
        <f t="shared" ca="1" si="8"/>
        <v>559734.3012477078</v>
      </c>
      <c r="K51" s="66">
        <f t="shared" ca="1" si="8"/>
        <v>631466.87337769696</v>
      </c>
    </row>
    <row r="52" spans="3:13" ht="15" customHeight="1">
      <c r="C52" s="30"/>
      <c r="D52" s="42"/>
      <c r="E52" s="42"/>
      <c r="F52" s="42"/>
      <c r="G52" s="42"/>
      <c r="H52" s="42"/>
      <c r="I52" s="42"/>
      <c r="J52" s="42"/>
      <c r="K52" s="42"/>
    </row>
    <row r="53" spans="3:13" ht="15" customHeight="1">
      <c r="C53" s="30" t="s">
        <v>45</v>
      </c>
      <c r="D53" s="39"/>
      <c r="E53" s="39">
        <v>68960</v>
      </c>
      <c r="F53" s="39">
        <v>69860</v>
      </c>
      <c r="G53" s="61">
        <f>F53*G18/F18</f>
        <v>73353.000000000015</v>
      </c>
      <c r="H53" s="61">
        <f>G53*H18/G18</f>
        <v>77020.650000000009</v>
      </c>
      <c r="I53" s="61">
        <f>H53*I18/H18</f>
        <v>80871.68250000001</v>
      </c>
      <c r="J53" s="61">
        <f>I53*J18/I18</f>
        <v>84915.266625000018</v>
      </c>
      <c r="K53" s="61">
        <f>J53*K18/J18</f>
        <v>89161.02995625</v>
      </c>
      <c r="M53" t="s">
        <v>89</v>
      </c>
    </row>
    <row r="54" spans="3:13" ht="15" customHeight="1">
      <c r="C54" s="30" t="s">
        <v>46</v>
      </c>
      <c r="D54" s="39"/>
      <c r="E54" s="39">
        <v>78304</v>
      </c>
      <c r="F54" s="39">
        <v>66387</v>
      </c>
      <c r="G54" s="61">
        <f>F54*(1+G36)</f>
        <v>69706.350000000006</v>
      </c>
      <c r="H54" s="61">
        <f>G54*(1+H36)</f>
        <v>73191.66750000001</v>
      </c>
      <c r="I54" s="61">
        <f>H54*(1+I36)</f>
        <v>76851.250875000012</v>
      </c>
      <c r="J54" s="61">
        <f>I54*(1+J36)</f>
        <v>80693.813418750011</v>
      </c>
      <c r="K54" s="61">
        <f>J54*(1+K36)</f>
        <v>84728.504089687514</v>
      </c>
      <c r="M54" t="s">
        <v>88</v>
      </c>
    </row>
    <row r="55" spans="3:13" ht="15" customHeight="1">
      <c r="C55" s="30" t="s">
        <v>47</v>
      </c>
      <c r="D55" s="39"/>
      <c r="E55" s="39">
        <v>8249</v>
      </c>
      <c r="F55" s="39">
        <v>9055</v>
      </c>
      <c r="G55" s="61">
        <f>F55*(1+G36)</f>
        <v>9507.75</v>
      </c>
      <c r="H55" s="61">
        <f>G55*(1+H36)</f>
        <v>9983.1375000000007</v>
      </c>
      <c r="I55" s="61">
        <f>H55*(1+I36)</f>
        <v>10482.294375000001</v>
      </c>
      <c r="J55" s="61">
        <f>I55*(1+J36)</f>
        <v>11006.409093750002</v>
      </c>
      <c r="K55" s="61">
        <f>J55*(1+K36)</f>
        <v>11556.729548437503</v>
      </c>
      <c r="M55" t="s">
        <v>88</v>
      </c>
    </row>
    <row r="56" spans="3:13" ht="15" customHeight="1">
      <c r="C56" s="30" t="s">
        <v>48</v>
      </c>
      <c r="D56" s="39"/>
      <c r="E56" s="39">
        <v>9967</v>
      </c>
      <c r="F56" s="39">
        <v>7979</v>
      </c>
      <c r="G56" s="60">
        <f ca="1">G135</f>
        <v>12000</v>
      </c>
      <c r="H56" s="60">
        <f ca="1">H135</f>
        <v>12000</v>
      </c>
      <c r="I56" s="60">
        <f ca="1">I135</f>
        <v>12000</v>
      </c>
      <c r="J56" s="60">
        <f ca="1">J135</f>
        <v>12000</v>
      </c>
      <c r="K56" s="60">
        <f ca="1">K135</f>
        <v>12000</v>
      </c>
      <c r="M56" t="s">
        <v>91</v>
      </c>
    </row>
    <row r="57" spans="3:13" ht="15" customHeight="1">
      <c r="C57" s="30" t="s">
        <v>92</v>
      </c>
      <c r="D57" s="39"/>
      <c r="E57" s="39">
        <f>10912+85750</f>
        <v>96662</v>
      </c>
      <c r="F57" s="39">
        <f>12350+78328</f>
        <v>90678</v>
      </c>
      <c r="G57" s="61">
        <f>F57</f>
        <v>90678</v>
      </c>
      <c r="H57" s="61">
        <f>G57</f>
        <v>90678</v>
      </c>
      <c r="I57" s="61">
        <f>H57</f>
        <v>90678</v>
      </c>
      <c r="J57" s="61">
        <f>I57</f>
        <v>90678</v>
      </c>
      <c r="K57" s="61">
        <f>J57</f>
        <v>90678</v>
      </c>
      <c r="M57" t="s">
        <v>93</v>
      </c>
    </row>
    <row r="58" spans="3:13" ht="15.75" customHeight="1">
      <c r="C58" s="30" t="s">
        <v>50</v>
      </c>
      <c r="D58" s="39"/>
      <c r="E58" s="39">
        <v>45888</v>
      </c>
      <c r="F58" s="39">
        <v>41549</v>
      </c>
      <c r="G58" s="61">
        <f>F58*(1+G36)</f>
        <v>43626.450000000004</v>
      </c>
      <c r="H58" s="61">
        <f>G58*(1+H36)</f>
        <v>45807.772500000006</v>
      </c>
      <c r="I58" s="61">
        <f>H58*(1+I36)</f>
        <v>48098.161125000006</v>
      </c>
      <c r="J58" s="61">
        <f>I58*(1+J36)</f>
        <v>50503.069181250008</v>
      </c>
      <c r="K58" s="61">
        <f>J58*(1+K36)</f>
        <v>53028.22264031251</v>
      </c>
      <c r="M58" t="s">
        <v>88</v>
      </c>
    </row>
    <row r="59" spans="3:13" ht="15" customHeight="1">
      <c r="C59" s="31" t="s">
        <v>51</v>
      </c>
      <c r="D59" s="41"/>
      <c r="E59" s="41">
        <f t="shared" ref="E59:K59" si="9">SUM(E53:E58)</f>
        <v>308030</v>
      </c>
      <c r="F59" s="41">
        <f t="shared" si="9"/>
        <v>285508</v>
      </c>
      <c r="G59" s="66">
        <f t="shared" ca="1" si="9"/>
        <v>298871.55000000005</v>
      </c>
      <c r="H59" s="66">
        <f t="shared" ca="1" si="9"/>
        <v>308681.22750000004</v>
      </c>
      <c r="I59" s="66">
        <f t="shared" ca="1" si="9"/>
        <v>318981.388875</v>
      </c>
      <c r="J59" s="66">
        <f t="shared" ca="1" si="9"/>
        <v>329796.55831875006</v>
      </c>
      <c r="K59" s="66">
        <f t="shared" ca="1" si="9"/>
        <v>341152.4862346875</v>
      </c>
    </row>
    <row r="60" spans="3:13" ht="15" customHeight="1">
      <c r="C60" s="31"/>
      <c r="D60" s="41"/>
      <c r="E60" s="41"/>
      <c r="F60" s="41"/>
      <c r="G60" s="42"/>
      <c r="H60" s="42"/>
      <c r="I60" s="42"/>
      <c r="J60" s="42"/>
      <c r="K60" s="42"/>
    </row>
    <row r="61" spans="3:13" ht="15" customHeight="1">
      <c r="C61" s="30" t="s">
        <v>52</v>
      </c>
      <c r="D61" s="39"/>
      <c r="E61" s="39">
        <v>83276</v>
      </c>
      <c r="F61" s="39">
        <v>93568</v>
      </c>
      <c r="G61" s="61">
        <f>F61+G32</f>
        <v>107074.15</v>
      </c>
      <c r="H61" s="61">
        <f>G61+H32</f>
        <v>121255.6075</v>
      </c>
      <c r="I61" s="61">
        <f>H61+I32</f>
        <v>136146.13787500001</v>
      </c>
      <c r="J61" s="61">
        <f>I61+J32</f>
        <v>151781.19476875002</v>
      </c>
      <c r="K61" s="61">
        <f>J61+K32</f>
        <v>168198.00450718752</v>
      </c>
      <c r="M61" t="s">
        <v>94</v>
      </c>
    </row>
    <row r="62" spans="3:13" ht="15.75" customHeight="1">
      <c r="C62" s="30" t="s">
        <v>53</v>
      </c>
      <c r="D62" s="44"/>
      <c r="E62" s="39">
        <v>-19154</v>
      </c>
      <c r="F62" s="39">
        <v>-14264</v>
      </c>
      <c r="G62" s="61">
        <f ca="1">G119</f>
        <v>-325.05280920643418</v>
      </c>
      <c r="H62" s="61">
        <f ca="1">H119</f>
        <v>20293.457333428451</v>
      </c>
      <c r="I62" s="61">
        <f ca="1">I119</f>
        <v>48125.954690866405</v>
      </c>
      <c r="J62" s="61">
        <f ca="1">J119</f>
        <v>83727.548160207807</v>
      </c>
      <c r="K62" s="61">
        <f ca="1">K119</f>
        <v>127687.38263582197</v>
      </c>
      <c r="M62" t="s">
        <v>95</v>
      </c>
    </row>
    <row r="63" spans="3:13" ht="15.75" customHeight="1">
      <c r="C63" s="30" t="s">
        <v>54</v>
      </c>
      <c r="D63" s="39"/>
      <c r="E63" s="39">
        <v>-7172</v>
      </c>
      <c r="F63" s="39">
        <v>-5571</v>
      </c>
      <c r="G63" s="61">
        <f>F63</f>
        <v>-5571</v>
      </c>
      <c r="H63" s="61">
        <f>G63</f>
        <v>-5571</v>
      </c>
      <c r="I63" s="61">
        <f>H63</f>
        <v>-5571</v>
      </c>
      <c r="J63" s="61">
        <f>I63</f>
        <v>-5571</v>
      </c>
      <c r="K63" s="61">
        <f>J63</f>
        <v>-5571</v>
      </c>
      <c r="M63" t="s">
        <v>93</v>
      </c>
    </row>
    <row r="64" spans="3:13" ht="15" customHeight="1">
      <c r="C64" s="31" t="s">
        <v>55</v>
      </c>
      <c r="D64" s="45"/>
      <c r="E64" s="45">
        <f t="shared" ref="E64:K64" si="10">SUM(E61:E63)</f>
        <v>56950</v>
      </c>
      <c r="F64" s="45">
        <f t="shared" si="10"/>
        <v>73733</v>
      </c>
      <c r="G64" s="66">
        <f t="shared" ca="1" si="10"/>
        <v>101178.09719079356</v>
      </c>
      <c r="H64" s="66">
        <f t="shared" ca="1" si="10"/>
        <v>135978.06483342845</v>
      </c>
      <c r="I64" s="66">
        <f t="shared" ca="1" si="10"/>
        <v>178701.09256586642</v>
      </c>
      <c r="J64" s="66">
        <f t="shared" ca="1" si="10"/>
        <v>229937.74292895783</v>
      </c>
      <c r="K64" s="66">
        <f t="shared" ca="1" si="10"/>
        <v>290314.38714300946</v>
      </c>
    </row>
    <row r="65" spans="3:13" ht="15" customHeight="1">
      <c r="D65" s="42"/>
      <c r="E65" s="42"/>
      <c r="F65" s="42"/>
    </row>
    <row r="66" spans="3:13" ht="15" customHeight="1">
      <c r="C66" s="23" t="s">
        <v>56</v>
      </c>
      <c r="D66" s="46"/>
      <c r="E66" s="46">
        <f t="shared" ref="E66:K66" si="11">ROUND(E51-E59-E64,3)</f>
        <v>0</v>
      </c>
      <c r="F66" s="46">
        <f t="shared" si="11"/>
        <v>0</v>
      </c>
      <c r="G66" s="46">
        <f t="shared" ca="1" si="11"/>
        <v>0</v>
      </c>
      <c r="H66" s="46">
        <f t="shared" ca="1" si="11"/>
        <v>0</v>
      </c>
      <c r="I66" s="46">
        <f t="shared" ca="1" si="11"/>
        <v>0</v>
      </c>
      <c r="J66" s="46">
        <f t="shared" ca="1" si="11"/>
        <v>0</v>
      </c>
      <c r="K66" s="46">
        <f t="shared" ca="1" si="11"/>
        <v>0</v>
      </c>
    </row>
    <row r="67" spans="3:13" ht="15" customHeight="1">
      <c r="E67" s="42"/>
      <c r="F67" s="42"/>
      <c r="H67" s="42"/>
      <c r="I67" s="42"/>
      <c r="J67" s="42"/>
      <c r="K67" s="42"/>
    </row>
    <row r="68" spans="3:13" ht="15" customHeight="1">
      <c r="C68" s="16" t="s">
        <v>96</v>
      </c>
      <c r="D68" s="20"/>
      <c r="E68" s="20"/>
      <c r="F68" s="20"/>
      <c r="G68" s="20"/>
      <c r="H68" s="20"/>
      <c r="I68" s="20"/>
      <c r="J68" s="20"/>
      <c r="K68" s="20"/>
    </row>
    <row r="69" spans="3:13" ht="15" customHeight="1">
      <c r="C69" s="36" t="str">
        <f>C14</f>
        <v xml:space="preserve">Fiscal year  </v>
      </c>
      <c r="D69" s="37"/>
      <c r="E69" s="37"/>
      <c r="F69" s="37"/>
      <c r="G69" s="65">
        <f t="shared" ref="G69:K70" si="12">G14</f>
        <v>2026</v>
      </c>
      <c r="H69" s="65">
        <f t="shared" si="12"/>
        <v>2027</v>
      </c>
      <c r="I69" s="65">
        <f t="shared" si="12"/>
        <v>2028</v>
      </c>
      <c r="J69" s="65">
        <f t="shared" si="12"/>
        <v>2029</v>
      </c>
      <c r="K69" s="65">
        <f t="shared" si="12"/>
        <v>2030</v>
      </c>
    </row>
    <row r="70" spans="3:13" ht="15" customHeight="1">
      <c r="C70" s="17" t="str">
        <f>C15</f>
        <v>Fiscal year end date</v>
      </c>
      <c r="D70" s="38"/>
      <c r="E70" s="38"/>
      <c r="F70" s="38"/>
      <c r="G70" s="38">
        <f t="shared" si="12"/>
        <v>46295</v>
      </c>
      <c r="H70" s="38">
        <f t="shared" si="12"/>
        <v>46660</v>
      </c>
      <c r="I70" s="38">
        <f t="shared" si="12"/>
        <v>47026</v>
      </c>
      <c r="J70" s="38">
        <f t="shared" si="12"/>
        <v>47391</v>
      </c>
      <c r="K70" s="38">
        <f t="shared" si="12"/>
        <v>47756</v>
      </c>
    </row>
    <row r="72" spans="3:13" ht="15" customHeight="1">
      <c r="C72" t="s">
        <v>24</v>
      </c>
      <c r="D72" s="40"/>
      <c r="E72" s="40"/>
      <c r="F72" s="40"/>
      <c r="G72" s="61">
        <f ca="1">G28</f>
        <v>119403.94719079357</v>
      </c>
      <c r="H72" s="61">
        <f ca="1">H28</f>
        <v>126083.51014263488</v>
      </c>
      <c r="I72" s="61">
        <f ca="1">I28</f>
        <v>133297.49735743797</v>
      </c>
      <c r="J72" s="61">
        <f ca="1">J28</f>
        <v>141066.5934693414</v>
      </c>
      <c r="K72" s="61">
        <f ca="1">K28</f>
        <v>149424.83447561416</v>
      </c>
      <c r="M72" s="27"/>
    </row>
    <row r="73" spans="3:13" ht="15" customHeight="1">
      <c r="C73" t="s">
        <v>97</v>
      </c>
      <c r="D73" s="40"/>
      <c r="E73" s="40"/>
      <c r="F73" s="40"/>
      <c r="G73" s="61">
        <f>G30</f>
        <v>12549.914999999999</v>
      </c>
      <c r="H73" s="61">
        <f>H30</f>
        <v>13457.7765</v>
      </c>
      <c r="I73" s="61">
        <f>I30</f>
        <v>14425.049362500002</v>
      </c>
      <c r="J73" s="61">
        <f>J30</f>
        <v>15455.405070000003</v>
      </c>
      <c r="K73" s="61">
        <f>K30</f>
        <v>16552.733724843754</v>
      </c>
      <c r="M73" t="s">
        <v>98</v>
      </c>
    </row>
    <row r="74" spans="3:13" ht="15" customHeight="1">
      <c r="C74" t="s">
        <v>27</v>
      </c>
      <c r="D74" s="40"/>
      <c r="E74" s="40"/>
      <c r="F74" s="40"/>
      <c r="G74" s="61">
        <f>G32</f>
        <v>13506.150000000001</v>
      </c>
      <c r="H74" s="61">
        <f>H32</f>
        <v>14181.457500000002</v>
      </c>
      <c r="I74" s="61">
        <f>I32</f>
        <v>14890.530375000002</v>
      </c>
      <c r="J74" s="61">
        <f>J32</f>
        <v>15635.056893750003</v>
      </c>
      <c r="K74" s="61">
        <f>K32</f>
        <v>16416.809738437503</v>
      </c>
    </row>
    <row r="75" spans="3:13" ht="15" customHeight="1">
      <c r="C75" t="s">
        <v>99</v>
      </c>
      <c r="D75" s="42"/>
      <c r="E75" s="42"/>
      <c r="F75" s="42"/>
      <c r="G75" s="61">
        <f>-1*(SUM(G46:G48)-SUM(F46:F48))</f>
        <v>-4663</v>
      </c>
      <c r="H75" s="61">
        <f>-1*(SUM(H46:H48)-SUM(G46:G48))</f>
        <v>-4896.1500000000087</v>
      </c>
      <c r="I75" s="61">
        <f>-1*(SUM(I46:I48)-SUM(H46:H48))</f>
        <v>-5140.9575000000041</v>
      </c>
      <c r="J75" s="61">
        <f>-1*(SUM(J46:J48)-SUM(I46:I48))</f>
        <v>-5398.0053750000079</v>
      </c>
      <c r="K75" s="61">
        <f>-1*(SUM(K46:K48)-SUM(J46:J48))</f>
        <v>-5667.9056437500112</v>
      </c>
    </row>
    <row r="76" spans="3:13" ht="15" customHeight="1">
      <c r="C76" t="s">
        <v>100</v>
      </c>
      <c r="D76" s="42"/>
      <c r="E76" s="42"/>
      <c r="F76" s="42"/>
      <c r="G76" s="61">
        <f>SUM(G53:G55)-SUM(F53:F55)</f>
        <v>7265.1000000000349</v>
      </c>
      <c r="H76" s="61">
        <f>SUM(H53:H55)-SUM(G53:G55)</f>
        <v>7628.3549999999814</v>
      </c>
      <c r="I76" s="61">
        <f>SUM(I53:I55)-SUM(H53:H55)</f>
        <v>8009.7727500000037</v>
      </c>
      <c r="J76" s="61">
        <f>SUM(J53:J55)-SUM(I53:I55)</f>
        <v>8410.2613875000097</v>
      </c>
      <c r="K76" s="61">
        <f>SUM(K53:K55)-SUM(J53:J55)</f>
        <v>8830.7744568749913</v>
      </c>
    </row>
    <row r="77" spans="3:13" ht="15" customHeight="1">
      <c r="C77" t="s">
        <v>43</v>
      </c>
      <c r="G77" s="61">
        <f>-(G111)</f>
        <v>-8069.25</v>
      </c>
      <c r="H77" s="61">
        <f>-(H111)</f>
        <v>-8472.7125000000087</v>
      </c>
      <c r="I77" s="61">
        <f>-(I111)</f>
        <v>-8896.3481250000041</v>
      </c>
      <c r="J77" s="61">
        <f>-(J111)</f>
        <v>-9341.1655312500079</v>
      </c>
      <c r="K77" s="61">
        <f>-(K111)</f>
        <v>-9808.2238078125083</v>
      </c>
      <c r="M77" t="s">
        <v>101</v>
      </c>
    </row>
    <row r="78" spans="3:13" ht="15" customHeight="1">
      <c r="C78" t="s">
        <v>50</v>
      </c>
      <c r="G78" s="61">
        <f>G58-F58</f>
        <v>2077.4500000000044</v>
      </c>
      <c r="H78" s="61">
        <f>H58-G58</f>
        <v>2181.322500000002</v>
      </c>
      <c r="I78" s="61">
        <f>I58-H58</f>
        <v>2290.3886249999996</v>
      </c>
      <c r="J78" s="61">
        <f>J58-I58</f>
        <v>2404.9080562500021</v>
      </c>
      <c r="K78" s="61">
        <f>K58-J58</f>
        <v>2525.1534590625015</v>
      </c>
      <c r="M78" s="27"/>
    </row>
    <row r="79" spans="3:13" ht="15" customHeight="1">
      <c r="C79" s="27" t="s">
        <v>102</v>
      </c>
      <c r="G79" s="66">
        <f ca="1">SUM(G72:G78)</f>
        <v>142070.3121907936</v>
      </c>
      <c r="H79" s="66">
        <f ca="1">SUM(H72:H78)</f>
        <v>150163.55914263485</v>
      </c>
      <c r="I79" s="66">
        <f ca="1">SUM(I72:I78)</f>
        <v>158875.93284493792</v>
      </c>
      <c r="J79" s="66">
        <f ca="1">SUM(J72:J78)</f>
        <v>168233.0539705914</v>
      </c>
      <c r="K79" s="66">
        <f ca="1">SUM(K72:K78)</f>
        <v>178274.17640327039</v>
      </c>
    </row>
    <row r="80" spans="3:13" ht="15" customHeight="1">
      <c r="G80" s="42"/>
      <c r="H80" s="42"/>
      <c r="I80" s="42"/>
      <c r="J80" s="42"/>
      <c r="K80" s="42"/>
    </row>
    <row r="81" spans="3:13" ht="15" customHeight="1">
      <c r="C81" t="s">
        <v>103</v>
      </c>
      <c r="G81" s="61">
        <f>-(G97)</f>
        <v>-13350.75</v>
      </c>
      <c r="H81" s="61">
        <f>-(H97)</f>
        <v>-14018.2875</v>
      </c>
      <c r="I81" s="61">
        <f>-(I97)</f>
        <v>-14719.201875000001</v>
      </c>
      <c r="J81" s="61">
        <f>-(J97)</f>
        <v>-15455.161968750001</v>
      </c>
      <c r="K81" s="61">
        <f>-(K97)</f>
        <v>-16227.920067187501</v>
      </c>
      <c r="M81" t="s">
        <v>90</v>
      </c>
    </row>
    <row r="82" spans="3:13" ht="15" customHeight="1">
      <c r="C82" s="27" t="s">
        <v>104</v>
      </c>
      <c r="G82" s="66">
        <f>IFERROR(G81,"NA")</f>
        <v>-13350.75</v>
      </c>
      <c r="H82" s="66">
        <f>IFERROR(H81,"NA")</f>
        <v>-14018.2875</v>
      </c>
      <c r="I82" s="66">
        <f>IFERROR(I81,"NA")</f>
        <v>-14719.201875000001</v>
      </c>
      <c r="J82" s="66">
        <f>IFERROR(J81,"NA")</f>
        <v>-15455.161968750001</v>
      </c>
      <c r="K82" s="66">
        <f>IFERROR(K81,"NA")</f>
        <v>-16227.920067187501</v>
      </c>
    </row>
    <row r="83" spans="3:13" ht="15" customHeight="1">
      <c r="G83" s="42"/>
      <c r="H83" s="42"/>
      <c r="I83" s="42"/>
      <c r="J83" s="42"/>
      <c r="K83" s="42"/>
    </row>
    <row r="84" spans="3:13" ht="15" customHeight="1">
      <c r="C84" t="s">
        <v>105</v>
      </c>
      <c r="G84" s="61">
        <f>G57-F57</f>
        <v>0</v>
      </c>
      <c r="H84" s="61">
        <f>H57-G57</f>
        <v>0</v>
      </c>
      <c r="I84" s="61">
        <f>I57-H57</f>
        <v>0</v>
      </c>
      <c r="J84" s="61">
        <f>J57-I57</f>
        <v>0</v>
      </c>
      <c r="K84" s="61">
        <f>K57-J57</f>
        <v>0</v>
      </c>
    </row>
    <row r="85" spans="3:13" ht="15" customHeight="1">
      <c r="C85" t="s">
        <v>106</v>
      </c>
      <c r="G85" s="60">
        <f ca="1">G56-F56</f>
        <v>4021</v>
      </c>
      <c r="H85" s="60">
        <f ca="1">H56-G56</f>
        <v>0</v>
      </c>
      <c r="I85" s="60">
        <f ca="1">I56-H56</f>
        <v>0</v>
      </c>
      <c r="J85" s="60">
        <f ca="1">J56-I56</f>
        <v>0</v>
      </c>
      <c r="K85" s="60">
        <f ca="1">K56-J56</f>
        <v>0</v>
      </c>
      <c r="M85" t="s">
        <v>107</v>
      </c>
    </row>
    <row r="86" spans="3:13" ht="15" customHeight="1">
      <c r="C86" t="s">
        <v>108</v>
      </c>
      <c r="G86" s="61">
        <f>G118</f>
        <v>-90052</v>
      </c>
      <c r="H86" s="61">
        <f>H118</f>
        <v>-90052</v>
      </c>
      <c r="I86" s="61">
        <f>I118</f>
        <v>-90052</v>
      </c>
      <c r="J86" s="61">
        <f>J118</f>
        <v>-90052</v>
      </c>
      <c r="K86" s="61">
        <f>K118</f>
        <v>-90052</v>
      </c>
      <c r="M86" t="s">
        <v>95</v>
      </c>
    </row>
    <row r="87" spans="3:13" ht="15" customHeight="1">
      <c r="C87" t="s">
        <v>109</v>
      </c>
      <c r="G87" s="61">
        <f>G117</f>
        <v>-15413</v>
      </c>
      <c r="H87" s="61">
        <f>H117</f>
        <v>-15413</v>
      </c>
      <c r="I87" s="61">
        <f>I117</f>
        <v>-15413</v>
      </c>
      <c r="J87" s="61">
        <f>J117</f>
        <v>-15413</v>
      </c>
      <c r="K87" s="61">
        <f>K117</f>
        <v>-15413</v>
      </c>
      <c r="M87" t="s">
        <v>95</v>
      </c>
    </row>
    <row r="88" spans="3:13" ht="15" customHeight="1">
      <c r="C88" s="27" t="s">
        <v>110</v>
      </c>
      <c r="G88" s="66">
        <f ca="1">SUM(G84:G87)</f>
        <v>-101444</v>
      </c>
      <c r="H88" s="66">
        <f ca="1">SUM(H84:H87)</f>
        <v>-105465</v>
      </c>
      <c r="I88" s="66">
        <f ca="1">SUM(I84:I87)</f>
        <v>-105465</v>
      </c>
      <c r="J88" s="66">
        <f ca="1">SUM(J84:J87)</f>
        <v>-105465</v>
      </c>
      <c r="K88" s="66">
        <f ca="1">SUM(K84:K87)</f>
        <v>-105465</v>
      </c>
    </row>
    <row r="89" spans="3:13" ht="15" customHeight="1">
      <c r="G89" s="42"/>
      <c r="H89" s="42"/>
      <c r="I89" s="42"/>
      <c r="J89" s="42"/>
      <c r="K89" s="42"/>
    </row>
    <row r="90" spans="3:13" ht="15" customHeight="1">
      <c r="C90" s="27" t="s">
        <v>111</v>
      </c>
      <c r="G90" s="66">
        <f ca="1">G79+G82+G88</f>
        <v>27275.5621907936</v>
      </c>
      <c r="H90" s="66">
        <f ca="1">H79+H82+H88</f>
        <v>30680.271642634849</v>
      </c>
      <c r="I90" s="66">
        <f ca="1">I79+I82+I88</f>
        <v>38691.730969937926</v>
      </c>
      <c r="J90" s="66">
        <f ca="1">J79+J82+J88</f>
        <v>47312.892001841392</v>
      </c>
      <c r="K90" s="66">
        <f ca="1">K79+K82+K88</f>
        <v>56581.256336082879</v>
      </c>
    </row>
    <row r="92" spans="3:13" ht="15" customHeight="1">
      <c r="C92" s="16" t="s">
        <v>112</v>
      </c>
      <c r="D92" s="17"/>
      <c r="E92" s="17"/>
      <c r="F92" s="17"/>
      <c r="G92" s="17"/>
      <c r="H92" s="17"/>
      <c r="I92" s="17"/>
      <c r="J92" s="17"/>
      <c r="K92" s="17"/>
    </row>
    <row r="93" spans="3:13" ht="15" customHeight="1">
      <c r="C93" s="36" t="str">
        <f t="shared" ref="C93:K93" si="13">C14</f>
        <v xml:space="preserve">Fiscal year  </v>
      </c>
      <c r="D93" s="37">
        <f t="shared" si="13"/>
        <v>2023</v>
      </c>
      <c r="E93" s="37">
        <f t="shared" si="13"/>
        <v>2024</v>
      </c>
      <c r="F93" s="37">
        <f t="shared" si="13"/>
        <v>2025</v>
      </c>
      <c r="G93" s="65">
        <f t="shared" si="13"/>
        <v>2026</v>
      </c>
      <c r="H93" s="65">
        <f t="shared" si="13"/>
        <v>2027</v>
      </c>
      <c r="I93" s="65">
        <f t="shared" si="13"/>
        <v>2028</v>
      </c>
      <c r="J93" s="65">
        <f t="shared" si="13"/>
        <v>2029</v>
      </c>
      <c r="K93" s="65">
        <f t="shared" si="13"/>
        <v>2030</v>
      </c>
    </row>
    <row r="94" spans="3:13" ht="15" customHeight="1">
      <c r="C94" s="17" t="str">
        <f t="shared" ref="C94:K94" si="14">C15</f>
        <v>Fiscal year end date</v>
      </c>
      <c r="D94" s="38">
        <f t="shared" si="14"/>
        <v>45199</v>
      </c>
      <c r="E94" s="38">
        <f t="shared" si="14"/>
        <v>45565</v>
      </c>
      <c r="F94" s="38">
        <f t="shared" si="14"/>
        <v>45927</v>
      </c>
      <c r="G94" s="38">
        <f t="shared" si="14"/>
        <v>46295</v>
      </c>
      <c r="H94" s="38">
        <f t="shared" si="14"/>
        <v>46660</v>
      </c>
      <c r="I94" s="38">
        <f t="shared" si="14"/>
        <v>47026</v>
      </c>
      <c r="J94" s="38">
        <f t="shared" si="14"/>
        <v>47391</v>
      </c>
      <c r="K94" s="38">
        <f t="shared" si="14"/>
        <v>47756</v>
      </c>
    </row>
    <row r="95" spans="3:13" ht="15" customHeight="1">
      <c r="C95" s="27"/>
      <c r="G95" s="3" t="s">
        <v>113</v>
      </c>
      <c r="H95" s="3"/>
      <c r="I95" s="3"/>
      <c r="J95" s="3"/>
      <c r="K95" s="3"/>
    </row>
    <row r="96" spans="3:13" ht="15" customHeight="1">
      <c r="C96" s="30" t="s">
        <v>114</v>
      </c>
      <c r="G96" s="61">
        <f>F99</f>
        <v>49834</v>
      </c>
      <c r="H96" s="61">
        <f>G99</f>
        <v>54517.735000000001</v>
      </c>
      <c r="I96" s="61">
        <f>H99</f>
        <v>59155.291000000005</v>
      </c>
      <c r="J96" s="61">
        <f>I99</f>
        <v>63730.340762500011</v>
      </c>
      <c r="K96" s="61">
        <f>J99</f>
        <v>68225.039773750017</v>
      </c>
      <c r="M96" t="s">
        <v>115</v>
      </c>
    </row>
    <row r="97" spans="3:17" ht="15" customHeight="1">
      <c r="C97" s="29" t="s">
        <v>116</v>
      </c>
      <c r="D97" s="39">
        <v>10959</v>
      </c>
      <c r="E97" s="39">
        <v>9447</v>
      </c>
      <c r="F97" s="39">
        <v>12715</v>
      </c>
      <c r="G97" s="59">
        <f>F97*(1+G36)</f>
        <v>13350.75</v>
      </c>
      <c r="H97" s="59">
        <f>G97*(1+H36)</f>
        <v>14018.2875</v>
      </c>
      <c r="I97" s="59">
        <f>H97*(1+I36)</f>
        <v>14719.201875000001</v>
      </c>
      <c r="J97" s="39">
        <f>I97*(1+J36)</f>
        <v>15455.161968750001</v>
      </c>
      <c r="K97" s="39">
        <f>J97*(1+K36)</f>
        <v>16227.920067187501</v>
      </c>
      <c r="M97" t="s">
        <v>117</v>
      </c>
    </row>
    <row r="98" spans="3:17" ht="15" customHeight="1">
      <c r="C98" s="67" t="s">
        <v>118</v>
      </c>
      <c r="D98" s="68">
        <v>-8500</v>
      </c>
      <c r="E98" s="68">
        <v>-8200</v>
      </c>
      <c r="F98" s="68">
        <v>-8000</v>
      </c>
      <c r="G98" s="69">
        <f>-(G101*G97)</f>
        <v>-8667.0149999999994</v>
      </c>
      <c r="H98" s="69">
        <f>-(H101*H97)</f>
        <v>-9380.7314999999999</v>
      </c>
      <c r="I98" s="69">
        <f>-(I101*I97)</f>
        <v>-10144.152112500002</v>
      </c>
      <c r="J98" s="69">
        <f>-(J101*J97)</f>
        <v>-10960.462957500002</v>
      </c>
      <c r="K98" s="69">
        <f>-(K101*K97)</f>
        <v>-11833.044506718752</v>
      </c>
      <c r="M98" t="s">
        <v>119</v>
      </c>
    </row>
    <row r="99" spans="3:17" ht="15" customHeight="1">
      <c r="C99" s="70" t="s">
        <v>120</v>
      </c>
      <c r="D99" s="45"/>
      <c r="E99" s="45">
        <f>E49</f>
        <v>45680</v>
      </c>
      <c r="F99" s="45">
        <f>F49</f>
        <v>49834</v>
      </c>
      <c r="G99" s="66">
        <f>SUM(G96:G98)</f>
        <v>54517.735000000001</v>
      </c>
      <c r="H99" s="66">
        <f>SUM(H96:H98)</f>
        <v>59155.291000000005</v>
      </c>
      <c r="I99" s="66">
        <f>SUM(I96:I98)</f>
        <v>63730.340762500011</v>
      </c>
      <c r="J99" s="66">
        <f>SUM(J96:J98)</f>
        <v>68225.039773750017</v>
      </c>
      <c r="K99" s="66">
        <f>SUM(K96:K98)</f>
        <v>72619.915334218764</v>
      </c>
      <c r="M99" t="s">
        <v>121</v>
      </c>
    </row>
    <row r="100" spans="3:17" ht="15" customHeight="1">
      <c r="C100" s="30"/>
      <c r="M100" s="32" t="s">
        <v>122</v>
      </c>
    </row>
    <row r="101" spans="3:17" ht="15" customHeight="1">
      <c r="C101" s="30" t="s">
        <v>123</v>
      </c>
      <c r="D101" s="71">
        <f>-(D98/D97)</f>
        <v>0.7756182133406333</v>
      </c>
      <c r="E101" s="71">
        <f>-(E98/E97)</f>
        <v>0.86800042341484074</v>
      </c>
      <c r="F101" s="71">
        <f>-(F98/F97)</f>
        <v>0.62917813605977191</v>
      </c>
      <c r="G101" s="72">
        <f>F101+$M$101</f>
        <v>0.64917813605977193</v>
      </c>
      <c r="H101" s="72">
        <f>G101+$M$101</f>
        <v>0.66917813605977194</v>
      </c>
      <c r="I101" s="72">
        <f>H101+$M$101</f>
        <v>0.68917813605977196</v>
      </c>
      <c r="J101" s="72">
        <f>I101+$M$101</f>
        <v>0.70917813605977198</v>
      </c>
      <c r="K101" s="72">
        <f>J101+$M$101</f>
        <v>0.729178136059772</v>
      </c>
      <c r="M101" s="73">
        <v>0.02</v>
      </c>
      <c r="O101" s="74"/>
      <c r="P101" s="74"/>
      <c r="Q101" s="74"/>
    </row>
    <row r="102" spans="3:17" ht="15" customHeight="1">
      <c r="C102" s="30"/>
      <c r="D102" s="71"/>
      <c r="E102" s="71"/>
      <c r="F102" s="71"/>
      <c r="G102" s="63"/>
      <c r="H102" s="63"/>
      <c r="I102" s="63"/>
      <c r="J102" s="63"/>
      <c r="K102" s="63"/>
      <c r="O102" s="74"/>
      <c r="P102" s="74"/>
      <c r="Q102" s="74"/>
    </row>
    <row r="103" spans="3:17" ht="15" customHeight="1">
      <c r="C103" s="75" t="s">
        <v>124</v>
      </c>
      <c r="D103" s="76"/>
      <c r="E103" s="76"/>
      <c r="F103" s="76"/>
      <c r="G103" s="77"/>
      <c r="H103" s="77"/>
      <c r="I103" s="77"/>
      <c r="J103" s="77"/>
      <c r="K103" s="77"/>
      <c r="O103" s="74"/>
      <c r="P103" s="74"/>
      <c r="Q103" s="74"/>
    </row>
    <row r="104" spans="3:17" ht="15" customHeight="1">
      <c r="C104" s="30" t="s">
        <v>125</v>
      </c>
      <c r="D104" s="42">
        <f>D106+D98</f>
        <v>3019</v>
      </c>
      <c r="E104" s="42">
        <f>E106+E98</f>
        <v>3245</v>
      </c>
      <c r="F104" s="42">
        <f>F106+F98</f>
        <v>3698</v>
      </c>
      <c r="G104" s="58">
        <f>G105*G17</f>
        <v>3882.9</v>
      </c>
      <c r="H104" s="58">
        <f>H105*H17</f>
        <v>4077.0450000000001</v>
      </c>
      <c r="I104" s="58">
        <f>I105*I17</f>
        <v>4280.8972500000009</v>
      </c>
      <c r="J104" s="58">
        <f>J105*J17</f>
        <v>4494.9421125000008</v>
      </c>
      <c r="K104" s="58">
        <f>K105*K17</f>
        <v>4719.6892181250005</v>
      </c>
      <c r="M104" t="s">
        <v>126</v>
      </c>
      <c r="O104" s="74"/>
      <c r="P104" s="74"/>
      <c r="Q104" s="74"/>
    </row>
    <row r="105" spans="3:17" ht="15" customHeight="1">
      <c r="C105" s="29" t="s">
        <v>127</v>
      </c>
      <c r="D105" s="51">
        <f>D104/D17</f>
        <v>7.8766453161485585E-3</v>
      </c>
      <c r="E105" s="51">
        <f>E104/E17</f>
        <v>8.2984899049957164E-3</v>
      </c>
      <c r="F105" s="51">
        <f>F104/F17</f>
        <v>8.8859840302190733E-3</v>
      </c>
      <c r="G105" s="72">
        <f>F105</f>
        <v>8.8859840302190733E-3</v>
      </c>
      <c r="H105" s="72">
        <f>G105</f>
        <v>8.8859840302190733E-3</v>
      </c>
      <c r="I105" s="72">
        <f>H105</f>
        <v>8.8859840302190733E-3</v>
      </c>
      <c r="J105" s="72">
        <f>I105</f>
        <v>8.8859840302190733E-3</v>
      </c>
      <c r="K105" s="72">
        <f>J105</f>
        <v>8.8859840302190733E-3</v>
      </c>
      <c r="M105" t="s">
        <v>128</v>
      </c>
      <c r="O105" s="74"/>
      <c r="P105" s="74"/>
      <c r="Q105" s="74"/>
    </row>
    <row r="106" spans="3:17" ht="15" customHeight="1">
      <c r="C106" s="31" t="s">
        <v>129</v>
      </c>
      <c r="D106" s="45">
        <f>D30</f>
        <v>11519</v>
      </c>
      <c r="E106" s="45">
        <f>E30</f>
        <v>11445</v>
      </c>
      <c r="F106" s="45">
        <f>F30</f>
        <v>11698</v>
      </c>
      <c r="G106" s="28">
        <f>-G98+G104</f>
        <v>12549.914999999999</v>
      </c>
      <c r="H106" s="28">
        <f>-H98+H104</f>
        <v>13457.7765</v>
      </c>
      <c r="I106" s="28">
        <f>-I98+I104</f>
        <v>14425.049362500002</v>
      </c>
      <c r="J106" s="28">
        <f>-J98+J104</f>
        <v>15455.405070000003</v>
      </c>
      <c r="K106" s="28">
        <f>-K98+K104</f>
        <v>16552.733724843754</v>
      </c>
      <c r="M106" t="s">
        <v>130</v>
      </c>
      <c r="O106" s="74"/>
      <c r="P106" s="74"/>
      <c r="Q106" s="74"/>
    </row>
    <row r="107" spans="3:17" ht="15" customHeight="1">
      <c r="C107" s="30"/>
      <c r="D107" s="42"/>
      <c r="E107" s="42"/>
      <c r="F107" s="42"/>
      <c r="H107" s="42"/>
      <c r="I107" s="42"/>
      <c r="J107" s="42"/>
      <c r="K107" s="42"/>
    </row>
    <row r="108" spans="3:17" ht="15" customHeight="1">
      <c r="C108" s="78" t="s">
        <v>131</v>
      </c>
      <c r="D108" s="17"/>
      <c r="E108" s="17"/>
      <c r="F108" s="17"/>
      <c r="H108" s="42"/>
      <c r="I108" s="42"/>
      <c r="J108" s="42"/>
      <c r="K108" s="42"/>
    </row>
    <row r="109" spans="3:17" ht="15" customHeight="1">
      <c r="C109" s="30" t="s">
        <v>114</v>
      </c>
      <c r="D109" s="42"/>
      <c r="G109" s="79">
        <f>F112</f>
        <v>83727</v>
      </c>
      <c r="H109" s="79">
        <f>G112</f>
        <v>87913.35</v>
      </c>
      <c r="I109" s="79">
        <f>H112</f>
        <v>92309.017500000016</v>
      </c>
      <c r="J109" s="79">
        <f>I112</f>
        <v>96924.468375000026</v>
      </c>
      <c r="K109" s="79">
        <f>J112</f>
        <v>101770.69179375003</v>
      </c>
      <c r="M109" t="s">
        <v>115</v>
      </c>
    </row>
    <row r="110" spans="3:17" ht="15" customHeight="1">
      <c r="C110" s="29" t="s">
        <v>132</v>
      </c>
      <c r="G110" s="42">
        <f>-(G104)</f>
        <v>-3882.9</v>
      </c>
      <c r="H110" s="42">
        <f>-(H104)</f>
        <v>-4077.0450000000001</v>
      </c>
      <c r="I110" s="42">
        <f>-(I104)</f>
        <v>-4280.8972500000009</v>
      </c>
      <c r="J110" s="42">
        <f>-(J104)</f>
        <v>-4494.9421125000008</v>
      </c>
      <c r="K110" s="42">
        <f>-(K104)</f>
        <v>-4719.6892181250005</v>
      </c>
      <c r="M110" t="s">
        <v>133</v>
      </c>
    </row>
    <row r="111" spans="3:17" ht="15" customHeight="1">
      <c r="C111" s="67" t="s">
        <v>134</v>
      </c>
      <c r="D111" s="80"/>
      <c r="E111" s="80"/>
      <c r="F111" s="80"/>
      <c r="G111" s="81">
        <f>G112-G110-G109</f>
        <v>8069.25</v>
      </c>
      <c r="H111" s="81">
        <f>H112-H110-H109</f>
        <v>8472.7125000000087</v>
      </c>
      <c r="I111" s="81">
        <f>I112-I110-I109</f>
        <v>8896.3481250000041</v>
      </c>
      <c r="J111" s="81">
        <f>J112-J110-J109</f>
        <v>9341.1655312500079</v>
      </c>
      <c r="K111" s="81">
        <f>K112-K110-K109</f>
        <v>9808.2238078125083</v>
      </c>
      <c r="M111" t="s">
        <v>135</v>
      </c>
    </row>
    <row r="112" spans="3:17" ht="15" customHeight="1">
      <c r="C112" s="70" t="s">
        <v>120</v>
      </c>
      <c r="E112" s="45">
        <f t="shared" ref="E112:K112" si="15">E50</f>
        <v>74834</v>
      </c>
      <c r="F112" s="45">
        <f t="shared" si="15"/>
        <v>83727</v>
      </c>
      <c r="G112" s="45">
        <f t="shared" si="15"/>
        <v>87913.35</v>
      </c>
      <c r="H112" s="45">
        <f t="shared" si="15"/>
        <v>92309.017500000016</v>
      </c>
      <c r="I112" s="45">
        <f t="shared" si="15"/>
        <v>96924.468375000026</v>
      </c>
      <c r="J112" s="45">
        <f t="shared" si="15"/>
        <v>101770.69179375003</v>
      </c>
      <c r="K112" s="45">
        <f t="shared" si="15"/>
        <v>106859.22638343753</v>
      </c>
      <c r="M112" t="s">
        <v>136</v>
      </c>
    </row>
    <row r="113" spans="3:17" ht="15" customHeight="1">
      <c r="C113" s="29"/>
      <c r="E113" s="42"/>
      <c r="F113" s="42"/>
      <c r="H113" s="42"/>
      <c r="I113" s="42"/>
      <c r="J113" s="42"/>
      <c r="K113" s="42"/>
    </row>
    <row r="114" spans="3:17" ht="15" customHeight="1">
      <c r="C114" s="82" t="s">
        <v>137</v>
      </c>
      <c r="D114" s="78"/>
      <c r="E114" s="78"/>
      <c r="F114" s="78"/>
      <c r="G114" s="17"/>
      <c r="H114" s="17"/>
      <c r="I114" s="17"/>
      <c r="J114" s="17"/>
      <c r="K114" s="17"/>
    </row>
    <row r="115" spans="3:17" ht="15" customHeight="1">
      <c r="C115" s="30" t="s">
        <v>114</v>
      </c>
      <c r="G115" s="61">
        <f>F119</f>
        <v>-14264</v>
      </c>
      <c r="H115" s="61">
        <f ca="1">G119</f>
        <v>-325.05280920643418</v>
      </c>
      <c r="I115" s="61">
        <f ca="1">H119</f>
        <v>20293.457333428451</v>
      </c>
      <c r="J115" s="61">
        <f ca="1">I119</f>
        <v>48125.954690866405</v>
      </c>
      <c r="K115" s="61">
        <f ca="1">J119</f>
        <v>83727.548160207807</v>
      </c>
      <c r="M115" t="s">
        <v>115</v>
      </c>
    </row>
    <row r="116" spans="3:17" ht="15" customHeight="1">
      <c r="C116" s="29" t="s">
        <v>138</v>
      </c>
      <c r="D116" s="44">
        <f t="shared" ref="D116:K116" si="16">D28</f>
        <v>96995</v>
      </c>
      <c r="E116" s="44">
        <f t="shared" si="16"/>
        <v>93736</v>
      </c>
      <c r="F116" s="44">
        <f t="shared" si="16"/>
        <v>112010</v>
      </c>
      <c r="G116" s="61">
        <f t="shared" ca="1" si="16"/>
        <v>119403.94719079357</v>
      </c>
      <c r="H116" s="61">
        <f t="shared" ca="1" si="16"/>
        <v>126083.51014263488</v>
      </c>
      <c r="I116" s="61">
        <f t="shared" ca="1" si="16"/>
        <v>133297.49735743797</v>
      </c>
      <c r="J116" s="61">
        <f t="shared" ca="1" si="16"/>
        <v>141066.5934693414</v>
      </c>
      <c r="K116" s="61">
        <f t="shared" ca="1" si="16"/>
        <v>149424.83447561416</v>
      </c>
      <c r="M116" t="s">
        <v>139</v>
      </c>
    </row>
    <row r="117" spans="3:17" ht="15" customHeight="1">
      <c r="C117" s="29" t="s">
        <v>140</v>
      </c>
      <c r="D117" s="39">
        <v>-14996</v>
      </c>
      <c r="E117" s="39">
        <v>-15218</v>
      </c>
      <c r="F117" s="39">
        <v>-15413</v>
      </c>
      <c r="G117" s="61">
        <f t="shared" ref="G117:K118" si="17">F117</f>
        <v>-15413</v>
      </c>
      <c r="H117" s="61">
        <f t="shared" si="17"/>
        <v>-15413</v>
      </c>
      <c r="I117" s="61">
        <f t="shared" si="17"/>
        <v>-15413</v>
      </c>
      <c r="J117" s="61">
        <f t="shared" si="17"/>
        <v>-15413</v>
      </c>
      <c r="K117" s="61">
        <f t="shared" si="17"/>
        <v>-15413</v>
      </c>
      <c r="M117" t="s">
        <v>141</v>
      </c>
    </row>
    <row r="118" spans="3:17" ht="15" customHeight="1">
      <c r="C118" s="67" t="s">
        <v>142</v>
      </c>
      <c r="D118" s="68">
        <v>-77046</v>
      </c>
      <c r="E118" s="68">
        <v>-95846</v>
      </c>
      <c r="F118" s="68">
        <v>-90052</v>
      </c>
      <c r="G118" s="69">
        <f t="shared" si="17"/>
        <v>-90052</v>
      </c>
      <c r="H118" s="69">
        <f t="shared" si="17"/>
        <v>-90052</v>
      </c>
      <c r="I118" s="69">
        <f t="shared" si="17"/>
        <v>-90052</v>
      </c>
      <c r="J118" s="69">
        <f t="shared" si="17"/>
        <v>-90052</v>
      </c>
      <c r="K118" s="69">
        <f t="shared" si="17"/>
        <v>-90052</v>
      </c>
      <c r="M118" t="s">
        <v>143</v>
      </c>
    </row>
    <row r="119" spans="3:17" ht="15" customHeight="1">
      <c r="C119" s="70" t="s">
        <v>120</v>
      </c>
      <c r="D119" s="41">
        <f>D62</f>
        <v>0</v>
      </c>
      <c r="E119" s="41">
        <f>E62</f>
        <v>-19154</v>
      </c>
      <c r="F119" s="41">
        <f>F62</f>
        <v>-14264</v>
      </c>
      <c r="G119" s="66">
        <f ca="1">SUM(G115:G118)</f>
        <v>-325.05280920643418</v>
      </c>
      <c r="H119" s="66">
        <f ca="1">SUM(H115:H118)</f>
        <v>20293.457333428451</v>
      </c>
      <c r="I119" s="66">
        <f ca="1">SUM(I115:I118)</f>
        <v>48125.954690866405</v>
      </c>
      <c r="J119" s="66">
        <f ca="1">SUM(J115:J118)</f>
        <v>83727.548160207807</v>
      </c>
      <c r="K119" s="66">
        <f ca="1">SUM(K115:K118)</f>
        <v>127687.38263582197</v>
      </c>
      <c r="M119" t="s">
        <v>144</v>
      </c>
    </row>
    <row r="120" spans="3:17" ht="15" customHeight="1">
      <c r="E120" s="40"/>
      <c r="F120" s="40"/>
    </row>
    <row r="121" spans="3:17" ht="15" customHeight="1">
      <c r="C121" s="16" t="s">
        <v>145</v>
      </c>
      <c r="D121" s="17"/>
      <c r="E121" s="17"/>
      <c r="F121" s="17"/>
      <c r="G121" s="17"/>
      <c r="H121" s="17"/>
      <c r="I121" s="17"/>
      <c r="J121" s="17"/>
      <c r="K121" s="17"/>
      <c r="O121" s="74"/>
      <c r="P121" s="74"/>
    </row>
    <row r="122" spans="3:17" ht="15" customHeight="1">
      <c r="C122" s="36" t="str">
        <f t="shared" ref="C122:K122" si="18">C14</f>
        <v xml:space="preserve">Fiscal year  </v>
      </c>
      <c r="D122" s="37">
        <f t="shared" si="18"/>
        <v>2023</v>
      </c>
      <c r="E122" s="37">
        <f t="shared" si="18"/>
        <v>2024</v>
      </c>
      <c r="F122" s="37">
        <f t="shared" si="18"/>
        <v>2025</v>
      </c>
      <c r="G122" s="65">
        <f t="shared" si="18"/>
        <v>2026</v>
      </c>
      <c r="H122" s="65">
        <f t="shared" si="18"/>
        <v>2027</v>
      </c>
      <c r="I122" s="65">
        <f t="shared" si="18"/>
        <v>2028</v>
      </c>
      <c r="J122" s="65">
        <f t="shared" si="18"/>
        <v>2029</v>
      </c>
      <c r="K122" s="65">
        <f t="shared" si="18"/>
        <v>2030</v>
      </c>
      <c r="O122" s="74"/>
      <c r="P122" s="74"/>
    </row>
    <row r="123" spans="3:17" ht="15" customHeight="1">
      <c r="C123" s="17" t="str">
        <f t="shared" ref="C123:K123" si="19">C15</f>
        <v>Fiscal year end date</v>
      </c>
      <c r="D123" s="38">
        <f t="shared" si="19"/>
        <v>45199</v>
      </c>
      <c r="E123" s="38">
        <f t="shared" si="19"/>
        <v>45565</v>
      </c>
      <c r="F123" s="38">
        <f t="shared" si="19"/>
        <v>45927</v>
      </c>
      <c r="G123" s="38">
        <f t="shared" si="19"/>
        <v>46295</v>
      </c>
      <c r="H123" s="38">
        <f t="shared" si="19"/>
        <v>46660</v>
      </c>
      <c r="I123" s="38">
        <f t="shared" si="19"/>
        <v>47026</v>
      </c>
      <c r="J123" s="38">
        <f t="shared" si="19"/>
        <v>47391</v>
      </c>
      <c r="K123" s="38">
        <f t="shared" si="19"/>
        <v>47756</v>
      </c>
      <c r="O123" s="74"/>
      <c r="P123" s="74"/>
    </row>
    <row r="124" spans="3:17" ht="15" customHeight="1">
      <c r="C124" s="27"/>
      <c r="O124" s="74"/>
      <c r="P124" s="74"/>
    </row>
    <row r="125" spans="3:17" ht="15" customHeight="1">
      <c r="C125" s="32" t="s">
        <v>146</v>
      </c>
      <c r="O125" s="74"/>
      <c r="P125" s="74"/>
      <c r="Q125" s="74"/>
    </row>
    <row r="126" spans="3:17" ht="15" customHeight="1">
      <c r="C126" s="29" t="s">
        <v>147</v>
      </c>
      <c r="G126" s="60">
        <f>F45</f>
        <v>132420</v>
      </c>
      <c r="H126" s="60">
        <f ca="1">G45</f>
        <v>159695.5621907936</v>
      </c>
      <c r="I126" s="60">
        <f ca="1">H45</f>
        <v>190375.83383342845</v>
      </c>
      <c r="J126" s="60">
        <f ca="1">I45</f>
        <v>229067.56480336637</v>
      </c>
      <c r="K126" s="60">
        <f ca="1">J45</f>
        <v>276380.45680520777</v>
      </c>
      <c r="M126" t="s">
        <v>148</v>
      </c>
      <c r="O126" s="74"/>
      <c r="P126" s="74"/>
    </row>
    <row r="127" spans="3:17" ht="15" customHeight="1">
      <c r="C127" s="29" t="s">
        <v>149</v>
      </c>
      <c r="G127" s="39">
        <v>-50000</v>
      </c>
      <c r="H127" s="39">
        <v>-50000</v>
      </c>
      <c r="I127" s="39">
        <v>-50000</v>
      </c>
      <c r="J127" s="39">
        <v>-50000</v>
      </c>
      <c r="K127" s="39">
        <v>-50000</v>
      </c>
      <c r="M127" t="s">
        <v>150</v>
      </c>
      <c r="O127" s="74"/>
      <c r="P127" s="74"/>
    </row>
    <row r="128" spans="3:17" ht="15" customHeight="1">
      <c r="C128" s="67" t="s">
        <v>151</v>
      </c>
      <c r="D128" s="80"/>
      <c r="E128" s="80"/>
      <c r="F128" s="80"/>
      <c r="G128" s="83">
        <f ca="1">SUM(G79,G82,G84,G86,G87)</f>
        <v>23254.5621907936</v>
      </c>
      <c r="H128" s="83">
        <f ca="1">SUM(H79,H82,H84,H86,H87)</f>
        <v>30680.271642634849</v>
      </c>
      <c r="I128" s="83">
        <f ca="1">SUM(I79,I82,I84,I86,I87)</f>
        <v>38691.730969937926</v>
      </c>
      <c r="J128" s="83">
        <f ca="1">SUM(J79,J82,J84,J86,J87)</f>
        <v>47312.892001841392</v>
      </c>
      <c r="K128" s="83">
        <f ca="1">SUM(K79,K82,K84,K86,K87)</f>
        <v>56581.256336082879</v>
      </c>
      <c r="M128" t="s">
        <v>152</v>
      </c>
    </row>
    <row r="129" spans="3:19" ht="15" customHeight="1">
      <c r="C129" s="70" t="s">
        <v>153</v>
      </c>
      <c r="G129" s="84">
        <f ca="1">SUM(G126:G128)</f>
        <v>105674.5621907936</v>
      </c>
      <c r="H129" s="84">
        <f ca="1">SUM(H126:H128)</f>
        <v>140375.83383342845</v>
      </c>
      <c r="I129" s="84">
        <f ca="1">SUM(I126:I128)</f>
        <v>179067.56480336637</v>
      </c>
      <c r="J129" s="84">
        <f ca="1">SUM(J126:J128)</f>
        <v>226380.45680520777</v>
      </c>
      <c r="K129" s="84">
        <f ca="1">SUM(K126:K128)</f>
        <v>282961.71314129065</v>
      </c>
    </row>
    <row r="131" spans="3:19" ht="15" customHeight="1">
      <c r="C131" s="27" t="s">
        <v>154</v>
      </c>
    </row>
    <row r="132" spans="3:19" ht="15" customHeight="1">
      <c r="C132" s="29" t="s">
        <v>114</v>
      </c>
      <c r="G132" s="60">
        <f>F135</f>
        <v>7979</v>
      </c>
      <c r="H132" s="60">
        <f ca="1">G135</f>
        <v>12000</v>
      </c>
      <c r="I132" s="60">
        <f ca="1">H135</f>
        <v>12000</v>
      </c>
      <c r="J132" s="60">
        <f ca="1">I135</f>
        <v>12000</v>
      </c>
      <c r="K132" s="60">
        <f ca="1">J135</f>
        <v>12000</v>
      </c>
      <c r="M132" t="s">
        <v>115</v>
      </c>
    </row>
    <row r="133" spans="3:19" ht="15" customHeight="1">
      <c r="C133" s="29" t="s">
        <v>155</v>
      </c>
      <c r="G133" s="60">
        <f ca="1">-MIN(G129,G132)</f>
        <v>-7979</v>
      </c>
      <c r="H133" s="60">
        <f ca="1">-MIN(H129,H132)</f>
        <v>-12000</v>
      </c>
      <c r="I133" s="60">
        <f ca="1">-MIN(I129,I132)</f>
        <v>-12000</v>
      </c>
      <c r="J133" s="60">
        <f ca="1">-MIN(J129,J132)</f>
        <v>-12000</v>
      </c>
      <c r="K133" s="60">
        <f ca="1">-MIN(K129,K132)</f>
        <v>-12000</v>
      </c>
      <c r="M133" t="s">
        <v>156</v>
      </c>
    </row>
    <row r="134" spans="3:19" ht="15" customHeight="1">
      <c r="C134" s="67" t="s">
        <v>157</v>
      </c>
      <c r="D134" s="80"/>
      <c r="E134" s="80"/>
      <c r="F134" s="80"/>
      <c r="G134" s="68">
        <v>12000</v>
      </c>
      <c r="H134" s="68">
        <v>12000</v>
      </c>
      <c r="I134" s="68">
        <v>12000</v>
      </c>
      <c r="J134" s="68">
        <v>12000</v>
      </c>
      <c r="K134" s="68">
        <v>12000</v>
      </c>
      <c r="M134" t="s">
        <v>150</v>
      </c>
    </row>
    <row r="135" spans="3:19" ht="15" customHeight="1">
      <c r="C135" s="29" t="s">
        <v>120</v>
      </c>
      <c r="D135" s="85">
        <f>D56</f>
        <v>0</v>
      </c>
      <c r="E135" s="85">
        <f>E56</f>
        <v>9967</v>
      </c>
      <c r="F135" s="85">
        <f>F56</f>
        <v>7979</v>
      </c>
      <c r="G135" s="86">
        <f ca="1">SUM(G132:G134)</f>
        <v>12000</v>
      </c>
      <c r="H135" s="86">
        <f ca="1">SUM(H132:H134)</f>
        <v>12000</v>
      </c>
      <c r="I135" s="86">
        <f ca="1">SUM(I132:I134)</f>
        <v>12000</v>
      </c>
      <c r="J135" s="86">
        <f ca="1">SUM(J132:J134)</f>
        <v>12000</v>
      </c>
      <c r="K135" s="86">
        <f ca="1">SUM(K132:K134)</f>
        <v>12000</v>
      </c>
    </row>
    <row r="136" spans="3:19" ht="15" customHeight="1">
      <c r="C136" s="87" t="s">
        <v>158</v>
      </c>
      <c r="D136" s="88"/>
      <c r="E136" s="88"/>
      <c r="F136" s="89"/>
      <c r="G136" s="90" t="str">
        <f ca="1">IF(G135&lt;0,"Negative Debt","OK")</f>
        <v>OK</v>
      </c>
      <c r="H136" s="90" t="str">
        <f ca="1">IF(H135&lt;0,"Negative Debt","OK")</f>
        <v>OK</v>
      </c>
      <c r="I136" s="90" t="str">
        <f ca="1">IF(I135&lt;0,"Negative Debt","OK")</f>
        <v>OK</v>
      </c>
      <c r="J136" s="90" t="str">
        <f ca="1">IF(J135&lt;0,"Negative Debt","OK")</f>
        <v>OK</v>
      </c>
      <c r="K136" s="91" t="str">
        <f ca="1">IF(K135&lt;0,"Negative Debt","OK")</f>
        <v>OK</v>
      </c>
      <c r="S136" s="40"/>
    </row>
    <row r="137" spans="3:19" ht="15" customHeight="1">
      <c r="D137" s="42"/>
      <c r="E137" s="42"/>
      <c r="F137" s="92"/>
      <c r="G137" s="93"/>
      <c r="H137" s="93"/>
      <c r="I137" s="93"/>
      <c r="J137" s="93"/>
      <c r="K137" s="93"/>
      <c r="S137" s="40"/>
    </row>
    <row r="138" spans="3:19" ht="15" customHeight="1">
      <c r="C138" s="16" t="s">
        <v>159</v>
      </c>
      <c r="D138" s="76"/>
      <c r="E138" s="76"/>
      <c r="F138" s="76"/>
      <c r="G138" s="94"/>
      <c r="H138" s="94"/>
      <c r="I138" s="94"/>
      <c r="J138" s="94"/>
      <c r="K138" s="94"/>
      <c r="R138" s="95"/>
    </row>
    <row r="139" spans="3:19" ht="15" customHeight="1">
      <c r="C139" s="36" t="str">
        <f t="shared" ref="C139:K139" si="20">C14</f>
        <v xml:space="preserve">Fiscal year  </v>
      </c>
      <c r="D139" s="37">
        <f t="shared" si="20"/>
        <v>2023</v>
      </c>
      <c r="E139" s="37">
        <f t="shared" si="20"/>
        <v>2024</v>
      </c>
      <c r="F139" s="37">
        <f t="shared" si="20"/>
        <v>2025</v>
      </c>
      <c r="G139" s="65">
        <f t="shared" si="20"/>
        <v>2026</v>
      </c>
      <c r="H139" s="65">
        <f t="shared" si="20"/>
        <v>2027</v>
      </c>
      <c r="I139" s="65">
        <f t="shared" si="20"/>
        <v>2028</v>
      </c>
      <c r="J139" s="65">
        <f t="shared" si="20"/>
        <v>2029</v>
      </c>
      <c r="K139" s="65">
        <f t="shared" si="20"/>
        <v>2030</v>
      </c>
      <c r="R139" s="95"/>
      <c r="S139" s="40"/>
    </row>
    <row r="140" spans="3:19" ht="15" customHeight="1">
      <c r="C140" s="17" t="str">
        <f t="shared" ref="C140:K140" si="21">C15</f>
        <v>Fiscal year end date</v>
      </c>
      <c r="D140" s="38">
        <f t="shared" si="21"/>
        <v>45199</v>
      </c>
      <c r="E140" s="38">
        <f t="shared" si="21"/>
        <v>45565</v>
      </c>
      <c r="F140" s="38">
        <f t="shared" si="21"/>
        <v>45927</v>
      </c>
      <c r="G140" s="38">
        <f t="shared" si="21"/>
        <v>46295</v>
      </c>
      <c r="H140" s="38">
        <f t="shared" si="21"/>
        <v>46660</v>
      </c>
      <c r="I140" s="38">
        <f t="shared" si="21"/>
        <v>47026</v>
      </c>
      <c r="J140" s="38">
        <f t="shared" si="21"/>
        <v>47391</v>
      </c>
      <c r="K140" s="38">
        <f t="shared" si="21"/>
        <v>47756</v>
      </c>
      <c r="R140" s="95"/>
    </row>
    <row r="141" spans="3:19" ht="15" customHeight="1">
      <c r="C141" s="29"/>
      <c r="D141" s="42"/>
      <c r="E141" s="42"/>
      <c r="F141" s="42"/>
      <c r="G141" s="96"/>
      <c r="H141" s="96"/>
      <c r="I141" s="96"/>
      <c r="J141" s="96"/>
      <c r="K141" s="96"/>
      <c r="R141" s="95"/>
    </row>
    <row r="142" spans="3:19" ht="15" customHeight="1">
      <c r="C142" s="30" t="s">
        <v>160</v>
      </c>
      <c r="D142" s="42">
        <f>-(D24)</f>
        <v>0</v>
      </c>
      <c r="E142" s="42">
        <f>-(E24)</f>
        <v>0</v>
      </c>
      <c r="F142" s="42">
        <f>-(F24)</f>
        <v>0</v>
      </c>
      <c r="G142" s="60">
        <f ca="1">G147+G152</f>
        <v>3002.8830500000004</v>
      </c>
      <c r="H142" s="60">
        <f ca="1">H147+H152</f>
        <v>3087.1230000000005</v>
      </c>
      <c r="I142" s="60">
        <f ca="1">I147+I152</f>
        <v>3087.1230000000005</v>
      </c>
      <c r="J142" s="60">
        <f ca="1">J147+J152</f>
        <v>3087.1230000000005</v>
      </c>
      <c r="K142" s="60">
        <f ca="1">K147+K152</f>
        <v>3087.1230000000005</v>
      </c>
      <c r="M142" t="s">
        <v>161</v>
      </c>
      <c r="R142" s="40"/>
    </row>
    <row r="143" spans="3:19" ht="15" customHeight="1">
      <c r="C143" s="97"/>
      <c r="R143" s="40"/>
    </row>
    <row r="144" spans="3:19" ht="15" customHeight="1">
      <c r="C144" s="98" t="s">
        <v>162</v>
      </c>
      <c r="R144" s="40"/>
    </row>
    <row r="145" spans="3:18" ht="15" customHeight="1">
      <c r="C145" s="29" t="s">
        <v>163</v>
      </c>
      <c r="E145" s="99">
        <v>0.05</v>
      </c>
      <c r="F145" s="99">
        <v>4.19E-2</v>
      </c>
      <c r="G145" s="100">
        <f>F145</f>
        <v>4.19E-2</v>
      </c>
      <c r="H145" s="100">
        <f>G145</f>
        <v>4.19E-2</v>
      </c>
      <c r="I145" s="100">
        <f>H145</f>
        <v>4.19E-2</v>
      </c>
      <c r="J145" s="100">
        <f>I145</f>
        <v>4.19E-2</v>
      </c>
      <c r="K145" s="100">
        <f>J145</f>
        <v>4.19E-2</v>
      </c>
      <c r="M145" t="s">
        <v>164</v>
      </c>
    </row>
    <row r="146" spans="3:18" ht="15" customHeight="1">
      <c r="C146" s="29" t="s">
        <v>165</v>
      </c>
      <c r="D146" s="85"/>
      <c r="E146" s="85">
        <f t="shared" ref="E146:K146" si="22">E56</f>
        <v>9967</v>
      </c>
      <c r="F146" s="85">
        <f t="shared" si="22"/>
        <v>7979</v>
      </c>
      <c r="G146" s="60">
        <f t="shared" ca="1" si="22"/>
        <v>12000</v>
      </c>
      <c r="H146" s="60">
        <f t="shared" ca="1" si="22"/>
        <v>12000</v>
      </c>
      <c r="I146" s="60">
        <f t="shared" ca="1" si="22"/>
        <v>12000</v>
      </c>
      <c r="J146" s="60">
        <f t="shared" ca="1" si="22"/>
        <v>12000</v>
      </c>
      <c r="K146" s="60">
        <f t="shared" ca="1" si="22"/>
        <v>12000</v>
      </c>
      <c r="M146" t="s">
        <v>166</v>
      </c>
    </row>
    <row r="147" spans="3:18" ht="15" customHeight="1">
      <c r="C147" s="101" t="s">
        <v>167</v>
      </c>
      <c r="D147" s="42"/>
      <c r="E147" s="45">
        <f>AVERAGE(D146:E146)*E145</f>
        <v>498.35</v>
      </c>
      <c r="F147" s="45">
        <f>AVERAGE(E146:F146)*F145</f>
        <v>375.96870000000001</v>
      </c>
      <c r="G147" s="102">
        <f ca="1">IF($D$7=1,AVERAGE(F146,G146)*G145,0)</f>
        <v>418.56004999999999</v>
      </c>
      <c r="H147" s="102">
        <f ca="1">IF($D$7=1,AVERAGE(G146,H146)*H145,0)</f>
        <v>502.8</v>
      </c>
      <c r="I147" s="102">
        <f ca="1">IF($D$7=1,AVERAGE(H146,I146)*I145,0)</f>
        <v>502.8</v>
      </c>
      <c r="J147" s="102">
        <f ca="1">IF($D$7=1,AVERAGE(I146,J146)*J145,0)</f>
        <v>502.8</v>
      </c>
      <c r="K147" s="102">
        <f ca="1">IF($D$7=1,AVERAGE(J146,K146)*K145,0)</f>
        <v>502.8</v>
      </c>
      <c r="M147" t="s">
        <v>168</v>
      </c>
    </row>
    <row r="148" spans="3:18" ht="15" customHeight="1">
      <c r="C148" s="103"/>
      <c r="D148" s="42"/>
      <c r="E148" s="42"/>
      <c r="F148" s="42"/>
    </row>
    <row r="149" spans="3:18" ht="15" customHeight="1">
      <c r="C149" s="98" t="s">
        <v>105</v>
      </c>
      <c r="D149" s="42"/>
      <c r="E149" s="42"/>
      <c r="F149" s="42"/>
    </row>
    <row r="150" spans="3:18" ht="15" customHeight="1">
      <c r="C150" s="29" t="s">
        <v>165</v>
      </c>
      <c r="D150" s="42"/>
      <c r="E150" s="42">
        <f t="shared" ref="E150:K150" si="23">E57</f>
        <v>96662</v>
      </c>
      <c r="F150" s="42">
        <f t="shared" si="23"/>
        <v>90678</v>
      </c>
      <c r="G150" s="60">
        <f t="shared" si="23"/>
        <v>90678</v>
      </c>
      <c r="H150" s="60">
        <f t="shared" si="23"/>
        <v>90678</v>
      </c>
      <c r="I150" s="60">
        <f t="shared" si="23"/>
        <v>90678</v>
      </c>
      <c r="J150" s="60">
        <f t="shared" si="23"/>
        <v>90678</v>
      </c>
      <c r="K150" s="60">
        <f t="shared" si="23"/>
        <v>90678</v>
      </c>
      <c r="M150" t="s">
        <v>107</v>
      </c>
    </row>
    <row r="151" spans="3:18" ht="15" customHeight="1">
      <c r="C151" s="29" t="s">
        <v>163</v>
      </c>
      <c r="E151" s="104">
        <v>2.8500000000000001E-2</v>
      </c>
      <c r="F151" s="104">
        <v>2.8500000000000001E-2</v>
      </c>
      <c r="G151" s="105">
        <f>F151</f>
        <v>2.8500000000000001E-2</v>
      </c>
      <c r="H151" s="105">
        <f>G151</f>
        <v>2.8500000000000001E-2</v>
      </c>
      <c r="I151" s="105">
        <f>H151</f>
        <v>2.8500000000000001E-2</v>
      </c>
      <c r="J151" s="105">
        <f>I151</f>
        <v>2.8500000000000001E-2</v>
      </c>
      <c r="K151" s="105">
        <f>J151</f>
        <v>2.8500000000000001E-2</v>
      </c>
      <c r="M151" t="s">
        <v>164</v>
      </c>
      <c r="R151" s="95"/>
    </row>
    <row r="152" spans="3:18" ht="15" customHeight="1">
      <c r="C152" s="70" t="s">
        <v>169</v>
      </c>
      <c r="D152" s="45"/>
      <c r="E152" s="45">
        <f>E142-E147</f>
        <v>-498.35</v>
      </c>
      <c r="F152" s="45">
        <f>F142-F147</f>
        <v>-375.96870000000001</v>
      </c>
      <c r="G152" s="106">
        <f>G151*AVERAGE(F150:G150)</f>
        <v>2584.3230000000003</v>
      </c>
      <c r="H152" s="106">
        <f>H151*AVERAGE(G150:H150)</f>
        <v>2584.3230000000003</v>
      </c>
      <c r="I152" s="106">
        <f>I151*AVERAGE(H150:I150)</f>
        <v>2584.3230000000003</v>
      </c>
      <c r="J152" s="106">
        <f>J151*AVERAGE(I150:J150)</f>
        <v>2584.3230000000003</v>
      </c>
      <c r="K152" s="106">
        <f>K151*AVERAGE(J150:K150)</f>
        <v>2584.3230000000003</v>
      </c>
      <c r="M152" t="s">
        <v>170</v>
      </c>
    </row>
    <row r="153" spans="3:18" ht="15" customHeight="1">
      <c r="E153" s="42"/>
    </row>
    <row r="154" spans="3:18" ht="15" customHeight="1">
      <c r="C154" s="97" t="s">
        <v>171</v>
      </c>
      <c r="E154" s="42"/>
      <c r="F154" s="42"/>
    </row>
    <row r="155" spans="3:18" ht="15" customHeight="1">
      <c r="C155" s="29" t="s">
        <v>172</v>
      </c>
      <c r="D155" s="107">
        <v>3.5000000000000003E-2</v>
      </c>
      <c r="E155" s="108">
        <v>3.5000000000000003E-2</v>
      </c>
      <c r="F155" s="108">
        <v>3.5000000000000003E-2</v>
      </c>
      <c r="G155" s="109">
        <f>F155</f>
        <v>3.5000000000000003E-2</v>
      </c>
      <c r="H155" s="109">
        <f>G155</f>
        <v>3.5000000000000003E-2</v>
      </c>
      <c r="I155" s="109">
        <f>H155</f>
        <v>3.5000000000000003E-2</v>
      </c>
      <c r="J155" s="109">
        <f>I155</f>
        <v>3.5000000000000003E-2</v>
      </c>
      <c r="K155" s="109">
        <f>J155</f>
        <v>3.5000000000000003E-2</v>
      </c>
      <c r="M155" t="s">
        <v>164</v>
      </c>
    </row>
    <row r="156" spans="3:18" ht="15" customHeight="1">
      <c r="C156" s="29" t="s">
        <v>19</v>
      </c>
      <c r="D156" s="42">
        <f>D23</f>
        <v>0</v>
      </c>
      <c r="E156" s="42">
        <f>E23</f>
        <v>0</v>
      </c>
      <c r="F156" s="42">
        <f>F23</f>
        <v>0</v>
      </c>
      <c r="G156" s="110">
        <f ca="1">IF($D$7=1,AVERAGE(F45,G45)*G155,0)</f>
        <v>5112.0223383388884</v>
      </c>
      <c r="H156" s="110">
        <f ca="1">IF($D$7=1,AVERAGE(G45,H45)*H155,0)</f>
        <v>6126.2494304238862</v>
      </c>
      <c r="I156" s="110">
        <f ca="1">IF($D$7=1,AVERAGE(H45,I45)*I155,0)</f>
        <v>7340.2594761439104</v>
      </c>
      <c r="J156" s="110">
        <f ca="1">IF($D$7=1,AVERAGE(I45,J45)*J155,0)</f>
        <v>8845.3403781500492</v>
      </c>
      <c r="K156" s="110">
        <f ca="1">IF($D$7=1,AVERAGE(J45,K45)*K155,0)</f>
        <v>10663.487974063724</v>
      </c>
      <c r="M156" t="s">
        <v>173</v>
      </c>
    </row>
    <row r="157" spans="3:18" ht="15" customHeight="1">
      <c r="C157" s="50"/>
      <c r="D157" s="51"/>
      <c r="E157" s="51"/>
      <c r="F157" s="51"/>
      <c r="G157" s="51"/>
      <c r="H157" s="51"/>
    </row>
  </sheetData>
  <mergeCells count="1">
    <mergeCell ref="G95:K95"/>
  </mergeCells>
  <conditionalFormatting sqref="C39">
    <cfRule type="expression" dxfId="25" priority="2">
      <formula>#REF!=$C39</formula>
    </cfRule>
  </conditionalFormatting>
  <dataValidations count="2">
    <dataValidation type="list" allowBlank="1" showInputMessage="1" showErrorMessage="1" sqref="D7" xr:uid="{00000000-0002-0000-0100-000000000000}">
      <formula1>"0,1"</formula1>
      <formula2>0</formula2>
    </dataValidation>
    <dataValidation type="list" allowBlank="1" showInputMessage="1" showErrorMessage="1" sqref="C3" xr:uid="{00000000-0002-0000-0100-000001000000}">
      <formula1>"$ bns except per share,$ mm except per share,$ in thousands except per share"</formula1>
      <formula2>0</formula2>
    </dataValidation>
  </dataValidations>
  <pageMargins left="0.7" right="0.7" top="0.75" bottom="0.75" header="0.511811023622047" footer="0.511811023622047"/>
  <pageSetup scale="23"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C1:T90"/>
  <sheetViews>
    <sheetView topLeftCell="A3" zoomScaleNormal="100" workbookViewId="0">
      <selection activeCell="F36" sqref="F36"/>
    </sheetView>
  </sheetViews>
  <sheetFormatPr baseColWidth="10" defaultColWidth="8.83203125" defaultRowHeight="15"/>
  <cols>
    <col min="1" max="2" width="1.6640625" customWidth="1"/>
    <col min="3" max="3" width="42.6640625" customWidth="1"/>
    <col min="4" max="11" width="11.5" customWidth="1"/>
    <col min="12" max="12" width="2.33203125" customWidth="1"/>
    <col min="13" max="13" width="11.5" customWidth="1"/>
    <col min="14" max="14" width="11.83203125" customWidth="1"/>
    <col min="15" max="17" width="10.33203125" customWidth="1"/>
    <col min="18" max="19" width="9.5" customWidth="1"/>
  </cols>
  <sheetData>
    <row r="1" spans="3:19" ht="15.75" customHeight="1"/>
    <row r="2" spans="3:19" ht="15.75" customHeight="1">
      <c r="C2" s="4" t="str">
        <f>"Financial Statement Model for "&amp;D5</f>
        <v>Financial Statement Model for Apple</v>
      </c>
      <c r="D2" s="5"/>
      <c r="E2" s="5"/>
      <c r="F2" s="5"/>
      <c r="G2" s="5"/>
      <c r="H2" s="5"/>
      <c r="I2" s="5"/>
      <c r="J2" s="5"/>
      <c r="K2" s="5"/>
    </row>
    <row r="3" spans="3:19" ht="15" customHeight="1">
      <c r="C3" s="6" t="s">
        <v>0</v>
      </c>
      <c r="D3" s="7"/>
      <c r="E3" s="7"/>
      <c r="F3" s="7"/>
      <c r="G3" s="7"/>
      <c r="H3" s="7"/>
    </row>
    <row r="5" spans="3:19" ht="15" customHeight="1">
      <c r="C5" s="8" t="s">
        <v>1</v>
      </c>
      <c r="D5" s="9" t="s">
        <v>2</v>
      </c>
    </row>
    <row r="6" spans="3:19" ht="15" customHeight="1">
      <c r="C6" s="8" t="s">
        <v>3</v>
      </c>
      <c r="D6" s="9" t="s">
        <v>4</v>
      </c>
    </row>
    <row r="7" spans="3:19" ht="15" customHeight="1">
      <c r="C7" t="s">
        <v>5</v>
      </c>
      <c r="D7" s="10">
        <v>1</v>
      </c>
    </row>
    <row r="8" spans="3:19" ht="15" customHeight="1">
      <c r="C8" t="s">
        <v>6</v>
      </c>
      <c r="D8" s="11">
        <v>171.25</v>
      </c>
    </row>
    <row r="9" spans="3:19" ht="15" customHeight="1">
      <c r="C9" t="s">
        <v>7</v>
      </c>
      <c r="D9" s="12">
        <v>43500</v>
      </c>
    </row>
    <row r="10" spans="3:19" ht="15" customHeight="1">
      <c r="C10" s="8" t="s">
        <v>8</v>
      </c>
      <c r="D10" s="13">
        <v>43372</v>
      </c>
    </row>
    <row r="11" spans="3:19" ht="15" customHeight="1">
      <c r="C11" t="s">
        <v>9</v>
      </c>
      <c r="D11" s="54">
        <v>4745.3980000000001</v>
      </c>
    </row>
    <row r="13" spans="3:19" ht="15" customHeight="1">
      <c r="C13" s="16" t="s">
        <v>10</v>
      </c>
      <c r="D13" s="17"/>
      <c r="E13" s="17"/>
      <c r="F13" s="17"/>
      <c r="G13" s="17"/>
      <c r="H13" s="17"/>
      <c r="I13" s="17"/>
      <c r="J13" s="17"/>
      <c r="K13" s="17"/>
    </row>
    <row r="14" spans="3:19" ht="15" customHeight="1">
      <c r="C14" t="s">
        <v>11</v>
      </c>
      <c r="D14" s="18">
        <f>E14-1</f>
        <v>2016</v>
      </c>
      <c r="E14" s="18">
        <f>F14-1</f>
        <v>2017</v>
      </c>
      <c r="F14" s="18">
        <f>YEAR(D10)</f>
        <v>2018</v>
      </c>
      <c r="G14" s="55">
        <f>F14+1</f>
        <v>2019</v>
      </c>
      <c r="H14" s="55">
        <f>G14+1</f>
        <v>2020</v>
      </c>
      <c r="I14" s="55">
        <f>H14+1</f>
        <v>2021</v>
      </c>
      <c r="J14" s="55">
        <f>I14+1</f>
        <v>2022</v>
      </c>
      <c r="K14" s="55">
        <f>J14+1</f>
        <v>2023</v>
      </c>
    </row>
    <row r="15" spans="3:19" ht="15" customHeight="1">
      <c r="C15" s="19" t="s">
        <v>12</v>
      </c>
      <c r="D15" s="20">
        <f>EOMONTH(E15,-12)</f>
        <v>42643</v>
      </c>
      <c r="E15" s="20">
        <f>EOMONTH(F15,-12)</f>
        <v>43008</v>
      </c>
      <c r="F15" s="20">
        <f>D10</f>
        <v>43372</v>
      </c>
      <c r="G15" s="20">
        <f>EOMONTH(F15,12)</f>
        <v>43738</v>
      </c>
      <c r="H15" s="20">
        <f>EOMONTH(G15,12)</f>
        <v>44104</v>
      </c>
      <c r="I15" s="20">
        <f>EOMONTH(H15,12)</f>
        <v>44469</v>
      </c>
      <c r="J15" s="20">
        <f>EOMONTH(I15,12)</f>
        <v>44834</v>
      </c>
      <c r="K15" s="20">
        <f>EOMONTH(J15,12)</f>
        <v>45199</v>
      </c>
      <c r="M15" s="16" t="s">
        <v>66</v>
      </c>
      <c r="N15" s="17"/>
      <c r="O15" s="17"/>
      <c r="P15" s="17"/>
      <c r="Q15" s="17"/>
      <c r="R15" s="17"/>
      <c r="S15" s="17"/>
    </row>
    <row r="16" spans="3:19" ht="15" customHeight="1">
      <c r="C16" s="23"/>
      <c r="D16" s="24"/>
      <c r="E16" s="25"/>
      <c r="F16" s="25"/>
      <c r="G16" s="56"/>
      <c r="H16" s="57"/>
      <c r="I16" s="57"/>
      <c r="J16" s="25"/>
      <c r="K16" s="25"/>
    </row>
    <row r="17" spans="3:14" ht="15" customHeight="1">
      <c r="C17" t="s">
        <v>13</v>
      </c>
      <c r="D17" s="39">
        <v>215639</v>
      </c>
      <c r="E17" s="39">
        <v>229234</v>
      </c>
      <c r="F17" s="39">
        <v>265595</v>
      </c>
      <c r="G17" s="61">
        <f>F17*(1+G36)</f>
        <v>254971.19999999998</v>
      </c>
      <c r="H17" s="61">
        <f>G17*(1+H36)</f>
        <v>270269.47200000001</v>
      </c>
      <c r="I17" s="61">
        <f>H17*(1+I36)</f>
        <v>288918.06556800002</v>
      </c>
      <c r="J17" s="61">
        <f>I17*(1+J36)</f>
        <v>308853.41209219198</v>
      </c>
      <c r="K17" s="61">
        <f>J17*(1+K36)</f>
        <v>330164.29752655321</v>
      </c>
      <c r="M17" t="s">
        <v>67</v>
      </c>
    </row>
    <row r="18" spans="3:14" ht="15" customHeight="1">
      <c r="C18" t="s">
        <v>14</v>
      </c>
      <c r="D18" s="39">
        <v>-131376</v>
      </c>
      <c r="E18" s="39">
        <v>-141048</v>
      </c>
      <c r="F18" s="39">
        <v>-163756</v>
      </c>
      <c r="G18" s="61">
        <f>G19-G17</f>
        <v>-158592.08639999997</v>
      </c>
      <c r="H18" s="61">
        <f>H19-H17</f>
        <v>-167296.80316800001</v>
      </c>
      <c r="I18" s="61">
        <f>I19-I17</f>
        <v>-178551.36452102399</v>
      </c>
      <c r="J18" s="61">
        <f>J19-J17</f>
        <v>-190871.40867297465</v>
      </c>
      <c r="K18" s="61">
        <f>K19-K17</f>
        <v>-204041.53587140987</v>
      </c>
      <c r="M18" t="s">
        <v>68</v>
      </c>
    </row>
    <row r="19" spans="3:14" ht="15" customHeight="1">
      <c r="C19" s="27" t="s">
        <v>15</v>
      </c>
      <c r="D19" s="41">
        <f>SUM(D17:D18)</f>
        <v>84263</v>
      </c>
      <c r="E19" s="41">
        <f>SUM(E17:E18)</f>
        <v>88186</v>
      </c>
      <c r="F19" s="41">
        <f>SUM(F17:F18)</f>
        <v>101839</v>
      </c>
      <c r="G19" s="66">
        <f>G17*G37</f>
        <v>96379.113599999997</v>
      </c>
      <c r="H19" s="66">
        <f>H17*H37</f>
        <v>102972.66883200001</v>
      </c>
      <c r="I19" s="66">
        <f>I17*I37</f>
        <v>110366.70104697601</v>
      </c>
      <c r="J19" s="66">
        <f>J17*J37</f>
        <v>117982.00341921733</v>
      </c>
      <c r="K19" s="66">
        <f>K17*K37</f>
        <v>126122.76165514333</v>
      </c>
      <c r="M19" t="s">
        <v>69</v>
      </c>
    </row>
    <row r="20" spans="3:14" ht="15" customHeight="1">
      <c r="C20" t="s">
        <v>16</v>
      </c>
      <c r="D20" s="39">
        <v>-10045</v>
      </c>
      <c r="E20" s="39">
        <v>-11581</v>
      </c>
      <c r="F20" s="39">
        <v>-14236</v>
      </c>
      <c r="G20" s="61">
        <f>-G38*G17</f>
        <v>-15808.214399999999</v>
      </c>
      <c r="H20" s="61">
        <f>-H38*H17</f>
        <v>-17026.976736000001</v>
      </c>
      <c r="I20" s="61">
        <f>-I38*I17</f>
        <v>-18201.838130784003</v>
      </c>
      <c r="J20" s="61">
        <f>-J38*J17</f>
        <v>-19457.764961808094</v>
      </c>
      <c r="K20" s="61">
        <f>-K38*K17</f>
        <v>-20800.350744172854</v>
      </c>
      <c r="M20" t="s">
        <v>70</v>
      </c>
    </row>
    <row r="21" spans="3:14" ht="15" customHeight="1">
      <c r="C21" t="s">
        <v>17</v>
      </c>
      <c r="D21" s="39">
        <v>-14194</v>
      </c>
      <c r="E21" s="39">
        <v>-15261</v>
      </c>
      <c r="F21" s="39">
        <v>-16705</v>
      </c>
      <c r="G21" s="61">
        <f>-G17*G39</f>
        <v>-18867.868799999997</v>
      </c>
      <c r="H21" s="61">
        <f>-H17*H39</f>
        <v>-18648.593568000004</v>
      </c>
      <c r="I21" s="61">
        <f>-I17*I39</f>
        <v>-19935.346524192002</v>
      </c>
      <c r="J21" s="61">
        <f>-J17*J39</f>
        <v>-21310.885434361247</v>
      </c>
      <c r="K21" s="61">
        <f>-K17*K39</f>
        <v>-22781.336529332173</v>
      </c>
      <c r="M21" t="s">
        <v>71</v>
      </c>
    </row>
    <row r="22" spans="3:14" ht="15" customHeight="1">
      <c r="C22" s="27" t="s">
        <v>18</v>
      </c>
      <c r="D22" s="41">
        <f t="shared" ref="D22:K22" si="0">D19+D20+D21</f>
        <v>60024</v>
      </c>
      <c r="E22" s="41">
        <f t="shared" si="0"/>
        <v>61344</v>
      </c>
      <c r="F22" s="41">
        <f t="shared" si="0"/>
        <v>70898</v>
      </c>
      <c r="G22" s="66">
        <f t="shared" si="0"/>
        <v>61703.030400000003</v>
      </c>
      <c r="H22" s="66">
        <f t="shared" si="0"/>
        <v>67297.098528000002</v>
      </c>
      <c r="I22" s="66">
        <f t="shared" si="0"/>
        <v>72229.516392000005</v>
      </c>
      <c r="J22" s="66">
        <f t="shared" si="0"/>
        <v>77213.353023047996</v>
      </c>
      <c r="K22" s="66">
        <f t="shared" si="0"/>
        <v>82541.074381638304</v>
      </c>
      <c r="M22" s="27" t="s">
        <v>72</v>
      </c>
    </row>
    <row r="23" spans="3:14" ht="15" customHeight="1">
      <c r="C23" t="s">
        <v>19</v>
      </c>
      <c r="D23" s="39">
        <v>3999</v>
      </c>
      <c r="E23" s="39">
        <v>5201</v>
      </c>
      <c r="F23" s="39">
        <v>5686</v>
      </c>
      <c r="G23" s="111"/>
      <c r="H23" s="111"/>
      <c r="I23" s="111"/>
      <c r="J23" s="111"/>
      <c r="K23" s="111"/>
      <c r="M23" t="s">
        <v>73</v>
      </c>
    </row>
    <row r="24" spans="3:14" ht="15" customHeight="1">
      <c r="C24" t="s">
        <v>20</v>
      </c>
      <c r="D24" s="39">
        <v>-1456</v>
      </c>
      <c r="E24" s="39">
        <v>-2323</v>
      </c>
      <c r="F24" s="39">
        <v>-3240</v>
      </c>
      <c r="G24" s="111"/>
      <c r="H24" s="111"/>
      <c r="I24" s="111"/>
      <c r="J24" s="111"/>
      <c r="K24" s="111"/>
      <c r="M24" t="s">
        <v>74</v>
      </c>
    </row>
    <row r="25" spans="3:14" ht="15" customHeight="1">
      <c r="C25" t="s">
        <v>21</v>
      </c>
      <c r="D25" s="39">
        <v>-1195</v>
      </c>
      <c r="E25" s="39">
        <v>-133</v>
      </c>
      <c r="F25" s="39">
        <v>-441</v>
      </c>
      <c r="G25" s="61">
        <f>F25</f>
        <v>-441</v>
      </c>
      <c r="H25" s="61">
        <f>G25</f>
        <v>-441</v>
      </c>
      <c r="I25" s="61">
        <f>H25</f>
        <v>-441</v>
      </c>
      <c r="J25" s="61">
        <f>I25</f>
        <v>-441</v>
      </c>
      <c r="K25" s="61">
        <f>J25</f>
        <v>-441</v>
      </c>
      <c r="M25" t="s">
        <v>75</v>
      </c>
    </row>
    <row r="26" spans="3:14" ht="15" customHeight="1">
      <c r="C26" s="27" t="s">
        <v>22</v>
      </c>
      <c r="D26" s="41">
        <f t="shared" ref="D26:K26" si="1">SUM(D22:D25)</f>
        <v>61372</v>
      </c>
      <c r="E26" s="41">
        <f t="shared" si="1"/>
        <v>64089</v>
      </c>
      <c r="F26" s="41">
        <f t="shared" si="1"/>
        <v>72903</v>
      </c>
      <c r="G26" s="66">
        <f t="shared" si="1"/>
        <v>61262.030400000003</v>
      </c>
      <c r="H26" s="66">
        <f t="shared" si="1"/>
        <v>66856.098528000002</v>
      </c>
      <c r="I26" s="66">
        <f t="shared" si="1"/>
        <v>71788.516392000005</v>
      </c>
      <c r="J26" s="66">
        <f t="shared" si="1"/>
        <v>76772.353023047996</v>
      </c>
      <c r="K26" s="66">
        <f t="shared" si="1"/>
        <v>82100.074381638304</v>
      </c>
      <c r="M26" s="27" t="s">
        <v>76</v>
      </c>
      <c r="N26" s="27"/>
    </row>
    <row r="27" spans="3:14" ht="15" customHeight="1">
      <c r="C27" t="s">
        <v>23</v>
      </c>
      <c r="D27" s="39">
        <v>-15685</v>
      </c>
      <c r="E27" s="39">
        <v>-15738</v>
      </c>
      <c r="F27" s="39">
        <v>-13372</v>
      </c>
      <c r="G27" s="61">
        <f>-G40*G26</f>
        <v>-10230.759076800001</v>
      </c>
      <c r="H27" s="61">
        <f>-H40*H26</f>
        <v>-11365.536749760002</v>
      </c>
      <c r="I27" s="61">
        <f>-I40*I26</f>
        <v>-12132.259270248001</v>
      </c>
      <c r="J27" s="61">
        <f>-J40*J26</f>
        <v>-12974.527660895112</v>
      </c>
      <c r="K27" s="61">
        <f>-K40*K26</f>
        <v>-13874.912570496874</v>
      </c>
      <c r="M27" t="s">
        <v>77</v>
      </c>
    </row>
    <row r="28" spans="3:14" ht="15" customHeight="1">
      <c r="C28" s="27" t="s">
        <v>24</v>
      </c>
      <c r="D28" s="41">
        <f t="shared" ref="D28:K28" si="2">SUM(D26:D27)</f>
        <v>45687</v>
      </c>
      <c r="E28" s="41">
        <f t="shared" si="2"/>
        <v>48351</v>
      </c>
      <c r="F28" s="41">
        <f t="shared" si="2"/>
        <v>59531</v>
      </c>
      <c r="G28" s="66">
        <f t="shared" si="2"/>
        <v>51031.271323200002</v>
      </c>
      <c r="H28" s="66">
        <f t="shared" si="2"/>
        <v>55490.56177824</v>
      </c>
      <c r="I28" s="66">
        <f t="shared" si="2"/>
        <v>59656.257121752002</v>
      </c>
      <c r="J28" s="66">
        <f t="shared" si="2"/>
        <v>63797.825362152886</v>
      </c>
      <c r="K28" s="66">
        <f t="shared" si="2"/>
        <v>68225.161811141428</v>
      </c>
      <c r="M28" s="27" t="s">
        <v>78</v>
      </c>
    </row>
    <row r="29" spans="3:14" ht="15" customHeight="1">
      <c r="C29" s="29"/>
      <c r="D29" s="42"/>
      <c r="E29" s="42"/>
      <c r="F29" s="42"/>
      <c r="G29" s="42"/>
      <c r="H29" s="42"/>
      <c r="I29" s="42"/>
      <c r="J29" s="42"/>
      <c r="K29" s="42"/>
    </row>
    <row r="30" spans="3:14" ht="15" customHeight="1">
      <c r="C30" s="30" t="s">
        <v>25</v>
      </c>
      <c r="D30" s="39">
        <v>10505</v>
      </c>
      <c r="E30" s="39">
        <v>10157</v>
      </c>
      <c r="F30" s="39">
        <v>10903</v>
      </c>
      <c r="G30" s="111"/>
      <c r="H30" s="111"/>
      <c r="I30" s="111"/>
      <c r="J30" s="111"/>
      <c r="K30" s="111"/>
      <c r="M30" t="s">
        <v>79</v>
      </c>
    </row>
    <row r="31" spans="3:14" ht="15" customHeight="1">
      <c r="C31" s="31" t="s">
        <v>26</v>
      </c>
      <c r="D31" s="41">
        <f t="shared" ref="D31:K31" si="3">D22+D30</f>
        <v>70529</v>
      </c>
      <c r="E31" s="41">
        <f t="shared" si="3"/>
        <v>71501</v>
      </c>
      <c r="F31" s="41">
        <f t="shared" si="3"/>
        <v>81801</v>
      </c>
      <c r="G31" s="66">
        <f t="shared" si="3"/>
        <v>61703.030400000003</v>
      </c>
      <c r="H31" s="66">
        <f t="shared" si="3"/>
        <v>67297.098528000002</v>
      </c>
      <c r="I31" s="66">
        <f t="shared" si="3"/>
        <v>72229.516392000005</v>
      </c>
      <c r="J31" s="66">
        <f t="shared" si="3"/>
        <v>77213.353023047996</v>
      </c>
      <c r="K31" s="66">
        <f t="shared" si="3"/>
        <v>82541.074381638304</v>
      </c>
      <c r="M31" s="27" t="s">
        <v>80</v>
      </c>
    </row>
    <row r="32" spans="3:14" ht="15" customHeight="1">
      <c r="C32" s="30" t="s">
        <v>27</v>
      </c>
      <c r="D32" s="39">
        <v>4210</v>
      </c>
      <c r="E32" s="39">
        <v>4840</v>
      </c>
      <c r="F32" s="39">
        <v>5340</v>
      </c>
      <c r="G32" s="61">
        <f>F32*(1+G36)</f>
        <v>5126.3999999999996</v>
      </c>
      <c r="H32" s="61">
        <f>G32*(1+H36)</f>
        <v>5433.9839999999995</v>
      </c>
      <c r="I32" s="61">
        <f>H32*(1+I36)</f>
        <v>5808.9288959999994</v>
      </c>
      <c r="J32" s="61">
        <f>I32*(1+J36)</f>
        <v>6209.7449898239993</v>
      </c>
      <c r="K32" s="61">
        <f>J32*(1+K36)</f>
        <v>6638.2173941218552</v>
      </c>
      <c r="M32" t="s">
        <v>81</v>
      </c>
    </row>
    <row r="33" spans="3:20" ht="15" customHeight="1">
      <c r="C33" s="31" t="s">
        <v>28</v>
      </c>
      <c r="D33" s="41">
        <f t="shared" ref="D33:K33" si="4">SUM(D31:D32)</f>
        <v>74739</v>
      </c>
      <c r="E33" s="41">
        <f t="shared" si="4"/>
        <v>76341</v>
      </c>
      <c r="F33" s="41">
        <f t="shared" si="4"/>
        <v>87141</v>
      </c>
      <c r="G33" s="66">
        <f t="shared" si="4"/>
        <v>66829.430399999997</v>
      </c>
      <c r="H33" s="66">
        <f t="shared" si="4"/>
        <v>72731.082527999999</v>
      </c>
      <c r="I33" s="66">
        <f t="shared" si="4"/>
        <v>78038.445288000003</v>
      </c>
      <c r="J33" s="66">
        <f t="shared" si="4"/>
        <v>83423.098012871997</v>
      </c>
      <c r="K33" s="66">
        <f t="shared" si="4"/>
        <v>89179.291775760154</v>
      </c>
      <c r="M33" s="27" t="s">
        <v>82</v>
      </c>
    </row>
    <row r="34" spans="3:20" ht="15" customHeight="1">
      <c r="C34" s="29"/>
      <c r="G34" s="62"/>
    </row>
    <row r="35" spans="3:20" ht="15" customHeight="1">
      <c r="C35" s="32" t="s">
        <v>83</v>
      </c>
    </row>
    <row r="36" spans="3:20" ht="15" customHeight="1">
      <c r="C36" s="29" t="s">
        <v>30</v>
      </c>
      <c r="D36" s="63"/>
      <c r="E36" s="63">
        <f>E17/D17-1</f>
        <v>6.304518199398057E-2</v>
      </c>
      <c r="F36" s="63">
        <f>F17/E17-1</f>
        <v>0.15861957650261305</v>
      </c>
      <c r="G36" s="35">
        <v>-0.04</v>
      </c>
      <c r="H36" s="35">
        <v>0.06</v>
      </c>
      <c r="I36" s="35">
        <v>6.9000000000000006E-2</v>
      </c>
      <c r="J36" s="63">
        <f t="shared" ref="J36:K40" si="5">I36</f>
        <v>6.9000000000000006E-2</v>
      </c>
      <c r="K36" s="63">
        <f t="shared" si="5"/>
        <v>6.9000000000000006E-2</v>
      </c>
      <c r="M36" t="s">
        <v>84</v>
      </c>
      <c r="O36" s="35"/>
      <c r="P36" s="35"/>
      <c r="Q36" s="35"/>
      <c r="R36" s="35"/>
      <c r="S36" s="35"/>
      <c r="T36" s="35"/>
    </row>
    <row r="37" spans="3:20" ht="15" customHeight="1">
      <c r="C37" s="29" t="s">
        <v>31</v>
      </c>
      <c r="D37" s="63">
        <f>D19/D17</f>
        <v>0.39075955648097049</v>
      </c>
      <c r="E37" s="63">
        <f>E19/E17</f>
        <v>0.38469860491899105</v>
      </c>
      <c r="F37" s="63">
        <f>F19/F17</f>
        <v>0.38343718820007905</v>
      </c>
      <c r="G37" s="35">
        <v>0.378</v>
      </c>
      <c r="H37" s="35">
        <v>0.38100000000000001</v>
      </c>
      <c r="I37" s="35">
        <v>0.38200000000000001</v>
      </c>
      <c r="J37" s="63">
        <f t="shared" si="5"/>
        <v>0.38200000000000001</v>
      </c>
      <c r="K37" s="63">
        <f t="shared" si="5"/>
        <v>0.38200000000000001</v>
      </c>
      <c r="M37" t="s">
        <v>85</v>
      </c>
      <c r="O37" s="35"/>
      <c r="P37" s="35"/>
      <c r="Q37" s="35"/>
      <c r="R37" s="35"/>
      <c r="S37" s="35"/>
      <c r="T37" s="35"/>
    </row>
    <row r="38" spans="3:20" ht="15" customHeight="1">
      <c r="C38" s="29" t="s">
        <v>32</v>
      </c>
      <c r="D38" s="63">
        <f>-D20/D17</f>
        <v>4.6582482760539605E-2</v>
      </c>
      <c r="E38" s="63">
        <f>-E20/E17</f>
        <v>5.0520428906706681E-2</v>
      </c>
      <c r="F38" s="63">
        <f>-F20/F17</f>
        <v>5.3600406634161032E-2</v>
      </c>
      <c r="G38" s="35">
        <v>6.2E-2</v>
      </c>
      <c r="H38" s="35">
        <v>6.3E-2</v>
      </c>
      <c r="I38" s="35">
        <v>6.3E-2</v>
      </c>
      <c r="J38" s="63">
        <f t="shared" si="5"/>
        <v>6.3E-2</v>
      </c>
      <c r="K38" s="63">
        <f t="shared" si="5"/>
        <v>6.3E-2</v>
      </c>
      <c r="M38" t="s">
        <v>86</v>
      </c>
      <c r="O38" s="35"/>
      <c r="P38" s="35"/>
      <c r="Q38" s="35"/>
      <c r="R38" s="35"/>
      <c r="S38" s="35"/>
      <c r="T38" s="35"/>
    </row>
    <row r="39" spans="3:20" ht="15" customHeight="1">
      <c r="C39" s="29" t="s">
        <v>33</v>
      </c>
      <c r="D39" s="63">
        <f>-D21/D17</f>
        <v>6.5822972653369755E-2</v>
      </c>
      <c r="E39" s="63">
        <f>-E21/E17</f>
        <v>6.6573893924984945E-2</v>
      </c>
      <c r="F39" s="63">
        <f>-F21/F17</f>
        <v>6.2896515371147807E-2</v>
      </c>
      <c r="G39" s="35">
        <v>7.3999999999999996E-2</v>
      </c>
      <c r="H39" s="35">
        <v>6.9000000000000006E-2</v>
      </c>
      <c r="I39" s="35">
        <v>6.9000000000000006E-2</v>
      </c>
      <c r="J39" s="63">
        <f t="shared" si="5"/>
        <v>6.9000000000000006E-2</v>
      </c>
      <c r="K39" s="63">
        <f t="shared" si="5"/>
        <v>6.9000000000000006E-2</v>
      </c>
      <c r="M39" t="s">
        <v>86</v>
      </c>
      <c r="O39" s="35"/>
      <c r="P39" s="35"/>
      <c r="Q39" s="35"/>
      <c r="R39" s="35"/>
      <c r="S39" s="35"/>
      <c r="T39" s="35"/>
    </row>
    <row r="40" spans="3:20" ht="15" customHeight="1">
      <c r="C40" s="29" t="s">
        <v>34</v>
      </c>
      <c r="D40" s="63">
        <f>-(D27/D26)</f>
        <v>0.25557257381216192</v>
      </c>
      <c r="E40" s="63">
        <f>-(E27/E26)</f>
        <v>0.24556476150353415</v>
      </c>
      <c r="F40" s="63">
        <f>-(F27/F26)</f>
        <v>0.18342180705869443</v>
      </c>
      <c r="G40" s="35">
        <v>0.16700000000000001</v>
      </c>
      <c r="H40" s="35">
        <v>0.17</v>
      </c>
      <c r="I40" s="35">
        <v>0.16900000000000001</v>
      </c>
      <c r="J40" s="63">
        <f t="shared" si="5"/>
        <v>0.16900000000000001</v>
      </c>
      <c r="K40" s="63">
        <f t="shared" si="5"/>
        <v>0.16900000000000001</v>
      </c>
      <c r="M40" t="s">
        <v>86</v>
      </c>
      <c r="O40" s="35"/>
      <c r="P40" s="35"/>
      <c r="Q40" s="35"/>
      <c r="R40" s="35"/>
      <c r="S40" s="35"/>
      <c r="T40" s="35"/>
    </row>
    <row r="41" spans="3:20" ht="15" customHeight="1">
      <c r="C41" s="29"/>
      <c r="G41" s="62"/>
    </row>
    <row r="42" spans="3:20" ht="15" customHeight="1">
      <c r="C42" s="16" t="s">
        <v>35</v>
      </c>
      <c r="D42" s="20"/>
      <c r="E42" s="20"/>
      <c r="F42" s="20"/>
      <c r="G42" s="17"/>
      <c r="H42" s="17"/>
      <c r="I42" s="17"/>
      <c r="J42" s="17"/>
      <c r="K42" s="17"/>
    </row>
    <row r="43" spans="3:20" ht="15" customHeight="1">
      <c r="C43" s="36" t="str">
        <f>C14</f>
        <v xml:space="preserve">Fiscal year  </v>
      </c>
      <c r="D43" s="37"/>
      <c r="E43" s="37">
        <f t="shared" ref="E43:K44" si="6">E14</f>
        <v>2017</v>
      </c>
      <c r="F43" s="37">
        <f t="shared" si="6"/>
        <v>2018</v>
      </c>
      <c r="G43" s="65">
        <f t="shared" si="6"/>
        <v>2019</v>
      </c>
      <c r="H43" s="65">
        <f t="shared" si="6"/>
        <v>2020</v>
      </c>
      <c r="I43" s="65">
        <f t="shared" si="6"/>
        <v>2021</v>
      </c>
      <c r="J43" s="65">
        <f t="shared" si="6"/>
        <v>2022</v>
      </c>
      <c r="K43" s="65">
        <f t="shared" si="6"/>
        <v>2023</v>
      </c>
    </row>
    <row r="44" spans="3:20" ht="15" customHeight="1">
      <c r="C44" s="17" t="str">
        <f>C15</f>
        <v>Fiscal year end date</v>
      </c>
      <c r="D44" s="38"/>
      <c r="E44" s="38">
        <f t="shared" si="6"/>
        <v>43008</v>
      </c>
      <c r="F44" s="38">
        <f t="shared" si="6"/>
        <v>43372</v>
      </c>
      <c r="G44" s="38">
        <f t="shared" si="6"/>
        <v>43738</v>
      </c>
      <c r="H44" s="38">
        <f t="shared" si="6"/>
        <v>44104</v>
      </c>
      <c r="I44" s="38">
        <f t="shared" si="6"/>
        <v>44469</v>
      </c>
      <c r="J44" s="38">
        <f t="shared" si="6"/>
        <v>44834</v>
      </c>
      <c r="K44" s="38">
        <f t="shared" si="6"/>
        <v>45199</v>
      </c>
    </row>
    <row r="45" spans="3:20" ht="15" customHeight="1">
      <c r="C45" t="s">
        <v>38</v>
      </c>
      <c r="D45" s="39"/>
      <c r="E45" s="39">
        <f>20289+53892+194714</f>
        <v>268895</v>
      </c>
      <c r="F45" s="39">
        <f>25913+40388+170799</f>
        <v>237100</v>
      </c>
      <c r="G45" s="61">
        <f>G90+F45</f>
        <v>290535.03752000991</v>
      </c>
      <c r="H45" s="61">
        <f>H90+G45</f>
        <v>355782.51330139959</v>
      </c>
      <c r="I45" s="61">
        <f>I90+H45</f>
        <v>426721.42806544999</v>
      </c>
      <c r="J45" s="61">
        <f>J90+I45</f>
        <v>502672.03913871862</v>
      </c>
      <c r="K45" s="61">
        <f>K90+J45</f>
        <v>583888.52887504292</v>
      </c>
      <c r="M45" t="s">
        <v>87</v>
      </c>
    </row>
    <row r="46" spans="3:20" ht="15" customHeight="1">
      <c r="C46" t="s">
        <v>39</v>
      </c>
      <c r="D46" s="39"/>
      <c r="E46" s="39">
        <v>17874</v>
      </c>
      <c r="F46" s="39">
        <v>23186</v>
      </c>
      <c r="G46" s="61">
        <f>F46*(1+G36)</f>
        <v>22258.559999999998</v>
      </c>
      <c r="H46" s="61">
        <f>G46*(1+H36)</f>
        <v>23594.0736</v>
      </c>
      <c r="I46" s="61">
        <f>H46*(1+I36)</f>
        <v>25222.064678399998</v>
      </c>
      <c r="J46" s="61">
        <f>I46*(1+J36)</f>
        <v>26962.387141209598</v>
      </c>
      <c r="K46" s="61">
        <f>J46*(1+K36)</f>
        <v>28822.791853953058</v>
      </c>
      <c r="M46" t="s">
        <v>88</v>
      </c>
    </row>
    <row r="47" spans="3:20" ht="15" customHeight="1">
      <c r="C47" t="s">
        <v>40</v>
      </c>
      <c r="D47" s="39"/>
      <c r="E47" s="39">
        <v>4855</v>
      </c>
      <c r="F47" s="39">
        <v>3956</v>
      </c>
      <c r="G47" s="61">
        <f>F47*G18/F18</f>
        <v>3831.2507254598299</v>
      </c>
      <c r="H47" s="61">
        <f>G47*H18/G18</f>
        <v>4041.5383456643303</v>
      </c>
      <c r="I47" s="61">
        <f>H47*I18/H18</f>
        <v>4313.4248396710409</v>
      </c>
      <c r="J47" s="61">
        <f>I47*J18/I18</f>
        <v>4611.0511536083422</v>
      </c>
      <c r="K47" s="61">
        <f>J47*K18/J18</f>
        <v>4929.2136832073174</v>
      </c>
      <c r="M47" t="s">
        <v>89</v>
      </c>
    </row>
    <row r="48" spans="3:20" ht="15" customHeight="1">
      <c r="C48" t="s">
        <v>41</v>
      </c>
      <c r="D48" s="39"/>
      <c r="E48" s="39">
        <f>17799+13936</f>
        <v>31735</v>
      </c>
      <c r="F48" s="39">
        <f>25809+12087</f>
        <v>37896</v>
      </c>
      <c r="G48" s="61">
        <f>F48*(1+G36)</f>
        <v>36380.159999999996</v>
      </c>
      <c r="H48" s="61">
        <f>G48*(1+H36)</f>
        <v>38562.969599999997</v>
      </c>
      <c r="I48" s="61">
        <f>H48*(1+I36)</f>
        <v>41223.814502399997</v>
      </c>
      <c r="J48" s="61">
        <f>I48*(1+J36)</f>
        <v>44068.257703065596</v>
      </c>
      <c r="K48" s="61">
        <f>J48*(1+K36)</f>
        <v>47108.967484577122</v>
      </c>
      <c r="M48" t="s">
        <v>88</v>
      </c>
    </row>
    <row r="49" spans="3:13" ht="15" customHeight="1">
      <c r="C49" t="s">
        <v>42</v>
      </c>
      <c r="D49" s="39"/>
      <c r="E49" s="39">
        <v>33783</v>
      </c>
      <c r="F49" s="39">
        <v>41304</v>
      </c>
      <c r="G49" s="111"/>
      <c r="H49" s="111"/>
      <c r="I49" s="111"/>
      <c r="J49" s="111"/>
      <c r="K49" s="111"/>
      <c r="M49" t="s">
        <v>90</v>
      </c>
    </row>
    <row r="50" spans="3:13" ht="15" customHeight="1">
      <c r="C50" t="s">
        <v>43</v>
      </c>
      <c r="D50" s="39"/>
      <c r="E50" s="39">
        <v>18177</v>
      </c>
      <c r="F50" s="39">
        <v>22283</v>
      </c>
      <c r="G50" s="61">
        <f>F50*(1+G36)</f>
        <v>21391.68</v>
      </c>
      <c r="H50" s="61">
        <f>G50*(1+H36)</f>
        <v>22675.180800000002</v>
      </c>
      <c r="I50" s="61">
        <f>H50*(1+I36)</f>
        <v>24239.7682752</v>
      </c>
      <c r="J50" s="61">
        <f>I50*(1+J36)</f>
        <v>25912.3122861888</v>
      </c>
      <c r="K50" s="61">
        <f>J50*(1+K36)</f>
        <v>27700.261833935827</v>
      </c>
      <c r="M50" t="s">
        <v>88</v>
      </c>
    </row>
    <row r="51" spans="3:13" ht="15" customHeight="1">
      <c r="C51" s="31" t="s">
        <v>44</v>
      </c>
      <c r="D51" s="41"/>
      <c r="E51" s="41">
        <f t="shared" ref="E51:K51" si="7">SUM(E45:E50)</f>
        <v>375319</v>
      </c>
      <c r="F51" s="41">
        <f t="shared" si="7"/>
        <v>365725</v>
      </c>
      <c r="G51" s="66">
        <f t="shared" si="7"/>
        <v>374396.6882454697</v>
      </c>
      <c r="H51" s="66">
        <f t="shared" si="7"/>
        <v>444656.27564706397</v>
      </c>
      <c r="I51" s="66">
        <f t="shared" si="7"/>
        <v>521720.50036112103</v>
      </c>
      <c r="J51" s="66">
        <f t="shared" si="7"/>
        <v>604226.04742279102</v>
      </c>
      <c r="K51" s="66">
        <f t="shared" si="7"/>
        <v>692449.76373071619</v>
      </c>
    </row>
    <row r="52" spans="3:13" ht="15" customHeight="1">
      <c r="C52" s="30"/>
      <c r="D52" s="42"/>
      <c r="E52" s="42"/>
      <c r="F52" s="42"/>
      <c r="G52" s="42"/>
      <c r="H52" s="42"/>
      <c r="I52" s="42"/>
      <c r="J52" s="42"/>
      <c r="K52" s="42"/>
    </row>
    <row r="53" spans="3:13" ht="15" customHeight="1">
      <c r="C53" s="30" t="s">
        <v>45</v>
      </c>
      <c r="D53" s="39"/>
      <c r="E53" s="39">
        <v>44242</v>
      </c>
      <c r="F53" s="39">
        <v>55888</v>
      </c>
      <c r="G53" s="61">
        <f>F53*G18/F18</f>
        <v>54125.616922269706</v>
      </c>
      <c r="H53" s="61">
        <f>G53*H18/G18</f>
        <v>57096.434545623881</v>
      </c>
      <c r="I53" s="61">
        <f>H53*I18/H18</f>
        <v>60937.484185928995</v>
      </c>
      <c r="J53" s="61">
        <f>I53*J18/I18</f>
        <v>65142.170594758099</v>
      </c>
      <c r="K53" s="61">
        <f>J53*K18/J18</f>
        <v>69636.980365796408</v>
      </c>
      <c r="M53" t="s">
        <v>89</v>
      </c>
    </row>
    <row r="54" spans="3:13" ht="15" customHeight="1">
      <c r="C54" s="30" t="s">
        <v>46</v>
      </c>
      <c r="D54" s="39"/>
      <c r="E54" s="39">
        <v>30551</v>
      </c>
      <c r="F54" s="39">
        <v>32687</v>
      </c>
      <c r="G54" s="61">
        <f>F54*(1+G36)</f>
        <v>31379.52</v>
      </c>
      <c r="H54" s="61">
        <f>G54*(1+H36)</f>
        <v>33262.2912</v>
      </c>
      <c r="I54" s="61">
        <f>H54*(1+I36)</f>
        <v>35557.389292799999</v>
      </c>
      <c r="J54" s="61">
        <f>I54*(1+J36)</f>
        <v>38010.849154003197</v>
      </c>
      <c r="K54" s="61">
        <f>J54*(1+K36)</f>
        <v>40633.597745629413</v>
      </c>
      <c r="M54" t="s">
        <v>88</v>
      </c>
    </row>
    <row r="55" spans="3:13" ht="15" customHeight="1">
      <c r="C55" s="30" t="s">
        <v>47</v>
      </c>
      <c r="D55" s="39"/>
      <c r="E55" s="39">
        <f>7548+2836</f>
        <v>10384</v>
      </c>
      <c r="F55" s="39">
        <f>7543+2797</f>
        <v>10340</v>
      </c>
      <c r="G55" s="61">
        <f>F55*(1+G36)</f>
        <v>9926.4</v>
      </c>
      <c r="H55" s="61">
        <f>G55*(1+H36)</f>
        <v>10521.984</v>
      </c>
      <c r="I55" s="61">
        <f>H55*(1+I36)</f>
        <v>11248.000896</v>
      </c>
      <c r="J55" s="61">
        <f>I55*(1+J36)</f>
        <v>12024.112957824</v>
      </c>
      <c r="K55" s="61">
        <f>J55*(1+K36)</f>
        <v>12853.776751913854</v>
      </c>
      <c r="M55" t="s">
        <v>88</v>
      </c>
    </row>
    <row r="56" spans="3:13" ht="15" customHeight="1">
      <c r="C56" s="30" t="s">
        <v>48</v>
      </c>
      <c r="D56" s="39"/>
      <c r="E56" s="39">
        <v>11977</v>
      </c>
      <c r="F56" s="39">
        <v>11964</v>
      </c>
      <c r="G56" s="111"/>
      <c r="H56" s="111"/>
      <c r="I56" s="111"/>
      <c r="J56" s="111"/>
      <c r="K56" s="111"/>
      <c r="M56" t="s">
        <v>174</v>
      </c>
    </row>
    <row r="57" spans="3:13" ht="15" customHeight="1">
      <c r="C57" s="30" t="s">
        <v>92</v>
      </c>
      <c r="D57" s="39"/>
      <c r="E57" s="39">
        <f>6496+97207</f>
        <v>103703</v>
      </c>
      <c r="F57" s="39">
        <f>8784+93735</f>
        <v>102519</v>
      </c>
      <c r="G57" s="61">
        <f>F57</f>
        <v>102519</v>
      </c>
      <c r="H57" s="61">
        <f>G57</f>
        <v>102519</v>
      </c>
      <c r="I57" s="61">
        <f>H57</f>
        <v>102519</v>
      </c>
      <c r="J57" s="61">
        <f>I57</f>
        <v>102519</v>
      </c>
      <c r="K57" s="61">
        <f>J57</f>
        <v>102519</v>
      </c>
      <c r="M57" t="s">
        <v>93</v>
      </c>
    </row>
    <row r="58" spans="3:13" ht="15.75" customHeight="1">
      <c r="C58" s="30" t="s">
        <v>50</v>
      </c>
      <c r="D58" s="39"/>
      <c r="E58" s="39">
        <v>40415</v>
      </c>
      <c r="F58" s="39">
        <v>45180</v>
      </c>
      <c r="G58" s="61">
        <f>F58*(1+G36)</f>
        <v>43372.799999999996</v>
      </c>
      <c r="H58" s="61">
        <f>G58*(1+H36)</f>
        <v>45975.167999999998</v>
      </c>
      <c r="I58" s="61">
        <f>H58*(1+I36)</f>
        <v>49147.454591999995</v>
      </c>
      <c r="J58" s="61">
        <f>I58*(1+J36)</f>
        <v>52538.628958847992</v>
      </c>
      <c r="K58" s="61">
        <f>J58*(1+K36)</f>
        <v>56163.794357008504</v>
      </c>
      <c r="M58" t="s">
        <v>88</v>
      </c>
    </row>
    <row r="59" spans="3:13" ht="15" customHeight="1">
      <c r="C59" s="31" t="s">
        <v>51</v>
      </c>
      <c r="D59" s="41"/>
      <c r="E59" s="41">
        <f t="shared" ref="E59:K59" si="8">SUM(E53:E58)</f>
        <v>241272</v>
      </c>
      <c r="F59" s="41">
        <f t="shared" si="8"/>
        <v>258578</v>
      </c>
      <c r="G59" s="66">
        <f t="shared" si="8"/>
        <v>241323.33692226969</v>
      </c>
      <c r="H59" s="66">
        <f t="shared" si="8"/>
        <v>249374.87774562387</v>
      </c>
      <c r="I59" s="66">
        <f t="shared" si="8"/>
        <v>259409.32896672899</v>
      </c>
      <c r="J59" s="66">
        <f t="shared" si="8"/>
        <v>270234.7616654333</v>
      </c>
      <c r="K59" s="66">
        <f t="shared" si="8"/>
        <v>281807.14922034822</v>
      </c>
    </row>
    <row r="60" spans="3:13" ht="15" customHeight="1">
      <c r="C60" s="31"/>
      <c r="D60" s="41"/>
      <c r="E60" s="41"/>
      <c r="F60" s="41"/>
      <c r="G60" s="42"/>
      <c r="H60" s="42"/>
      <c r="I60" s="42"/>
      <c r="J60" s="42"/>
      <c r="K60" s="42"/>
    </row>
    <row r="61" spans="3:13" ht="15" customHeight="1">
      <c r="C61" s="30" t="s">
        <v>52</v>
      </c>
      <c r="D61" s="39"/>
      <c r="E61" s="39">
        <v>35867</v>
      </c>
      <c r="F61" s="39">
        <v>40201</v>
      </c>
      <c r="G61" s="61">
        <f>F61+G32</f>
        <v>45327.4</v>
      </c>
      <c r="H61" s="61">
        <f>G61+H32</f>
        <v>50761.383999999998</v>
      </c>
      <c r="I61" s="61">
        <f>H61+I32</f>
        <v>56570.312895999996</v>
      </c>
      <c r="J61" s="61">
        <f>I61+J32</f>
        <v>62780.057885823997</v>
      </c>
      <c r="K61" s="61">
        <f>J61+K32</f>
        <v>69418.275279945854</v>
      </c>
      <c r="M61" t="s">
        <v>94</v>
      </c>
    </row>
    <row r="62" spans="3:13" ht="15.75" customHeight="1">
      <c r="C62" s="30" t="s">
        <v>53</v>
      </c>
      <c r="D62" s="44"/>
      <c r="E62" s="39">
        <v>98330</v>
      </c>
      <c r="F62" s="39">
        <v>70400</v>
      </c>
      <c r="G62" s="111"/>
      <c r="H62" s="111"/>
      <c r="I62" s="111"/>
      <c r="J62" s="111"/>
      <c r="K62" s="111"/>
      <c r="M62" t="s">
        <v>95</v>
      </c>
    </row>
    <row r="63" spans="3:13" ht="15.75" customHeight="1">
      <c r="C63" s="30" t="s">
        <v>54</v>
      </c>
      <c r="D63" s="39"/>
      <c r="E63" s="39">
        <v>-150</v>
      </c>
      <c r="F63" s="39">
        <v>-3454</v>
      </c>
      <c r="G63" s="61">
        <f>F63</f>
        <v>-3454</v>
      </c>
      <c r="H63" s="61">
        <f>G63</f>
        <v>-3454</v>
      </c>
      <c r="I63" s="61">
        <f>H63</f>
        <v>-3454</v>
      </c>
      <c r="J63" s="61">
        <f>I63</f>
        <v>-3454</v>
      </c>
      <c r="K63" s="61">
        <f>J63</f>
        <v>-3454</v>
      </c>
      <c r="M63" t="s">
        <v>93</v>
      </c>
    </row>
    <row r="64" spans="3:13" ht="15" customHeight="1">
      <c r="C64" s="31" t="s">
        <v>55</v>
      </c>
      <c r="D64" s="45"/>
      <c r="E64" s="45">
        <f t="shared" ref="E64:K64" si="9">SUM(E61:E63)</f>
        <v>134047</v>
      </c>
      <c r="F64" s="45">
        <f t="shared" si="9"/>
        <v>107147</v>
      </c>
      <c r="G64" s="66">
        <f t="shared" si="9"/>
        <v>41873.4</v>
      </c>
      <c r="H64" s="66">
        <f t="shared" si="9"/>
        <v>47307.383999999998</v>
      </c>
      <c r="I64" s="66">
        <f t="shared" si="9"/>
        <v>53116.312895999996</v>
      </c>
      <c r="J64" s="66">
        <f t="shared" si="9"/>
        <v>59326.057885823997</v>
      </c>
      <c r="K64" s="66">
        <f t="shared" si="9"/>
        <v>65964.275279945854</v>
      </c>
    </row>
    <row r="65" spans="3:13" ht="15" customHeight="1">
      <c r="D65" s="42"/>
      <c r="E65" s="42"/>
      <c r="F65" s="42"/>
    </row>
    <row r="66" spans="3:13" ht="15" customHeight="1">
      <c r="C66" s="23" t="s">
        <v>56</v>
      </c>
      <c r="D66" s="46"/>
      <c r="E66" s="46">
        <f t="shared" ref="E66:K66" si="10">ROUND(E51-E59-E64,3)</f>
        <v>0</v>
      </c>
      <c r="F66" s="46">
        <f t="shared" si="10"/>
        <v>0</v>
      </c>
      <c r="G66" s="46">
        <f t="shared" si="10"/>
        <v>91199.951000000001</v>
      </c>
      <c r="H66" s="46">
        <f t="shared" si="10"/>
        <v>147974.014</v>
      </c>
      <c r="I66" s="46">
        <f t="shared" si="10"/>
        <v>209194.85800000001</v>
      </c>
      <c r="J66" s="46">
        <f t="shared" si="10"/>
        <v>274665.228</v>
      </c>
      <c r="K66" s="46">
        <f t="shared" si="10"/>
        <v>344678.33899999998</v>
      </c>
    </row>
    <row r="67" spans="3:13" ht="15" customHeight="1">
      <c r="E67" s="42"/>
      <c r="F67" s="42"/>
      <c r="H67" s="42"/>
      <c r="I67" s="42"/>
      <c r="J67" s="42"/>
      <c r="K67" s="42"/>
    </row>
    <row r="68" spans="3:13" ht="15" customHeight="1">
      <c r="C68" s="16" t="s">
        <v>96</v>
      </c>
      <c r="D68" s="20"/>
      <c r="E68" s="20"/>
      <c r="F68" s="20"/>
      <c r="G68" s="20"/>
      <c r="H68" s="20"/>
      <c r="I68" s="20"/>
      <c r="J68" s="20"/>
      <c r="K68" s="20"/>
    </row>
    <row r="69" spans="3:13" ht="15" customHeight="1">
      <c r="C69" s="36" t="str">
        <f>C14</f>
        <v xml:space="preserve">Fiscal year  </v>
      </c>
      <c r="D69" s="37"/>
      <c r="E69" s="37"/>
      <c r="F69" s="37"/>
      <c r="G69" s="65">
        <f t="shared" ref="G69:K70" si="11">G14</f>
        <v>2019</v>
      </c>
      <c r="H69" s="65">
        <f t="shared" si="11"/>
        <v>2020</v>
      </c>
      <c r="I69" s="65">
        <f t="shared" si="11"/>
        <v>2021</v>
      </c>
      <c r="J69" s="65">
        <f t="shared" si="11"/>
        <v>2022</v>
      </c>
      <c r="K69" s="65">
        <f t="shared" si="11"/>
        <v>2023</v>
      </c>
    </row>
    <row r="70" spans="3:13" ht="15" customHeight="1">
      <c r="C70" s="17" t="str">
        <f>C15</f>
        <v>Fiscal year end date</v>
      </c>
      <c r="D70" s="38"/>
      <c r="E70" s="38"/>
      <c r="F70" s="38"/>
      <c r="G70" s="38">
        <f t="shared" si="11"/>
        <v>43738</v>
      </c>
      <c r="H70" s="38">
        <f t="shared" si="11"/>
        <v>44104</v>
      </c>
      <c r="I70" s="38">
        <f t="shared" si="11"/>
        <v>44469</v>
      </c>
      <c r="J70" s="38">
        <f t="shared" si="11"/>
        <v>44834</v>
      </c>
      <c r="K70" s="38">
        <f t="shared" si="11"/>
        <v>45199</v>
      </c>
    </row>
    <row r="72" spans="3:13" ht="15" customHeight="1">
      <c r="C72" t="s">
        <v>24</v>
      </c>
      <c r="D72" s="40"/>
      <c r="E72" s="40"/>
      <c r="F72" s="40"/>
      <c r="G72" s="61">
        <f>G28</f>
        <v>51031.271323200002</v>
      </c>
      <c r="H72" s="61">
        <f>H28</f>
        <v>55490.56177824</v>
      </c>
      <c r="I72" s="61">
        <f>I28</f>
        <v>59656.257121752002</v>
      </c>
      <c r="J72" s="61">
        <f>J28</f>
        <v>63797.825362152886</v>
      </c>
      <c r="K72" s="61">
        <f>K28</f>
        <v>68225.161811141428</v>
      </c>
      <c r="M72" s="27"/>
    </row>
    <row r="73" spans="3:13" ht="15" customHeight="1">
      <c r="C73" t="s">
        <v>97</v>
      </c>
      <c r="D73" s="40"/>
      <c r="E73" s="40"/>
      <c r="F73" s="40"/>
      <c r="G73" s="111"/>
      <c r="H73" s="111"/>
      <c r="I73" s="111"/>
      <c r="J73" s="111"/>
      <c r="K73" s="111"/>
    </row>
    <row r="74" spans="3:13" ht="15" customHeight="1">
      <c r="C74" t="s">
        <v>27</v>
      </c>
      <c r="D74" s="40"/>
      <c r="E74" s="40"/>
      <c r="F74" s="40"/>
      <c r="G74" s="61">
        <f>G32</f>
        <v>5126.3999999999996</v>
      </c>
      <c r="H74" s="61">
        <f>H32</f>
        <v>5433.9839999999995</v>
      </c>
      <c r="I74" s="61">
        <f>I32</f>
        <v>5808.9288959999994</v>
      </c>
      <c r="J74" s="61">
        <f>J32</f>
        <v>6209.7449898239993</v>
      </c>
      <c r="K74" s="61">
        <f>K32</f>
        <v>6638.2173941218552</v>
      </c>
    </row>
    <row r="75" spans="3:13" ht="15" customHeight="1">
      <c r="C75" t="s">
        <v>99</v>
      </c>
      <c r="D75" s="42"/>
      <c r="E75" s="42"/>
      <c r="F75" s="42"/>
      <c r="G75" s="61">
        <f>-1*(SUM(G46:G48)-SUM(F46:F48))</f>
        <v>2568.0292745401748</v>
      </c>
      <c r="H75" s="61">
        <f>-1*(SUM(H46:H48)-SUM(G46:G48))</f>
        <v>-3728.6108202044925</v>
      </c>
      <c r="I75" s="61">
        <f>-1*(SUM(I46:I48)-SUM(H46:H48))</f>
        <v>-4560.7224748067092</v>
      </c>
      <c r="J75" s="61">
        <f>-1*(SUM(J46:J48)-SUM(I46:I48))</f>
        <v>-4882.3919774125097</v>
      </c>
      <c r="K75" s="61">
        <f>-1*(SUM(K46:K48)-SUM(J46:J48))</f>
        <v>-5219.277023853967</v>
      </c>
    </row>
    <row r="76" spans="3:13" ht="15" customHeight="1">
      <c r="C76" t="s">
        <v>100</v>
      </c>
      <c r="D76" s="42"/>
      <c r="E76" s="42"/>
      <c r="F76" s="42"/>
      <c r="G76" s="61">
        <f>SUM(G53:G55)-SUM(F53:F55)</f>
        <v>-3483.4630777302955</v>
      </c>
      <c r="H76" s="61">
        <f>SUM(H53:H55)-SUM(G53:G55)</f>
        <v>5449.1728233541653</v>
      </c>
      <c r="I76" s="61">
        <f>SUM(I53:I55)-SUM(H53:H55)</f>
        <v>6862.1646291051147</v>
      </c>
      <c r="J76" s="61">
        <f>SUM(J53:J55)-SUM(I53:I55)</f>
        <v>7434.2583318562974</v>
      </c>
      <c r="K76" s="61">
        <f>SUM(K53:K55)-SUM(J53:J55)</f>
        <v>7947.2221567544038</v>
      </c>
    </row>
    <row r="77" spans="3:13" ht="15" customHeight="1">
      <c r="C77" t="s">
        <v>43</v>
      </c>
      <c r="G77" s="111"/>
      <c r="H77" s="111"/>
      <c r="I77" s="111"/>
      <c r="J77" s="111"/>
      <c r="K77" s="111"/>
      <c r="M77" t="s">
        <v>175</v>
      </c>
    </row>
    <row r="78" spans="3:13" ht="15" customHeight="1">
      <c r="C78" t="s">
        <v>50</v>
      </c>
      <c r="G78" s="61">
        <f>G58-F58</f>
        <v>-1807.2000000000044</v>
      </c>
      <c r="H78" s="61">
        <f>H58-G58</f>
        <v>2602.3680000000022</v>
      </c>
      <c r="I78" s="61">
        <f>I58-H58</f>
        <v>3172.2865919999967</v>
      </c>
      <c r="J78" s="61">
        <f>J58-I58</f>
        <v>3391.1743668479976</v>
      </c>
      <c r="K78" s="61">
        <f>K58-J58</f>
        <v>3625.1653981605123</v>
      </c>
      <c r="M78" s="27"/>
    </row>
    <row r="79" spans="3:13" ht="15" customHeight="1">
      <c r="C79" s="27" t="s">
        <v>102</v>
      </c>
      <c r="G79" s="66">
        <f>SUM(G72:G78)</f>
        <v>53435.037520009879</v>
      </c>
      <c r="H79" s="66">
        <f>SUM(H72:H78)</f>
        <v>65247.475781389672</v>
      </c>
      <c r="I79" s="66">
        <f>SUM(I72:I78)</f>
        <v>70938.914764050394</v>
      </c>
      <c r="J79" s="66">
        <f>SUM(J72:J78)</f>
        <v>75950.611073268665</v>
      </c>
      <c r="K79" s="66">
        <f>SUM(K72:K78)</f>
        <v>81216.489736324234</v>
      </c>
    </row>
    <row r="80" spans="3:13" ht="15" customHeight="1">
      <c r="G80" s="42"/>
      <c r="H80" s="42"/>
      <c r="I80" s="42"/>
      <c r="J80" s="42"/>
      <c r="K80" s="42"/>
    </row>
    <row r="81" spans="3:11" ht="15" customHeight="1">
      <c r="C81" t="s">
        <v>103</v>
      </c>
      <c r="G81" s="111"/>
      <c r="H81" s="111"/>
      <c r="I81" s="111"/>
      <c r="J81" s="111"/>
      <c r="K81" s="111"/>
    </row>
    <row r="82" spans="3:11" ht="15" customHeight="1">
      <c r="C82" s="27" t="s">
        <v>104</v>
      </c>
      <c r="G82" s="66">
        <f>IFERROR(G81,"NA")</f>
        <v>0</v>
      </c>
      <c r="H82" s="66">
        <f>IFERROR(H81,"NA")</f>
        <v>0</v>
      </c>
      <c r="I82" s="66">
        <f>IFERROR(I81,"NA")</f>
        <v>0</v>
      </c>
      <c r="J82" s="66">
        <f>IFERROR(J81,"NA")</f>
        <v>0</v>
      </c>
      <c r="K82" s="66">
        <f>IFERROR(K81,"NA")</f>
        <v>0</v>
      </c>
    </row>
    <row r="83" spans="3:11" ht="15" customHeight="1">
      <c r="G83" s="42"/>
      <c r="H83" s="42"/>
      <c r="I83" s="42"/>
      <c r="J83" s="42"/>
      <c r="K83" s="42"/>
    </row>
    <row r="84" spans="3:11" ht="15" customHeight="1">
      <c r="C84" t="s">
        <v>105</v>
      </c>
      <c r="G84" s="61">
        <f>G57-F57</f>
        <v>0</v>
      </c>
      <c r="H84" s="61">
        <f>H57-G57</f>
        <v>0</v>
      </c>
      <c r="I84" s="61">
        <f>I57-H57</f>
        <v>0</v>
      </c>
      <c r="J84" s="61">
        <f>J57-I57</f>
        <v>0</v>
      </c>
      <c r="K84" s="61">
        <f>K57-J57</f>
        <v>0</v>
      </c>
    </row>
    <row r="85" spans="3:11" ht="15" customHeight="1">
      <c r="C85" t="s">
        <v>106</v>
      </c>
      <c r="G85" s="111"/>
      <c r="H85" s="111"/>
      <c r="I85" s="111"/>
      <c r="J85" s="111"/>
      <c r="K85" s="111"/>
    </row>
    <row r="86" spans="3:11" ht="15" customHeight="1">
      <c r="C86" t="s">
        <v>108</v>
      </c>
      <c r="G86" s="111"/>
      <c r="H86" s="111"/>
      <c r="I86" s="111"/>
      <c r="J86" s="111"/>
      <c r="K86" s="111"/>
    </row>
    <row r="87" spans="3:11" ht="15" customHeight="1">
      <c r="C87" t="s">
        <v>109</v>
      </c>
      <c r="G87" s="111"/>
      <c r="H87" s="111"/>
      <c r="I87" s="111"/>
      <c r="J87" s="111"/>
      <c r="K87" s="111"/>
    </row>
    <row r="88" spans="3:11" ht="15" customHeight="1">
      <c r="C88" s="27" t="s">
        <v>110</v>
      </c>
      <c r="G88" s="66">
        <f>SUM(G84:G87)</f>
        <v>0</v>
      </c>
      <c r="H88" s="66">
        <f>SUM(H84:H87)</f>
        <v>0</v>
      </c>
      <c r="I88" s="66">
        <f>SUM(I84:I87)</f>
        <v>0</v>
      </c>
      <c r="J88" s="66">
        <f>SUM(J84:J87)</f>
        <v>0</v>
      </c>
      <c r="K88" s="66">
        <f>SUM(K84:K87)</f>
        <v>0</v>
      </c>
    </row>
    <row r="89" spans="3:11" ht="15" customHeight="1">
      <c r="G89" s="42"/>
      <c r="H89" s="42"/>
      <c r="I89" s="42"/>
      <c r="J89" s="42"/>
      <c r="K89" s="42"/>
    </row>
    <row r="90" spans="3:11" ht="15" customHeight="1">
      <c r="C90" s="27" t="s">
        <v>111</v>
      </c>
      <c r="G90" s="66">
        <f>G79+G82+G88</f>
        <v>53435.037520009879</v>
      </c>
      <c r="H90" s="66">
        <f>H79+H82+H88</f>
        <v>65247.475781389672</v>
      </c>
      <c r="I90" s="66">
        <f>I79+I82+I88</f>
        <v>70938.914764050394</v>
      </c>
      <c r="J90" s="66">
        <f>J79+J82+J88</f>
        <v>75950.611073268665</v>
      </c>
      <c r="K90" s="66">
        <f>K79+K82+K88</f>
        <v>81216.489736324234</v>
      </c>
    </row>
  </sheetData>
  <conditionalFormatting sqref="C39">
    <cfRule type="expression" dxfId="24" priority="2">
      <formula>#REF!=$C39</formula>
    </cfRule>
  </conditionalFormatting>
  <dataValidations count="2">
    <dataValidation type="list" allowBlank="1" showInputMessage="1" showErrorMessage="1" sqref="C3" xr:uid="{00000000-0002-0000-0200-000000000000}">
      <formula1>"$ bns except per share,$ mm except per share,$ in thousands except per share"</formula1>
      <formula2>0</formula2>
    </dataValidation>
    <dataValidation type="list" allowBlank="1" showInputMessage="1" showErrorMessage="1" sqref="D7" xr:uid="{00000000-0002-0000-0200-000001000000}">
      <formula1>"0,1"</formula1>
      <formula2>0</formula2>
    </dataValidation>
  </dataValidations>
  <pageMargins left="0.7" right="0.7" top="0.75" bottom="0.75" header="0.511811023622047" footer="0.511811023622047"/>
  <pageSetup orientation="portrait" horizontalDpi="300" verticalDpi="300"/>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C1:T122"/>
  <sheetViews>
    <sheetView topLeftCell="C97" zoomScaleNormal="100" workbookViewId="0">
      <selection activeCell="I74" sqref="I74"/>
    </sheetView>
  </sheetViews>
  <sheetFormatPr baseColWidth="10" defaultColWidth="8.83203125" defaultRowHeight="15"/>
  <cols>
    <col min="1" max="2" width="1.6640625" customWidth="1"/>
    <col min="3" max="3" width="42.6640625" customWidth="1"/>
    <col min="4" max="11" width="12.6640625" customWidth="1"/>
    <col min="12" max="12" width="2.6640625" customWidth="1"/>
    <col min="13" max="13" width="11.5" customWidth="1"/>
    <col min="14" max="14" width="11.83203125" customWidth="1"/>
    <col min="15" max="17" width="10.33203125" customWidth="1"/>
    <col min="18" max="19" width="9.5" customWidth="1"/>
  </cols>
  <sheetData>
    <row r="1" spans="3:19" ht="15.75" customHeight="1"/>
    <row r="2" spans="3:19" ht="15.75" customHeight="1">
      <c r="C2" s="4" t="str">
        <f>"Financial Statement Model for "&amp;D5</f>
        <v>Financial Statement Model for Apple</v>
      </c>
      <c r="D2" s="5"/>
      <c r="E2" s="5"/>
      <c r="F2" s="5"/>
      <c r="G2" s="5"/>
      <c r="H2" s="5"/>
      <c r="I2" s="5"/>
      <c r="J2" s="5"/>
      <c r="K2" s="5"/>
    </row>
    <row r="3" spans="3:19" ht="15" customHeight="1">
      <c r="C3" s="6" t="s">
        <v>0</v>
      </c>
      <c r="D3" s="7"/>
      <c r="E3" s="7"/>
      <c r="F3" s="7"/>
      <c r="G3" s="7"/>
      <c r="H3" s="7"/>
    </row>
    <row r="5" spans="3:19" ht="15" customHeight="1">
      <c r="C5" s="8" t="s">
        <v>1</v>
      </c>
      <c r="D5" s="9" t="s">
        <v>2</v>
      </c>
    </row>
    <row r="6" spans="3:19" ht="15" customHeight="1">
      <c r="C6" s="8" t="s">
        <v>3</v>
      </c>
      <c r="D6" s="9" t="s">
        <v>4</v>
      </c>
    </row>
    <row r="7" spans="3:19" ht="15" customHeight="1">
      <c r="C7" t="s">
        <v>5</v>
      </c>
      <c r="D7" s="10">
        <v>1</v>
      </c>
    </row>
    <row r="8" spans="3:19" ht="15" customHeight="1">
      <c r="C8" t="s">
        <v>6</v>
      </c>
      <c r="D8" s="11">
        <v>171.25</v>
      </c>
    </row>
    <row r="9" spans="3:19" ht="15" customHeight="1">
      <c r="C9" t="s">
        <v>7</v>
      </c>
      <c r="D9" s="12">
        <v>43500</v>
      </c>
    </row>
    <row r="10" spans="3:19" ht="15" customHeight="1">
      <c r="C10" s="8" t="s">
        <v>8</v>
      </c>
      <c r="D10" s="13">
        <v>43372</v>
      </c>
      <c r="G10" s="53"/>
    </row>
    <row r="11" spans="3:19" ht="15" customHeight="1">
      <c r="C11" t="s">
        <v>9</v>
      </c>
      <c r="D11" s="54">
        <v>4745.3980000000001</v>
      </c>
    </row>
    <row r="13" spans="3:19" ht="15" customHeight="1">
      <c r="C13" s="16" t="s">
        <v>10</v>
      </c>
      <c r="D13" s="17"/>
      <c r="E13" s="17"/>
      <c r="F13" s="17"/>
      <c r="G13" s="17"/>
      <c r="H13" s="17"/>
      <c r="I13" s="17"/>
      <c r="J13" s="17"/>
      <c r="K13" s="17"/>
    </row>
    <row r="14" spans="3:19" ht="15" customHeight="1">
      <c r="C14" t="s">
        <v>11</v>
      </c>
      <c r="D14" s="18">
        <f>E14-1</f>
        <v>2016</v>
      </c>
      <c r="E14" s="18">
        <f>F14-1</f>
        <v>2017</v>
      </c>
      <c r="F14" s="18">
        <f>YEAR(D10)</f>
        <v>2018</v>
      </c>
      <c r="G14" s="55">
        <f>F14+1</f>
        <v>2019</v>
      </c>
      <c r="H14" s="55">
        <f>G14+1</f>
        <v>2020</v>
      </c>
      <c r="I14" s="55">
        <f>H14+1</f>
        <v>2021</v>
      </c>
      <c r="J14" s="55">
        <f>I14+1</f>
        <v>2022</v>
      </c>
      <c r="K14" s="55">
        <f>J14+1</f>
        <v>2023</v>
      </c>
    </row>
    <row r="15" spans="3:19" ht="15" customHeight="1">
      <c r="C15" s="19" t="s">
        <v>12</v>
      </c>
      <c r="D15" s="20">
        <f>EOMONTH(E15,-12)</f>
        <v>42643</v>
      </c>
      <c r="E15" s="20">
        <f>EOMONTH(F15,-12)</f>
        <v>43008</v>
      </c>
      <c r="F15" s="20">
        <f>D10</f>
        <v>43372</v>
      </c>
      <c r="G15" s="20">
        <f>EOMONTH(F15,12)</f>
        <v>43738</v>
      </c>
      <c r="H15" s="20">
        <f>EOMONTH(G15,12)</f>
        <v>44104</v>
      </c>
      <c r="I15" s="20">
        <f>EOMONTH(H15,12)</f>
        <v>44469</v>
      </c>
      <c r="J15" s="20">
        <f>EOMONTH(I15,12)</f>
        <v>44834</v>
      </c>
      <c r="K15" s="20">
        <f>EOMONTH(J15,12)</f>
        <v>45199</v>
      </c>
      <c r="M15" s="16" t="s">
        <v>66</v>
      </c>
      <c r="N15" s="17"/>
      <c r="O15" s="17"/>
      <c r="P15" s="17"/>
      <c r="Q15" s="17"/>
      <c r="R15" s="17"/>
      <c r="S15" s="17"/>
    </row>
    <row r="16" spans="3:19" ht="15" customHeight="1">
      <c r="C16" s="23"/>
      <c r="D16" s="24"/>
      <c r="E16" s="25"/>
      <c r="F16" s="25"/>
      <c r="G16" s="56"/>
      <c r="H16" s="57"/>
      <c r="I16" s="57"/>
      <c r="J16" s="25"/>
      <c r="K16" s="25"/>
    </row>
    <row r="17" spans="3:14" ht="15" customHeight="1">
      <c r="C17" t="s">
        <v>13</v>
      </c>
      <c r="D17" s="39">
        <v>215639</v>
      </c>
      <c r="E17" s="39">
        <v>229234</v>
      </c>
      <c r="F17" s="39">
        <v>265595</v>
      </c>
      <c r="G17" s="61">
        <f>F17*(1+G36)</f>
        <v>254971.19999999998</v>
      </c>
      <c r="H17" s="61">
        <f>G17*(1+H36)</f>
        <v>270269.47200000001</v>
      </c>
      <c r="I17" s="61">
        <f>H17*(1+I36)</f>
        <v>288918.06556800002</v>
      </c>
      <c r="J17" s="61">
        <f>I17*(1+J36)</f>
        <v>308853.41209219198</v>
      </c>
      <c r="K17" s="61">
        <f>J17*(1+K36)</f>
        <v>330164.29752655321</v>
      </c>
      <c r="M17" t="s">
        <v>67</v>
      </c>
    </row>
    <row r="18" spans="3:14" ht="15" customHeight="1">
      <c r="C18" t="s">
        <v>14</v>
      </c>
      <c r="D18" s="39">
        <v>-131376</v>
      </c>
      <c r="E18" s="39">
        <v>-141048</v>
      </c>
      <c r="F18" s="39">
        <v>-163756</v>
      </c>
      <c r="G18" s="61">
        <f>G19-G17</f>
        <v>-158592.08639999997</v>
      </c>
      <c r="H18" s="61">
        <f>H19-H17</f>
        <v>-167296.80316800001</v>
      </c>
      <c r="I18" s="61">
        <f>I19-I17</f>
        <v>-178551.36452102399</v>
      </c>
      <c r="J18" s="61">
        <f>J19-J17</f>
        <v>-190871.40867297465</v>
      </c>
      <c r="K18" s="61">
        <f>K19-K17</f>
        <v>-204041.53587140987</v>
      </c>
      <c r="M18" t="s">
        <v>68</v>
      </c>
    </row>
    <row r="19" spans="3:14" ht="15" customHeight="1">
      <c r="C19" s="27" t="s">
        <v>15</v>
      </c>
      <c r="D19" s="41">
        <f>SUM(D17:D18)</f>
        <v>84263</v>
      </c>
      <c r="E19" s="41">
        <f>SUM(E17:E18)</f>
        <v>88186</v>
      </c>
      <c r="F19" s="41">
        <f>SUM(F17:F18)</f>
        <v>101839</v>
      </c>
      <c r="G19" s="66">
        <f>G37*G17</f>
        <v>96379.113599999997</v>
      </c>
      <c r="H19" s="66">
        <f>H37*H17</f>
        <v>102972.66883200001</v>
      </c>
      <c r="I19" s="66">
        <f>I37*I17</f>
        <v>110366.70104697601</v>
      </c>
      <c r="J19" s="66">
        <f>J37*J17</f>
        <v>117982.00341921733</v>
      </c>
      <c r="K19" s="66">
        <f>K37*K17</f>
        <v>126122.76165514333</v>
      </c>
      <c r="M19" t="s">
        <v>69</v>
      </c>
    </row>
    <row r="20" spans="3:14" ht="15" customHeight="1">
      <c r="C20" t="s">
        <v>16</v>
      </c>
      <c r="D20" s="39">
        <v>-10045</v>
      </c>
      <c r="E20" s="39">
        <v>-11581</v>
      </c>
      <c r="F20" s="39">
        <v>-14236</v>
      </c>
      <c r="G20" s="61">
        <f>-(G38*G17)</f>
        <v>-15808.214399999999</v>
      </c>
      <c r="H20" s="61">
        <f>-(H38*H17)</f>
        <v>-17026.976736000001</v>
      </c>
      <c r="I20" s="61">
        <f>-(I38*I17)</f>
        <v>-18201.838130784003</v>
      </c>
      <c r="J20" s="61">
        <f>-(J38*J17)</f>
        <v>-19457.764961808094</v>
      </c>
      <c r="K20" s="61">
        <f>-(K38*K17)</f>
        <v>-20800.350744172854</v>
      </c>
      <c r="M20" t="s">
        <v>70</v>
      </c>
    </row>
    <row r="21" spans="3:14" ht="15" customHeight="1">
      <c r="C21" t="s">
        <v>17</v>
      </c>
      <c r="D21" s="39">
        <v>-14194</v>
      </c>
      <c r="E21" s="39">
        <v>-15261</v>
      </c>
      <c r="F21" s="39">
        <v>-16705</v>
      </c>
      <c r="G21" s="61">
        <f>-(G39*G17)</f>
        <v>-18867.868799999997</v>
      </c>
      <c r="H21" s="61">
        <f>-(H39*H17)</f>
        <v>-18648.593568000004</v>
      </c>
      <c r="I21" s="61">
        <f>-(I39*I17)</f>
        <v>-19935.346524192002</v>
      </c>
      <c r="J21" s="61">
        <f>-(J39*J17)</f>
        <v>-21310.885434361247</v>
      </c>
      <c r="K21" s="61">
        <f>-(K39*K17)</f>
        <v>-22781.336529332173</v>
      </c>
      <c r="M21" t="s">
        <v>71</v>
      </c>
    </row>
    <row r="22" spans="3:14" ht="15" customHeight="1">
      <c r="C22" s="27" t="s">
        <v>18</v>
      </c>
      <c r="D22" s="41">
        <f t="shared" ref="D22:K22" si="0">D19+D20+D21</f>
        <v>60024</v>
      </c>
      <c r="E22" s="41">
        <f t="shared" si="0"/>
        <v>61344</v>
      </c>
      <c r="F22" s="41">
        <f t="shared" si="0"/>
        <v>70898</v>
      </c>
      <c r="G22" s="66">
        <f t="shared" si="0"/>
        <v>61703.030400000003</v>
      </c>
      <c r="H22" s="66">
        <f t="shared" si="0"/>
        <v>67297.098528000002</v>
      </c>
      <c r="I22" s="66">
        <f t="shared" si="0"/>
        <v>72229.516392000005</v>
      </c>
      <c r="J22" s="66">
        <f t="shared" si="0"/>
        <v>77213.353023047996</v>
      </c>
      <c r="K22" s="66">
        <f t="shared" si="0"/>
        <v>82541.074381638304</v>
      </c>
      <c r="M22" s="27" t="s">
        <v>72</v>
      </c>
    </row>
    <row r="23" spans="3:14" ht="15" customHeight="1">
      <c r="C23" t="s">
        <v>19</v>
      </c>
      <c r="D23" s="39">
        <v>3999</v>
      </c>
      <c r="E23" s="39">
        <v>5201</v>
      </c>
      <c r="F23" s="39">
        <v>5686</v>
      </c>
      <c r="G23" s="33"/>
      <c r="H23" s="33"/>
      <c r="I23" s="33"/>
      <c r="J23" s="33"/>
      <c r="K23" s="33"/>
      <c r="M23" t="s">
        <v>73</v>
      </c>
    </row>
    <row r="24" spans="3:14" ht="15" customHeight="1">
      <c r="C24" t="s">
        <v>20</v>
      </c>
      <c r="D24" s="39">
        <v>-1456</v>
      </c>
      <c r="E24" s="39">
        <v>-2323</v>
      </c>
      <c r="F24" s="39">
        <v>-3240</v>
      </c>
      <c r="G24" s="33"/>
      <c r="H24" s="33"/>
      <c r="I24" s="33"/>
      <c r="J24" s="33"/>
      <c r="K24" s="33"/>
      <c r="M24" t="s">
        <v>74</v>
      </c>
    </row>
    <row r="25" spans="3:14" ht="15" customHeight="1">
      <c r="C25" t="s">
        <v>21</v>
      </c>
      <c r="D25" s="39">
        <v>-1195</v>
      </c>
      <c r="E25" s="39">
        <v>-133</v>
      </c>
      <c r="F25" s="39">
        <v>-441</v>
      </c>
      <c r="G25" s="61">
        <f>F25</f>
        <v>-441</v>
      </c>
      <c r="H25" s="61">
        <f>G25</f>
        <v>-441</v>
      </c>
      <c r="I25" s="61">
        <f>H25</f>
        <v>-441</v>
      </c>
      <c r="J25" s="61">
        <f>I25</f>
        <v>-441</v>
      </c>
      <c r="K25" s="61">
        <f>J25</f>
        <v>-441</v>
      </c>
      <c r="M25" t="s">
        <v>75</v>
      </c>
    </row>
    <row r="26" spans="3:14" ht="15" customHeight="1">
      <c r="C26" s="27" t="s">
        <v>22</v>
      </c>
      <c r="D26" s="41">
        <f t="shared" ref="D26:K26" si="1">SUM(D22:D25)</f>
        <v>61372</v>
      </c>
      <c r="E26" s="41">
        <f t="shared" si="1"/>
        <v>64089</v>
      </c>
      <c r="F26" s="41">
        <f t="shared" si="1"/>
        <v>72903</v>
      </c>
      <c r="G26" s="28">
        <f t="shared" si="1"/>
        <v>61262.030400000003</v>
      </c>
      <c r="H26" s="28">
        <f t="shared" si="1"/>
        <v>66856.098528000002</v>
      </c>
      <c r="I26" s="28">
        <f t="shared" si="1"/>
        <v>71788.516392000005</v>
      </c>
      <c r="J26" s="28">
        <f t="shared" si="1"/>
        <v>76772.353023047996</v>
      </c>
      <c r="K26" s="28">
        <f t="shared" si="1"/>
        <v>82100.074381638304</v>
      </c>
      <c r="M26" s="27" t="s">
        <v>76</v>
      </c>
      <c r="N26" s="27"/>
    </row>
    <row r="27" spans="3:14" ht="15" customHeight="1">
      <c r="C27" t="s">
        <v>23</v>
      </c>
      <c r="D27" s="39">
        <v>-15685</v>
      </c>
      <c r="E27" s="39">
        <v>-15738</v>
      </c>
      <c r="F27" s="39">
        <v>-13372</v>
      </c>
      <c r="G27" s="61">
        <f>-G40*G26</f>
        <v>-10230.759076800001</v>
      </c>
      <c r="H27" s="61">
        <f>-H40*H26</f>
        <v>-11365.536749760002</v>
      </c>
      <c r="I27" s="61">
        <f>-I40*I26</f>
        <v>-12132.259270248001</v>
      </c>
      <c r="J27" s="61">
        <f>-J40*J26</f>
        <v>-12974.527660895112</v>
      </c>
      <c r="K27" s="61">
        <f>-K40*K26</f>
        <v>-13874.912570496874</v>
      </c>
      <c r="M27" t="s">
        <v>77</v>
      </c>
    </row>
    <row r="28" spans="3:14" ht="15" customHeight="1">
      <c r="C28" s="27" t="s">
        <v>24</v>
      </c>
      <c r="D28" s="41">
        <f t="shared" ref="D28:K28" si="2">SUM(D26:D27)</f>
        <v>45687</v>
      </c>
      <c r="E28" s="41">
        <f t="shared" si="2"/>
        <v>48351</v>
      </c>
      <c r="F28" s="41">
        <f t="shared" si="2"/>
        <v>59531</v>
      </c>
      <c r="G28" s="66">
        <f t="shared" si="2"/>
        <v>51031.271323200002</v>
      </c>
      <c r="H28" s="66">
        <f t="shared" si="2"/>
        <v>55490.56177824</v>
      </c>
      <c r="I28" s="66">
        <f t="shared" si="2"/>
        <v>59656.257121752002</v>
      </c>
      <c r="J28" s="66">
        <f t="shared" si="2"/>
        <v>63797.825362152886</v>
      </c>
      <c r="K28" s="66">
        <f t="shared" si="2"/>
        <v>68225.161811141428</v>
      </c>
      <c r="M28" s="27" t="s">
        <v>78</v>
      </c>
    </row>
    <row r="29" spans="3:14" ht="15" customHeight="1">
      <c r="C29" s="29"/>
      <c r="D29" s="42"/>
      <c r="E29" s="42"/>
      <c r="F29" s="42"/>
    </row>
    <row r="30" spans="3:14" ht="15" customHeight="1">
      <c r="C30" s="30" t="s">
        <v>25</v>
      </c>
      <c r="D30" s="39">
        <v>10505</v>
      </c>
      <c r="E30" s="39">
        <v>10157</v>
      </c>
      <c r="F30" s="39">
        <v>10903</v>
      </c>
      <c r="G30" s="112">
        <f>G106</f>
        <v>11085.020171261172</v>
      </c>
      <c r="H30" s="112">
        <f>H106</f>
        <v>11711.890744865921</v>
      </c>
      <c r="I30" s="112">
        <f>I106</f>
        <v>12226.380531123083</v>
      </c>
      <c r="J30" s="112">
        <f>J106</f>
        <v>13365.451007770575</v>
      </c>
      <c r="K30" s="112">
        <f>K106</f>
        <v>14603.503412486743</v>
      </c>
      <c r="M30" t="s">
        <v>79</v>
      </c>
    </row>
    <row r="31" spans="3:14" ht="15" customHeight="1">
      <c r="C31" s="31" t="s">
        <v>26</v>
      </c>
      <c r="D31" s="41">
        <f t="shared" ref="D31:K31" si="3">D22+D30</f>
        <v>70529</v>
      </c>
      <c r="E31" s="41">
        <f t="shared" si="3"/>
        <v>71501</v>
      </c>
      <c r="F31" s="41">
        <f t="shared" si="3"/>
        <v>81801</v>
      </c>
      <c r="G31" s="66">
        <f t="shared" si="3"/>
        <v>72788.050571261178</v>
      </c>
      <c r="H31" s="66">
        <f t="shared" si="3"/>
        <v>79008.989272865918</v>
      </c>
      <c r="I31" s="66">
        <f t="shared" si="3"/>
        <v>84455.896923123088</v>
      </c>
      <c r="J31" s="66">
        <f t="shared" si="3"/>
        <v>90578.804030818574</v>
      </c>
      <c r="K31" s="66">
        <f t="shared" si="3"/>
        <v>97144.577794125042</v>
      </c>
      <c r="M31" s="27" t="s">
        <v>80</v>
      </c>
    </row>
    <row r="32" spans="3:14" ht="15" customHeight="1">
      <c r="C32" s="30" t="s">
        <v>27</v>
      </c>
      <c r="D32" s="39">
        <v>4210</v>
      </c>
      <c r="E32" s="39">
        <v>4840</v>
      </c>
      <c r="F32" s="39">
        <v>5340</v>
      </c>
      <c r="G32" s="61">
        <f>F32*(1+G36)</f>
        <v>5126.3999999999996</v>
      </c>
      <c r="H32" s="61">
        <f>G32*(1+H36)</f>
        <v>5433.9839999999995</v>
      </c>
      <c r="I32" s="61">
        <f>H32*(1+I36)</f>
        <v>5808.9288959999994</v>
      </c>
      <c r="J32" s="61">
        <f>I32*(1+J36)</f>
        <v>6209.7449898239993</v>
      </c>
      <c r="K32" s="61">
        <f>J32*(1+K36)</f>
        <v>6638.2173941218552</v>
      </c>
      <c r="M32" t="s">
        <v>81</v>
      </c>
    </row>
    <row r="33" spans="3:20" ht="15" customHeight="1">
      <c r="C33" s="31" t="s">
        <v>28</v>
      </c>
      <c r="D33" s="41">
        <f t="shared" ref="D33:K33" si="4">SUM(D31:D32)</f>
        <v>74739</v>
      </c>
      <c r="E33" s="41">
        <f t="shared" si="4"/>
        <v>76341</v>
      </c>
      <c r="F33" s="41">
        <f t="shared" si="4"/>
        <v>87141</v>
      </c>
      <c r="G33" s="66">
        <f t="shared" si="4"/>
        <v>77914.450571261172</v>
      </c>
      <c r="H33" s="66">
        <f t="shared" si="4"/>
        <v>84442.973272865915</v>
      </c>
      <c r="I33" s="66">
        <f t="shared" si="4"/>
        <v>90264.825819123085</v>
      </c>
      <c r="J33" s="66">
        <f t="shared" si="4"/>
        <v>96788.549020642575</v>
      </c>
      <c r="K33" s="66">
        <f t="shared" si="4"/>
        <v>103782.79518824689</v>
      </c>
      <c r="M33" s="27" t="s">
        <v>82</v>
      </c>
    </row>
    <row r="34" spans="3:20" ht="15" customHeight="1">
      <c r="C34" s="29"/>
      <c r="G34" s="62"/>
    </row>
    <row r="35" spans="3:20" ht="15" customHeight="1">
      <c r="C35" s="32" t="s">
        <v>83</v>
      </c>
    </row>
    <row r="36" spans="3:20" ht="15" customHeight="1">
      <c r="C36" s="29" t="s">
        <v>30</v>
      </c>
      <c r="D36" s="63"/>
      <c r="E36" s="63">
        <f>E17/D17-1</f>
        <v>6.304518199398057E-2</v>
      </c>
      <c r="F36" s="63">
        <f>F17/E17-1</f>
        <v>0.15861957650261305</v>
      </c>
      <c r="G36" s="113">
        <v>-0.04</v>
      </c>
      <c r="H36" s="113">
        <v>0.06</v>
      </c>
      <c r="I36" s="113">
        <v>6.9000000000000006E-2</v>
      </c>
      <c r="J36" s="72">
        <f t="shared" ref="J36:K40" si="5">I36</f>
        <v>6.9000000000000006E-2</v>
      </c>
      <c r="K36" s="72">
        <f t="shared" si="5"/>
        <v>6.9000000000000006E-2</v>
      </c>
      <c r="M36" t="s">
        <v>84</v>
      </c>
      <c r="O36" s="35"/>
      <c r="P36" s="35"/>
      <c r="Q36" s="35"/>
      <c r="R36" s="35"/>
      <c r="S36" s="35"/>
      <c r="T36" s="35"/>
    </row>
    <row r="37" spans="3:20" ht="15" customHeight="1">
      <c r="C37" s="29" t="s">
        <v>31</v>
      </c>
      <c r="D37" s="63">
        <f>D19/D17</f>
        <v>0.39075955648097049</v>
      </c>
      <c r="E37" s="63">
        <f>E19/E17</f>
        <v>0.38469860491899105</v>
      </c>
      <c r="F37" s="63">
        <f>F19/F17</f>
        <v>0.38343718820007905</v>
      </c>
      <c r="G37" s="113">
        <v>0.378</v>
      </c>
      <c r="H37" s="113">
        <v>0.38100000000000001</v>
      </c>
      <c r="I37" s="113">
        <v>0.38200000000000001</v>
      </c>
      <c r="J37" s="72">
        <f t="shared" si="5"/>
        <v>0.38200000000000001</v>
      </c>
      <c r="K37" s="72">
        <f t="shared" si="5"/>
        <v>0.38200000000000001</v>
      </c>
      <c r="M37" t="s">
        <v>85</v>
      </c>
      <c r="O37" s="35"/>
      <c r="P37" s="35"/>
      <c r="Q37" s="35"/>
      <c r="R37" s="35"/>
      <c r="S37" s="35"/>
      <c r="T37" s="35"/>
    </row>
    <row r="38" spans="3:20" ht="15" customHeight="1">
      <c r="C38" s="29" t="s">
        <v>32</v>
      </c>
      <c r="D38" s="63">
        <f>-D20/D17</f>
        <v>4.6582482760539605E-2</v>
      </c>
      <c r="E38" s="63">
        <f>-E20/E17</f>
        <v>5.0520428906706681E-2</v>
      </c>
      <c r="F38" s="63">
        <f>-F20/F17</f>
        <v>5.3600406634161032E-2</v>
      </c>
      <c r="G38" s="113">
        <v>6.2E-2</v>
      </c>
      <c r="H38" s="113">
        <v>6.3E-2</v>
      </c>
      <c r="I38" s="113">
        <v>6.3E-2</v>
      </c>
      <c r="J38" s="72">
        <f t="shared" si="5"/>
        <v>6.3E-2</v>
      </c>
      <c r="K38" s="72">
        <f t="shared" si="5"/>
        <v>6.3E-2</v>
      </c>
      <c r="M38" t="s">
        <v>86</v>
      </c>
      <c r="O38" s="35"/>
      <c r="P38" s="35"/>
      <c r="Q38" s="35"/>
      <c r="R38" s="35"/>
      <c r="S38" s="35"/>
      <c r="T38" s="35"/>
    </row>
    <row r="39" spans="3:20" ht="15" customHeight="1">
      <c r="C39" s="29" t="s">
        <v>33</v>
      </c>
      <c r="D39" s="63">
        <f>-D21/D17</f>
        <v>6.5822972653369755E-2</v>
      </c>
      <c r="E39" s="63">
        <f>-E21/E17</f>
        <v>6.6573893924984945E-2</v>
      </c>
      <c r="F39" s="63">
        <f>-F21/F17</f>
        <v>6.2896515371147807E-2</v>
      </c>
      <c r="G39" s="113">
        <v>7.3999999999999996E-2</v>
      </c>
      <c r="H39" s="113">
        <v>6.9000000000000006E-2</v>
      </c>
      <c r="I39" s="113">
        <v>6.9000000000000006E-2</v>
      </c>
      <c r="J39" s="72">
        <f t="shared" si="5"/>
        <v>6.9000000000000006E-2</v>
      </c>
      <c r="K39" s="72">
        <f t="shared" si="5"/>
        <v>6.9000000000000006E-2</v>
      </c>
      <c r="M39" t="s">
        <v>86</v>
      </c>
      <c r="O39" s="35"/>
      <c r="P39" s="35"/>
      <c r="Q39" s="35"/>
      <c r="R39" s="35"/>
      <c r="S39" s="35"/>
      <c r="T39" s="35"/>
    </row>
    <row r="40" spans="3:20" ht="15" customHeight="1">
      <c r="C40" s="29" t="s">
        <v>34</v>
      </c>
      <c r="D40" s="63">
        <f>-(D27/D26)</f>
        <v>0.25557257381216192</v>
      </c>
      <c r="E40" s="63">
        <f>-(E27/E26)</f>
        <v>0.24556476150353415</v>
      </c>
      <c r="F40" s="63">
        <f>-(F27/F26)</f>
        <v>0.18342180705869443</v>
      </c>
      <c r="G40" s="113">
        <v>0.16700000000000001</v>
      </c>
      <c r="H40" s="113">
        <v>0.17</v>
      </c>
      <c r="I40" s="113">
        <v>0.16900000000000001</v>
      </c>
      <c r="J40" s="72">
        <f t="shared" si="5"/>
        <v>0.16900000000000001</v>
      </c>
      <c r="K40" s="72">
        <f t="shared" si="5"/>
        <v>0.16900000000000001</v>
      </c>
      <c r="M40" t="s">
        <v>86</v>
      </c>
      <c r="O40" s="35"/>
      <c r="P40" s="35"/>
      <c r="Q40" s="35"/>
      <c r="R40" s="35"/>
      <c r="S40" s="35"/>
      <c r="T40" s="35"/>
    </row>
    <row r="41" spans="3:20" ht="15" customHeight="1">
      <c r="C41" s="29"/>
      <c r="G41" s="62"/>
    </row>
    <row r="42" spans="3:20" ht="15" customHeight="1">
      <c r="C42" s="16" t="s">
        <v>35</v>
      </c>
      <c r="D42" s="20"/>
      <c r="E42" s="20"/>
      <c r="F42" s="20"/>
      <c r="G42" s="17"/>
      <c r="H42" s="17"/>
      <c r="I42" s="17"/>
      <c r="J42" s="17"/>
      <c r="K42" s="17"/>
    </row>
    <row r="43" spans="3:20" ht="15" customHeight="1">
      <c r="C43" s="36" t="str">
        <f>C14</f>
        <v xml:space="preserve">Fiscal year  </v>
      </c>
      <c r="D43" s="37"/>
      <c r="E43" s="37">
        <f t="shared" ref="E43:K44" si="6">E14</f>
        <v>2017</v>
      </c>
      <c r="F43" s="37">
        <f t="shared" si="6"/>
        <v>2018</v>
      </c>
      <c r="G43" s="65">
        <f t="shared" si="6"/>
        <v>2019</v>
      </c>
      <c r="H43" s="65">
        <f t="shared" si="6"/>
        <v>2020</v>
      </c>
      <c r="I43" s="65">
        <f t="shared" si="6"/>
        <v>2021</v>
      </c>
      <c r="J43" s="65">
        <f t="shared" si="6"/>
        <v>2022</v>
      </c>
      <c r="K43" s="65">
        <f t="shared" si="6"/>
        <v>2023</v>
      </c>
    </row>
    <row r="44" spans="3:20" ht="15" customHeight="1">
      <c r="C44" s="17" t="str">
        <f>C15</f>
        <v>Fiscal year end date</v>
      </c>
      <c r="D44" s="38"/>
      <c r="E44" s="38">
        <f t="shared" si="6"/>
        <v>43008</v>
      </c>
      <c r="F44" s="38">
        <f t="shared" si="6"/>
        <v>43372</v>
      </c>
      <c r="G44" s="38">
        <f t="shared" si="6"/>
        <v>43738</v>
      </c>
      <c r="H44" s="38">
        <f t="shared" si="6"/>
        <v>44104</v>
      </c>
      <c r="I44" s="38">
        <f t="shared" si="6"/>
        <v>44469</v>
      </c>
      <c r="J44" s="38">
        <f t="shared" si="6"/>
        <v>44834</v>
      </c>
      <c r="K44" s="38">
        <f t="shared" si="6"/>
        <v>45199</v>
      </c>
    </row>
    <row r="45" spans="3:20" ht="15" customHeight="1">
      <c r="C45" t="s">
        <v>38</v>
      </c>
      <c r="D45" s="39"/>
      <c r="E45" s="39">
        <f>20289+53892+194714</f>
        <v>268895</v>
      </c>
      <c r="F45" s="39">
        <f>25913+40388+170799</f>
        <v>237100</v>
      </c>
      <c r="G45" s="61">
        <f>F45+G90</f>
        <v>200896.49769127104</v>
      </c>
      <c r="H45" s="61">
        <f>G45+H90</f>
        <v>174501.15061752661</v>
      </c>
      <c r="I45" s="61">
        <f>H45+I90</f>
        <v>153748.09195430009</v>
      </c>
      <c r="J45" s="61">
        <f>I45+J90</f>
        <v>137964.01265380977</v>
      </c>
      <c r="K45" s="61">
        <f>J45+K90</f>
        <v>127420.53366576562</v>
      </c>
      <c r="M45" t="s">
        <v>87</v>
      </c>
    </row>
    <row r="46" spans="3:20" ht="15" customHeight="1">
      <c r="C46" t="s">
        <v>39</v>
      </c>
      <c r="D46" s="39"/>
      <c r="E46" s="39">
        <v>17874</v>
      </c>
      <c r="F46" s="39">
        <v>23186</v>
      </c>
      <c r="G46" s="61">
        <f>F46*(1+G36)</f>
        <v>22258.559999999998</v>
      </c>
      <c r="H46" s="61">
        <f>G46*(1+H36)</f>
        <v>23594.0736</v>
      </c>
      <c r="I46" s="61">
        <f>H46*(1+I36)</f>
        <v>25222.064678399998</v>
      </c>
      <c r="J46" s="61">
        <f>I46*(1+J36)</f>
        <v>26962.387141209598</v>
      </c>
      <c r="K46" s="61">
        <f>J46*(1+K36)</f>
        <v>28822.791853953058</v>
      </c>
      <c r="M46" t="s">
        <v>88</v>
      </c>
    </row>
    <row r="47" spans="3:20" ht="15" customHeight="1">
      <c r="C47" t="s">
        <v>40</v>
      </c>
      <c r="D47" s="39"/>
      <c r="E47" s="39">
        <v>4855</v>
      </c>
      <c r="F47" s="39">
        <v>3956</v>
      </c>
      <c r="G47" s="61">
        <f>F47*(G18/F18)</f>
        <v>3831.2507254598299</v>
      </c>
      <c r="H47" s="61">
        <f>G47*(H18/G18)</f>
        <v>4041.5383456643308</v>
      </c>
      <c r="I47" s="61">
        <f>H47*(I18/H18)</f>
        <v>4313.4248396710418</v>
      </c>
      <c r="J47" s="61">
        <f>I47*(J18/I18)</f>
        <v>4611.0511536083432</v>
      </c>
      <c r="K47" s="61">
        <f>J47*(K18/J18)</f>
        <v>4929.2136832073184</v>
      </c>
      <c r="M47" t="s">
        <v>89</v>
      </c>
    </row>
    <row r="48" spans="3:20" ht="15" customHeight="1">
      <c r="C48" t="s">
        <v>41</v>
      </c>
      <c r="D48" s="39"/>
      <c r="E48" s="39">
        <f>17799+13936</f>
        <v>31735</v>
      </c>
      <c r="F48" s="39">
        <f>25809+12087</f>
        <v>37896</v>
      </c>
      <c r="G48" s="61">
        <f>F48*(1+G36)</f>
        <v>36380.159999999996</v>
      </c>
      <c r="H48" s="61">
        <f>G48*(1+H36)</f>
        <v>38562.969599999997</v>
      </c>
      <c r="I48" s="61">
        <f>H48*(1+I36)</f>
        <v>41223.814502399997</v>
      </c>
      <c r="J48" s="61">
        <f>I48*(1+J36)</f>
        <v>44068.257703065596</v>
      </c>
      <c r="K48" s="61">
        <f>J48*(1+K36)</f>
        <v>47108.967484577122</v>
      </c>
      <c r="M48" t="s">
        <v>88</v>
      </c>
    </row>
    <row r="49" spans="3:13" ht="15" customHeight="1">
      <c r="C49" t="s">
        <v>42</v>
      </c>
      <c r="D49" s="39"/>
      <c r="E49" s="39">
        <v>33783</v>
      </c>
      <c r="F49" s="39">
        <v>41304</v>
      </c>
      <c r="G49" s="114">
        <f>G99</f>
        <v>45042.85982873883</v>
      </c>
      <c r="H49" s="114">
        <f>H99</f>
        <v>48611.181883872909</v>
      </c>
      <c r="I49" s="114">
        <f>I99</f>
        <v>51947.567835949827</v>
      </c>
      <c r="J49" s="114">
        <f>J99</f>
        <v>55218.714198720052</v>
      </c>
      <c r="K49" s="114">
        <f>K99</f>
        <v>58399.73337534142</v>
      </c>
      <c r="M49" t="s">
        <v>90</v>
      </c>
    </row>
    <row r="50" spans="3:13" ht="15" customHeight="1">
      <c r="C50" t="s">
        <v>43</v>
      </c>
      <c r="D50" s="39"/>
      <c r="E50" s="39">
        <v>18177</v>
      </c>
      <c r="F50" s="39">
        <v>22283</v>
      </c>
      <c r="G50" s="61">
        <f>F50*(1+G36)</f>
        <v>21391.68</v>
      </c>
      <c r="H50" s="61">
        <f>G50*(1+H36)</f>
        <v>22675.180800000002</v>
      </c>
      <c r="I50" s="61">
        <f>H50*(1+I36)</f>
        <v>24239.7682752</v>
      </c>
      <c r="J50" s="61">
        <f>I50*(1+J36)</f>
        <v>25912.3122861888</v>
      </c>
      <c r="K50" s="61">
        <f>J50*(1+K36)</f>
        <v>27700.261833935827</v>
      </c>
      <c r="M50" t="s">
        <v>88</v>
      </c>
    </row>
    <row r="51" spans="3:13" ht="15" customHeight="1">
      <c r="C51" s="31" t="s">
        <v>44</v>
      </c>
      <c r="D51" s="41"/>
      <c r="E51" s="41">
        <f t="shared" ref="E51:K51" si="7">SUM(E45:E50)</f>
        <v>375319</v>
      </c>
      <c r="F51" s="41">
        <f t="shared" si="7"/>
        <v>365725</v>
      </c>
      <c r="G51" s="66">
        <f t="shared" si="7"/>
        <v>329801.00824546971</v>
      </c>
      <c r="H51" s="66">
        <f t="shared" si="7"/>
        <v>311986.09484706388</v>
      </c>
      <c r="I51" s="66">
        <f t="shared" si="7"/>
        <v>300694.73208592093</v>
      </c>
      <c r="J51" s="66">
        <f t="shared" si="7"/>
        <v>294736.73513660219</v>
      </c>
      <c r="K51" s="66">
        <f t="shared" si="7"/>
        <v>294381.50189678033</v>
      </c>
    </row>
    <row r="52" spans="3:13" ht="15" customHeight="1">
      <c r="C52" s="30"/>
      <c r="D52" s="42"/>
      <c r="E52" s="42"/>
      <c r="F52" s="42"/>
    </row>
    <row r="53" spans="3:13" ht="15" customHeight="1">
      <c r="C53" s="30" t="s">
        <v>45</v>
      </c>
      <c r="D53" s="39"/>
      <c r="E53" s="39">
        <v>44242</v>
      </c>
      <c r="F53" s="39">
        <v>55888</v>
      </c>
      <c r="G53" s="61">
        <f>F53*G18/F18</f>
        <v>54125.616922269706</v>
      </c>
      <c r="H53" s="61">
        <f>G53*H18/G18</f>
        <v>57096.434545623881</v>
      </c>
      <c r="I53" s="61">
        <f>H53*I18/H18</f>
        <v>60937.484185928995</v>
      </c>
      <c r="J53" s="61">
        <f>I53*J18/I18</f>
        <v>65142.170594758099</v>
      </c>
      <c r="K53" s="61">
        <f>J53*K18/J18</f>
        <v>69636.980365796408</v>
      </c>
      <c r="M53" t="s">
        <v>89</v>
      </c>
    </row>
    <row r="54" spans="3:13" ht="15" customHeight="1">
      <c r="C54" s="30" t="s">
        <v>46</v>
      </c>
      <c r="D54" s="39"/>
      <c r="E54" s="39">
        <v>30551</v>
      </c>
      <c r="F54" s="39">
        <v>32687</v>
      </c>
      <c r="G54" s="61">
        <f>F54*(1+G36)</f>
        <v>31379.52</v>
      </c>
      <c r="H54" s="61">
        <f>G54*(1+H36)</f>
        <v>33262.2912</v>
      </c>
      <c r="I54" s="61">
        <f>H54*(1+I36)</f>
        <v>35557.389292799999</v>
      </c>
      <c r="J54" s="61">
        <f>I54*(1+J36)</f>
        <v>38010.849154003197</v>
      </c>
      <c r="K54" s="61">
        <f>J54*(1+K36)</f>
        <v>40633.597745629413</v>
      </c>
      <c r="M54" t="s">
        <v>88</v>
      </c>
    </row>
    <row r="55" spans="3:13" ht="15" customHeight="1">
      <c r="C55" s="30" t="s">
        <v>47</v>
      </c>
      <c r="D55" s="39"/>
      <c r="E55" s="39">
        <f>7548+2836</f>
        <v>10384</v>
      </c>
      <c r="F55" s="39">
        <f>7543+2797</f>
        <v>10340</v>
      </c>
      <c r="G55" s="61">
        <f>F55*(1+G36)</f>
        <v>9926.4</v>
      </c>
      <c r="H55" s="61">
        <f>G55*(1+H36)</f>
        <v>10521.984</v>
      </c>
      <c r="I55" s="61">
        <f>H55*(1+I36)</f>
        <v>11248.000896</v>
      </c>
      <c r="J55" s="61">
        <f>I55*(1+J36)</f>
        <v>12024.112957824</v>
      </c>
      <c r="K55" s="61">
        <f>J55*(1+K36)</f>
        <v>12853.776751913854</v>
      </c>
      <c r="M55" t="s">
        <v>88</v>
      </c>
    </row>
    <row r="56" spans="3:13" ht="15" customHeight="1">
      <c r="C56" s="30" t="s">
        <v>48</v>
      </c>
      <c r="D56" s="39"/>
      <c r="E56" s="39">
        <v>11977</v>
      </c>
      <c r="F56" s="39">
        <v>11964</v>
      </c>
      <c r="G56" s="33"/>
      <c r="H56" s="33"/>
      <c r="I56" s="33"/>
      <c r="J56" s="33"/>
      <c r="K56" s="33"/>
      <c r="M56" t="s">
        <v>174</v>
      </c>
    </row>
    <row r="57" spans="3:13" ht="15" customHeight="1">
      <c r="C57" s="30" t="s">
        <v>92</v>
      </c>
      <c r="D57" s="39"/>
      <c r="E57" s="39">
        <f>6496+97207</f>
        <v>103703</v>
      </c>
      <c r="F57" s="39">
        <f>8784+93735</f>
        <v>102519</v>
      </c>
      <c r="G57" s="61">
        <f>F57</f>
        <v>102519</v>
      </c>
      <c r="H57" s="61">
        <f>G57</f>
        <v>102519</v>
      </c>
      <c r="I57" s="61">
        <f>H57</f>
        <v>102519</v>
      </c>
      <c r="J57" s="61">
        <f>I57</f>
        <v>102519</v>
      </c>
      <c r="K57" s="61">
        <f>J57</f>
        <v>102519</v>
      </c>
      <c r="M57" t="s">
        <v>93</v>
      </c>
    </row>
    <row r="58" spans="3:13" ht="15.75" customHeight="1">
      <c r="C58" s="30" t="s">
        <v>50</v>
      </c>
      <c r="D58" s="39"/>
      <c r="E58" s="39">
        <v>40415</v>
      </c>
      <c r="F58" s="39">
        <v>45180</v>
      </c>
      <c r="G58" s="61">
        <f>F58*(1+G36)</f>
        <v>43372.799999999996</v>
      </c>
      <c r="H58" s="61">
        <f>G58*(1+H36)</f>
        <v>45975.167999999998</v>
      </c>
      <c r="I58" s="61">
        <f>H58*(1+I36)</f>
        <v>49147.454591999995</v>
      </c>
      <c r="J58" s="61">
        <f>I58*(1+J36)</f>
        <v>52538.628958847992</v>
      </c>
      <c r="K58" s="61">
        <f>J58*(1+K36)</f>
        <v>56163.794357008504</v>
      </c>
      <c r="M58" t="s">
        <v>88</v>
      </c>
    </row>
    <row r="59" spans="3:13" ht="15" customHeight="1">
      <c r="C59" s="31" t="s">
        <v>51</v>
      </c>
      <c r="D59" s="41"/>
      <c r="E59" s="41">
        <f t="shared" ref="E59:K59" si="8">SUM(E53:E58)</f>
        <v>241272</v>
      </c>
      <c r="F59" s="41">
        <f t="shared" si="8"/>
        <v>258578</v>
      </c>
      <c r="G59" s="66">
        <f t="shared" si="8"/>
        <v>241323.33692226969</v>
      </c>
      <c r="H59" s="66">
        <f t="shared" si="8"/>
        <v>249374.87774562387</v>
      </c>
      <c r="I59" s="66">
        <f t="shared" si="8"/>
        <v>259409.32896672899</v>
      </c>
      <c r="J59" s="66">
        <f t="shared" si="8"/>
        <v>270234.7616654333</v>
      </c>
      <c r="K59" s="66">
        <f t="shared" si="8"/>
        <v>281807.14922034822</v>
      </c>
    </row>
    <row r="60" spans="3:13" ht="15" customHeight="1">
      <c r="C60" s="31"/>
      <c r="D60" s="41"/>
      <c r="E60" s="41"/>
      <c r="F60" s="41"/>
    </row>
    <row r="61" spans="3:13" ht="15" customHeight="1">
      <c r="C61" s="30" t="s">
        <v>52</v>
      </c>
      <c r="D61" s="39"/>
      <c r="E61" s="39">
        <v>35867</v>
      </c>
      <c r="F61" s="39">
        <v>40201</v>
      </c>
      <c r="G61" s="61">
        <f>F61+G32</f>
        <v>45327.4</v>
      </c>
      <c r="H61" s="61">
        <f>G61+H32</f>
        <v>50761.383999999998</v>
      </c>
      <c r="I61" s="61">
        <f>H61+I32</f>
        <v>56570.312895999996</v>
      </c>
      <c r="J61" s="61">
        <f>I61+J32</f>
        <v>62780.057885823997</v>
      </c>
      <c r="K61" s="61">
        <f>J61+K32</f>
        <v>69418.275279945854</v>
      </c>
      <c r="M61" t="s">
        <v>94</v>
      </c>
    </row>
    <row r="62" spans="3:13" ht="15.75" customHeight="1">
      <c r="C62" s="30" t="s">
        <v>53</v>
      </c>
      <c r="D62" s="44"/>
      <c r="E62" s="39">
        <v>98330</v>
      </c>
      <c r="F62" s="39">
        <v>70400</v>
      </c>
      <c r="G62" s="114">
        <f>G119</f>
        <v>34640.271323199995</v>
      </c>
      <c r="H62" s="114">
        <f>H119</f>
        <v>3339.8331014399882</v>
      </c>
      <c r="I62" s="114">
        <f>I119</f>
        <v>-23794.90977680801</v>
      </c>
      <c r="J62" s="114">
        <f>J119</f>
        <v>-46788.084414655124</v>
      </c>
      <c r="K62" s="114">
        <f>K119</f>
        <v>-65353.922603513696</v>
      </c>
      <c r="M62" t="s">
        <v>95</v>
      </c>
    </row>
    <row r="63" spans="3:13" ht="15.75" customHeight="1">
      <c r="C63" s="30" t="s">
        <v>54</v>
      </c>
      <c r="D63" s="39"/>
      <c r="E63" s="39">
        <v>-150</v>
      </c>
      <c r="F63" s="39">
        <v>-3454</v>
      </c>
      <c r="G63" s="61">
        <f>F63</f>
        <v>-3454</v>
      </c>
      <c r="H63" s="61">
        <f>G63</f>
        <v>-3454</v>
      </c>
      <c r="I63" s="61">
        <f>H63</f>
        <v>-3454</v>
      </c>
      <c r="J63" s="61">
        <f>I63</f>
        <v>-3454</v>
      </c>
      <c r="K63" s="61">
        <f>J63</f>
        <v>-3454</v>
      </c>
      <c r="M63" t="s">
        <v>93</v>
      </c>
    </row>
    <row r="64" spans="3:13" ht="15" customHeight="1">
      <c r="C64" s="31" t="s">
        <v>55</v>
      </c>
      <c r="D64" s="45"/>
      <c r="E64" s="45">
        <f t="shared" ref="E64:K64" si="9">SUM(E61:E63)</f>
        <v>134047</v>
      </c>
      <c r="F64" s="45">
        <f t="shared" si="9"/>
        <v>107147</v>
      </c>
      <c r="G64" s="66">
        <f t="shared" si="9"/>
        <v>76513.671323199989</v>
      </c>
      <c r="H64" s="66">
        <f t="shared" si="9"/>
        <v>50647.217101439986</v>
      </c>
      <c r="I64" s="66">
        <f t="shared" si="9"/>
        <v>29321.403119191986</v>
      </c>
      <c r="J64" s="66">
        <f t="shared" si="9"/>
        <v>12537.973471168872</v>
      </c>
      <c r="K64" s="66">
        <f t="shared" si="9"/>
        <v>610.35267643215775</v>
      </c>
    </row>
    <row r="65" spans="3:13" ht="15" customHeight="1">
      <c r="D65" s="42"/>
      <c r="E65" s="42"/>
      <c r="F65" s="42"/>
    </row>
    <row r="66" spans="3:13" ht="15" customHeight="1">
      <c r="C66" s="23" t="s">
        <v>56</v>
      </c>
      <c r="D66" s="46"/>
      <c r="E66" s="46">
        <f t="shared" ref="E66:K66" si="10">ROUND(E51-E59-E64,3)</f>
        <v>0</v>
      </c>
      <c r="F66" s="46">
        <f t="shared" si="10"/>
        <v>0</v>
      </c>
      <c r="G66" s="46">
        <f t="shared" si="10"/>
        <v>11964</v>
      </c>
      <c r="H66" s="46">
        <f t="shared" si="10"/>
        <v>11964</v>
      </c>
      <c r="I66" s="46">
        <f t="shared" si="10"/>
        <v>11964</v>
      </c>
      <c r="J66" s="46">
        <f t="shared" si="10"/>
        <v>11964</v>
      </c>
      <c r="K66" s="46">
        <f t="shared" si="10"/>
        <v>11964</v>
      </c>
    </row>
    <row r="67" spans="3:13" ht="15" customHeight="1">
      <c r="E67" s="42"/>
      <c r="F67" s="42"/>
      <c r="H67" s="42"/>
      <c r="I67" s="42"/>
      <c r="J67" s="42"/>
      <c r="K67" s="42"/>
    </row>
    <row r="68" spans="3:13" ht="15" customHeight="1">
      <c r="C68" s="16" t="s">
        <v>96</v>
      </c>
      <c r="D68" s="20"/>
      <c r="E68" s="20"/>
      <c r="F68" s="20"/>
      <c r="G68" s="20"/>
      <c r="H68" s="20"/>
      <c r="I68" s="20"/>
      <c r="J68" s="20"/>
      <c r="K68" s="20"/>
    </row>
    <row r="69" spans="3:13" ht="15" customHeight="1">
      <c r="C69" s="36" t="str">
        <f>C14</f>
        <v xml:space="preserve">Fiscal year  </v>
      </c>
      <c r="D69" s="37"/>
      <c r="E69" s="37"/>
      <c r="F69" s="37"/>
      <c r="G69" s="65">
        <f t="shared" ref="G69:K70" si="11">G14</f>
        <v>2019</v>
      </c>
      <c r="H69" s="65">
        <f t="shared" si="11"/>
        <v>2020</v>
      </c>
      <c r="I69" s="65">
        <f t="shared" si="11"/>
        <v>2021</v>
      </c>
      <c r="J69" s="65">
        <f t="shared" si="11"/>
        <v>2022</v>
      </c>
      <c r="K69" s="65">
        <f t="shared" si="11"/>
        <v>2023</v>
      </c>
    </row>
    <row r="70" spans="3:13" ht="15" customHeight="1">
      <c r="C70" s="17" t="str">
        <f>C15</f>
        <v>Fiscal year end date</v>
      </c>
      <c r="D70" s="38"/>
      <c r="E70" s="38"/>
      <c r="F70" s="38"/>
      <c r="G70" s="38">
        <f t="shared" si="11"/>
        <v>43738</v>
      </c>
      <c r="H70" s="38">
        <f t="shared" si="11"/>
        <v>44104</v>
      </c>
      <c r="I70" s="38">
        <f t="shared" si="11"/>
        <v>44469</v>
      </c>
      <c r="J70" s="38">
        <f t="shared" si="11"/>
        <v>44834</v>
      </c>
      <c r="K70" s="38">
        <f t="shared" si="11"/>
        <v>45199</v>
      </c>
    </row>
    <row r="72" spans="3:13" ht="15" customHeight="1">
      <c r="C72" t="s">
        <v>24</v>
      </c>
      <c r="D72" s="40"/>
      <c r="E72" s="40"/>
      <c r="F72" s="40"/>
      <c r="G72" s="61">
        <f>G28</f>
        <v>51031.271323200002</v>
      </c>
      <c r="H72" s="61">
        <f>H28</f>
        <v>55490.56177824</v>
      </c>
      <c r="I72" s="61">
        <f>I28</f>
        <v>59656.257121752002</v>
      </c>
      <c r="J72" s="61">
        <f>J28</f>
        <v>63797.825362152886</v>
      </c>
      <c r="K72" s="61">
        <f>K28</f>
        <v>68225.161811141428</v>
      </c>
      <c r="M72" s="27"/>
    </row>
    <row r="73" spans="3:13" ht="15" customHeight="1">
      <c r="C73" t="s">
        <v>97</v>
      </c>
      <c r="D73" s="40"/>
      <c r="E73" s="40"/>
      <c r="F73" s="40"/>
      <c r="G73" s="114">
        <f>G30</f>
        <v>11085.020171261172</v>
      </c>
      <c r="H73" s="114">
        <f>H30</f>
        <v>11711.890744865921</v>
      </c>
      <c r="I73" s="114">
        <f>I30</f>
        <v>12226.380531123083</v>
      </c>
      <c r="J73" s="114">
        <f>J30</f>
        <v>13365.451007770575</v>
      </c>
      <c r="K73" s="114">
        <f>K30</f>
        <v>14603.503412486743</v>
      </c>
    </row>
    <row r="74" spans="3:13" ht="15" customHeight="1">
      <c r="C74" t="s">
        <v>27</v>
      </c>
      <c r="D74" s="40"/>
      <c r="E74" s="40"/>
      <c r="F74" s="40"/>
      <c r="G74" s="61">
        <f>G32</f>
        <v>5126.3999999999996</v>
      </c>
      <c r="H74" s="61">
        <f>H32</f>
        <v>5433.9839999999995</v>
      </c>
      <c r="I74" s="61">
        <f>I32</f>
        <v>5808.9288959999994</v>
      </c>
      <c r="J74" s="61">
        <f>J32</f>
        <v>6209.7449898239993</v>
      </c>
      <c r="K74" s="61">
        <f>K32</f>
        <v>6638.2173941218552</v>
      </c>
    </row>
    <row r="75" spans="3:13" ht="15" customHeight="1">
      <c r="C75" t="s">
        <v>99</v>
      </c>
      <c r="D75" s="42"/>
      <c r="E75" s="42"/>
      <c r="F75" s="42"/>
      <c r="G75" s="61">
        <f>SUM(F46:F48)-SUM(G46:G48)</f>
        <v>2568.0292745401748</v>
      </c>
      <c r="H75" s="61">
        <f>SUM(G46:G48)-SUM(H46:H48)</f>
        <v>-3728.610820204507</v>
      </c>
      <c r="I75" s="61">
        <f>SUM(H46:H48)-SUM(I46:I48)</f>
        <v>-4560.7224748067092</v>
      </c>
      <c r="J75" s="61">
        <f>SUM(I46:I48)-SUM(J46:J48)</f>
        <v>-4882.3919774124952</v>
      </c>
      <c r="K75" s="61">
        <f>SUM(J46:J48)-SUM(K46:K48)</f>
        <v>-5219.277023853967</v>
      </c>
    </row>
    <row r="76" spans="3:13" ht="15" customHeight="1">
      <c r="C76" t="s">
        <v>100</v>
      </c>
      <c r="D76" s="42"/>
      <c r="E76" s="42"/>
      <c r="F76" s="42"/>
      <c r="G76" s="61">
        <f>SUM(G53:G55)-SUM(F53:F55)</f>
        <v>-3483.4630777302955</v>
      </c>
      <c r="H76" s="61">
        <f>SUM(H53:H55)-SUM(G53:G55)</f>
        <v>5449.1728233541653</v>
      </c>
      <c r="I76" s="61">
        <f>SUM(I53:I55)-SUM(H53:H55)</f>
        <v>6862.1646291051147</v>
      </c>
      <c r="J76" s="61">
        <f>SUM(J53:J55)-SUM(I53:I55)</f>
        <v>7434.2583318562974</v>
      </c>
      <c r="K76" s="61">
        <f>SUM(K53:K55)-SUM(J53:J55)</f>
        <v>7947.2221567544038</v>
      </c>
    </row>
    <row r="77" spans="3:13" ht="15" customHeight="1">
      <c r="C77" t="s">
        <v>43</v>
      </c>
      <c r="G77" s="114">
        <f>-G111</f>
        <v>-647.56000000000131</v>
      </c>
      <c r="H77" s="114">
        <f>-H111</f>
        <v>-2914.7136000000028</v>
      </c>
      <c r="I77" s="114">
        <f>-I111</f>
        <v>-3308.3539583999991</v>
      </c>
      <c r="J77" s="114">
        <f>-J111</f>
        <v>-3536.6303815296014</v>
      </c>
      <c r="K77" s="114">
        <f>-K111</f>
        <v>-3780.6578778551411</v>
      </c>
      <c r="M77" t="s">
        <v>175</v>
      </c>
    </row>
    <row r="78" spans="3:13" ht="15" customHeight="1">
      <c r="C78" t="s">
        <v>50</v>
      </c>
      <c r="G78" s="61">
        <f>G58-F58</f>
        <v>-1807.2000000000044</v>
      </c>
      <c r="H78" s="61">
        <f>H58-G58</f>
        <v>2602.3680000000022</v>
      </c>
      <c r="I78" s="61">
        <f>I58-H58</f>
        <v>3172.2865919999967</v>
      </c>
      <c r="J78" s="61">
        <f>J58-I58</f>
        <v>3391.1743668479976</v>
      </c>
      <c r="K78" s="61">
        <f>K58-J58</f>
        <v>3625.1653981605123</v>
      </c>
      <c r="M78" s="27"/>
    </row>
    <row r="79" spans="3:13" ht="15" customHeight="1">
      <c r="C79" s="27" t="s">
        <v>102</v>
      </c>
      <c r="G79" s="66">
        <f>SUM(G72:G78)</f>
        <v>63872.497691271048</v>
      </c>
      <c r="H79" s="66">
        <f>SUM(H72:H78)</f>
        <v>74044.65292625557</v>
      </c>
      <c r="I79" s="66">
        <f>SUM(I72:I78)</f>
        <v>79856.941336773481</v>
      </c>
      <c r="J79" s="66">
        <f>SUM(J72:J78)</f>
        <v>85779.431699509674</v>
      </c>
      <c r="K79" s="66">
        <f>SUM(K72:K78)</f>
        <v>92039.335270955838</v>
      </c>
    </row>
    <row r="81" spans="3:13" ht="15" customHeight="1">
      <c r="C81" t="s">
        <v>103</v>
      </c>
      <c r="G81" s="112">
        <f>-G97</f>
        <v>-13285</v>
      </c>
      <c r="H81" s="112">
        <f>-H97</f>
        <v>-13649</v>
      </c>
      <c r="I81" s="112">
        <f>-I97</f>
        <v>-13819</v>
      </c>
      <c r="J81" s="112">
        <f>-J97</f>
        <v>-14772.510999999999</v>
      </c>
      <c r="K81" s="112">
        <f>-K97</f>
        <v>-15791.814258999997</v>
      </c>
    </row>
    <row r="82" spans="3:13" ht="15" customHeight="1">
      <c r="C82" s="27" t="s">
        <v>104</v>
      </c>
      <c r="G82" s="66">
        <f>SUM(G81)</f>
        <v>-13285</v>
      </c>
      <c r="H82" s="66">
        <f>SUM(H81)</f>
        <v>-13649</v>
      </c>
      <c r="I82" s="66">
        <f>SUM(I81)</f>
        <v>-13819</v>
      </c>
      <c r="J82" s="66">
        <f>SUM(J81)</f>
        <v>-14772.510999999999</v>
      </c>
      <c r="K82" s="66">
        <f>SUM(K81)</f>
        <v>-15791.814258999997</v>
      </c>
    </row>
    <row r="84" spans="3:13" ht="15" customHeight="1">
      <c r="C84" t="s">
        <v>105</v>
      </c>
      <c r="G84" s="58">
        <f>G57-F57</f>
        <v>0</v>
      </c>
      <c r="H84" s="58">
        <f>H57-G57</f>
        <v>0</v>
      </c>
      <c r="I84" s="58">
        <f>I57-H57</f>
        <v>0</v>
      </c>
      <c r="J84" s="58">
        <f>J57-I57</f>
        <v>0</v>
      </c>
      <c r="K84" s="58">
        <f>K57-J57</f>
        <v>0</v>
      </c>
    </row>
    <row r="85" spans="3:13" ht="15" customHeight="1">
      <c r="C85" t="s">
        <v>106</v>
      </c>
      <c r="G85" s="33"/>
      <c r="H85" s="33"/>
      <c r="I85" s="33"/>
      <c r="J85" s="33"/>
      <c r="K85" s="33"/>
    </row>
    <row r="86" spans="3:13" ht="15" customHeight="1">
      <c r="C86" t="s">
        <v>108</v>
      </c>
      <c r="G86" s="114">
        <f>G118</f>
        <v>-73056</v>
      </c>
      <c r="H86" s="114">
        <f>H118</f>
        <v>-73056</v>
      </c>
      <c r="I86" s="114">
        <f>I118</f>
        <v>-73056</v>
      </c>
      <c r="J86" s="114">
        <f>J118</f>
        <v>-73056</v>
      </c>
      <c r="K86" s="114">
        <f>K118</f>
        <v>-73056</v>
      </c>
    </row>
    <row r="87" spans="3:13" ht="15" customHeight="1">
      <c r="C87" t="s">
        <v>109</v>
      </c>
      <c r="G87" s="114">
        <f>G117</f>
        <v>-13735</v>
      </c>
      <c r="H87" s="114">
        <f>H117</f>
        <v>-13735</v>
      </c>
      <c r="I87" s="114">
        <f>I117</f>
        <v>-13735</v>
      </c>
      <c r="J87" s="114">
        <f>J117</f>
        <v>-13735</v>
      </c>
      <c r="K87" s="114">
        <f>K117</f>
        <v>-13735</v>
      </c>
    </row>
    <row r="88" spans="3:13" ht="15" customHeight="1">
      <c r="C88" s="27" t="s">
        <v>110</v>
      </c>
      <c r="G88" s="66">
        <f>SUM(G84:G87)</f>
        <v>-86791</v>
      </c>
      <c r="H88" s="66">
        <f>SUM(H84:H87)</f>
        <v>-86791</v>
      </c>
      <c r="I88" s="66">
        <f>SUM(I84:I87)</f>
        <v>-86791</v>
      </c>
      <c r="J88" s="66">
        <f>SUM(J84:J87)</f>
        <v>-86791</v>
      </c>
      <c r="K88" s="66">
        <f>SUM(K84:K87)</f>
        <v>-86791</v>
      </c>
    </row>
    <row r="90" spans="3:13" ht="15" customHeight="1">
      <c r="C90" s="27" t="s">
        <v>111</v>
      </c>
      <c r="G90" s="66">
        <f>G79+G82+G88</f>
        <v>-36203.502308728952</v>
      </c>
      <c r="H90" s="66">
        <f>H79+H82+H88</f>
        <v>-26395.34707374443</v>
      </c>
      <c r="I90" s="66">
        <f>I79+I82+I88</f>
        <v>-20753.058663226519</v>
      </c>
      <c r="J90" s="66">
        <f>J79+J82+J88</f>
        <v>-15784.079300490324</v>
      </c>
      <c r="K90" s="66">
        <f>K79+K82+K88</f>
        <v>-10543.478988044153</v>
      </c>
    </row>
    <row r="92" spans="3:13" ht="15" customHeight="1">
      <c r="C92" s="16" t="s">
        <v>112</v>
      </c>
      <c r="D92" s="17"/>
      <c r="E92" s="17"/>
      <c r="F92" s="17"/>
      <c r="G92" s="17"/>
      <c r="H92" s="17"/>
      <c r="I92" s="17"/>
      <c r="J92" s="17"/>
      <c r="K92" s="17"/>
    </row>
    <row r="93" spans="3:13" ht="15" customHeight="1">
      <c r="C93" s="36" t="str">
        <f t="shared" ref="C93:K93" si="12">C14</f>
        <v xml:space="preserve">Fiscal year  </v>
      </c>
      <c r="D93" s="37">
        <f t="shared" si="12"/>
        <v>2016</v>
      </c>
      <c r="E93" s="37">
        <f t="shared" si="12"/>
        <v>2017</v>
      </c>
      <c r="F93" s="37">
        <f t="shared" si="12"/>
        <v>2018</v>
      </c>
      <c r="G93" s="65">
        <f t="shared" si="12"/>
        <v>2019</v>
      </c>
      <c r="H93" s="65">
        <f t="shared" si="12"/>
        <v>2020</v>
      </c>
      <c r="I93" s="65">
        <f t="shared" si="12"/>
        <v>2021</v>
      </c>
      <c r="J93" s="65">
        <f t="shared" si="12"/>
        <v>2022</v>
      </c>
      <c r="K93" s="65">
        <f t="shared" si="12"/>
        <v>2023</v>
      </c>
    </row>
    <row r="94" spans="3:13" ht="15" customHeight="1">
      <c r="C94" s="17" t="str">
        <f t="shared" ref="C94:K94" si="13">C15</f>
        <v>Fiscal year end date</v>
      </c>
      <c r="D94" s="38">
        <f t="shared" si="13"/>
        <v>42643</v>
      </c>
      <c r="E94" s="38">
        <f t="shared" si="13"/>
        <v>43008</v>
      </c>
      <c r="F94" s="38">
        <f t="shared" si="13"/>
        <v>43372</v>
      </c>
      <c r="G94" s="38">
        <f t="shared" si="13"/>
        <v>43738</v>
      </c>
      <c r="H94" s="38">
        <f t="shared" si="13"/>
        <v>44104</v>
      </c>
      <c r="I94" s="38">
        <f t="shared" si="13"/>
        <v>44469</v>
      </c>
      <c r="J94" s="38">
        <f t="shared" si="13"/>
        <v>44834</v>
      </c>
      <c r="K94" s="38">
        <f t="shared" si="13"/>
        <v>45199</v>
      </c>
    </row>
    <row r="95" spans="3:13" ht="15" customHeight="1">
      <c r="C95" s="27"/>
      <c r="G95" s="3" t="s">
        <v>113</v>
      </c>
      <c r="H95" s="3"/>
      <c r="I95" s="3"/>
      <c r="J95" s="3"/>
      <c r="K95" s="3"/>
    </row>
    <row r="96" spans="3:13" ht="15" customHeight="1">
      <c r="C96" s="30" t="s">
        <v>114</v>
      </c>
      <c r="G96" s="61">
        <f>F99</f>
        <v>41304</v>
      </c>
      <c r="H96" s="61">
        <f>G99</f>
        <v>45042.85982873883</v>
      </c>
      <c r="I96" s="61">
        <f>H99</f>
        <v>48611.181883872909</v>
      </c>
      <c r="J96" s="61">
        <f>I99</f>
        <v>51947.567835949827</v>
      </c>
      <c r="K96" s="61">
        <f>J99</f>
        <v>55218.714198720052</v>
      </c>
      <c r="M96" t="s">
        <v>115</v>
      </c>
    </row>
    <row r="97" spans="3:17" ht="15" customHeight="1">
      <c r="C97" s="29" t="s">
        <v>116</v>
      </c>
      <c r="D97" s="39">
        <v>12734</v>
      </c>
      <c r="E97" s="39">
        <v>12451</v>
      </c>
      <c r="F97" s="39">
        <v>13313</v>
      </c>
      <c r="G97" s="39">
        <v>13285</v>
      </c>
      <c r="H97" s="39">
        <v>13649</v>
      </c>
      <c r="I97" s="39">
        <v>13819</v>
      </c>
      <c r="J97" s="39">
        <f>I97*(1+J36)</f>
        <v>14772.510999999999</v>
      </c>
      <c r="K97" s="39">
        <f>J97*(1+K36)</f>
        <v>15791.814258999997</v>
      </c>
      <c r="M97" t="s">
        <v>117</v>
      </c>
    </row>
    <row r="98" spans="3:17" ht="15" customHeight="1">
      <c r="C98" s="67" t="s">
        <v>118</v>
      </c>
      <c r="D98" s="68">
        <v>-8300</v>
      </c>
      <c r="E98" s="68">
        <v>-8200</v>
      </c>
      <c r="F98" s="68">
        <v>-9300</v>
      </c>
      <c r="G98" s="69">
        <f>-(G101*G97)</f>
        <v>-9546.1401712611732</v>
      </c>
      <c r="H98" s="69">
        <f>-(H101*H97)</f>
        <v>-10080.677944865922</v>
      </c>
      <c r="I98" s="69">
        <f>-(I101*I97)</f>
        <v>-10482.614047923083</v>
      </c>
      <c r="J98" s="69">
        <f>-(J101*J97)</f>
        <v>-11501.364637229775</v>
      </c>
      <c r="K98" s="69">
        <f>-(K101*K97)</f>
        <v>-12610.795082378629</v>
      </c>
      <c r="M98" t="s">
        <v>119</v>
      </c>
    </row>
    <row r="99" spans="3:17" ht="15" customHeight="1">
      <c r="C99" s="70" t="s">
        <v>120</v>
      </c>
      <c r="D99" s="45"/>
      <c r="E99" s="45">
        <f>E49</f>
        <v>33783</v>
      </c>
      <c r="F99" s="45">
        <f>F49</f>
        <v>41304</v>
      </c>
      <c r="G99" s="66">
        <f>SUM(G96:G98)</f>
        <v>45042.85982873883</v>
      </c>
      <c r="H99" s="66">
        <f>SUM(H96:H98)</f>
        <v>48611.181883872909</v>
      </c>
      <c r="I99" s="66">
        <f>SUM(I96:I98)</f>
        <v>51947.567835949827</v>
      </c>
      <c r="J99" s="66">
        <f>SUM(J96:J98)</f>
        <v>55218.714198720052</v>
      </c>
      <c r="K99" s="66">
        <f>SUM(K96:K98)</f>
        <v>58399.73337534142</v>
      </c>
      <c r="M99" t="s">
        <v>121</v>
      </c>
    </row>
    <row r="100" spans="3:17" ht="15" customHeight="1">
      <c r="C100" s="30"/>
      <c r="M100" s="32" t="s">
        <v>122</v>
      </c>
    </row>
    <row r="101" spans="3:17" ht="15" customHeight="1">
      <c r="C101" s="30" t="s">
        <v>123</v>
      </c>
      <c r="D101" s="71">
        <f>-(D98/D97)</f>
        <v>0.65179833516569818</v>
      </c>
      <c r="E101" s="71">
        <f>-(E98/E97)</f>
        <v>0.6585816400289134</v>
      </c>
      <c r="F101" s="71">
        <f>-(F98/F97)</f>
        <v>0.69856531210095396</v>
      </c>
      <c r="G101" s="72">
        <f>F101+$M$101</f>
        <v>0.71856531210095398</v>
      </c>
      <c r="H101" s="72">
        <f>G101+$M$101</f>
        <v>0.738565312100954</v>
      </c>
      <c r="I101" s="72">
        <f>H101+$M$101</f>
        <v>0.75856531210095401</v>
      </c>
      <c r="J101" s="72">
        <f>I101+$M$101</f>
        <v>0.77856531210095403</v>
      </c>
      <c r="K101" s="72">
        <f>J101+$M$101</f>
        <v>0.79856531210095405</v>
      </c>
      <c r="M101" s="73">
        <v>0.02</v>
      </c>
    </row>
    <row r="102" spans="3:17" ht="15" customHeight="1">
      <c r="C102" s="30"/>
      <c r="D102" s="71"/>
      <c r="E102" s="71"/>
      <c r="F102" s="71"/>
      <c r="G102" s="63"/>
      <c r="H102" s="63"/>
      <c r="I102" s="63"/>
      <c r="J102" s="63"/>
      <c r="K102" s="63"/>
      <c r="O102" s="74"/>
      <c r="P102" s="74"/>
      <c r="Q102" s="74"/>
    </row>
    <row r="103" spans="3:17" ht="15" customHeight="1">
      <c r="C103" s="75" t="s">
        <v>124</v>
      </c>
      <c r="D103" s="76"/>
      <c r="E103" s="76"/>
      <c r="F103" s="76"/>
      <c r="G103" s="77"/>
      <c r="H103" s="77"/>
      <c r="I103" s="77"/>
      <c r="J103" s="77"/>
      <c r="K103" s="77"/>
      <c r="O103" s="74"/>
      <c r="P103" s="74"/>
      <c r="Q103" s="74"/>
    </row>
    <row r="104" spans="3:17" ht="15" customHeight="1">
      <c r="C104" s="30" t="s">
        <v>125</v>
      </c>
      <c r="D104" s="42">
        <f>D106+D98</f>
        <v>2205</v>
      </c>
      <c r="E104" s="42">
        <f>E106+E98</f>
        <v>1957</v>
      </c>
      <c r="F104" s="42">
        <f>F106+F98</f>
        <v>1603</v>
      </c>
      <c r="G104" s="58">
        <f>G105*G17</f>
        <v>1538.8799999999999</v>
      </c>
      <c r="H104" s="58">
        <f>H105*H17</f>
        <v>1631.2128</v>
      </c>
      <c r="I104" s="58">
        <f>I105*I17</f>
        <v>1743.7664832</v>
      </c>
      <c r="J104" s="58">
        <f>J105*J17</f>
        <v>1864.0863705407999</v>
      </c>
      <c r="K104" s="58">
        <f>K105*K17</f>
        <v>1992.708330108115</v>
      </c>
      <c r="M104" t="s">
        <v>126</v>
      </c>
      <c r="O104" s="74"/>
      <c r="P104" s="74"/>
      <c r="Q104" s="74"/>
    </row>
    <row r="105" spans="3:17" ht="15" customHeight="1">
      <c r="C105" s="29" t="s">
        <v>127</v>
      </c>
      <c r="D105" s="51">
        <f>D104/D17</f>
        <v>1.0225423044996499E-2</v>
      </c>
      <c r="E105" s="51">
        <f>E104/E17</f>
        <v>8.537128000209393E-3</v>
      </c>
      <c r="F105" s="51">
        <f>F104/F17</f>
        <v>6.0355051864681188E-3</v>
      </c>
      <c r="G105" s="72">
        <f>F105</f>
        <v>6.0355051864681188E-3</v>
      </c>
      <c r="H105" s="72">
        <f>G105</f>
        <v>6.0355051864681188E-3</v>
      </c>
      <c r="I105" s="72">
        <f>H105</f>
        <v>6.0355051864681188E-3</v>
      </c>
      <c r="J105" s="72">
        <f>I105</f>
        <v>6.0355051864681188E-3</v>
      </c>
      <c r="K105" s="72">
        <f>J105</f>
        <v>6.0355051864681188E-3</v>
      </c>
      <c r="M105" t="s">
        <v>128</v>
      </c>
      <c r="O105" s="74"/>
      <c r="P105" s="74"/>
      <c r="Q105" s="74"/>
    </row>
    <row r="106" spans="3:17" ht="15" customHeight="1">
      <c r="C106" s="31" t="s">
        <v>129</v>
      </c>
      <c r="D106" s="45">
        <f>D30</f>
        <v>10505</v>
      </c>
      <c r="E106" s="45">
        <f>E30</f>
        <v>10157</v>
      </c>
      <c r="F106" s="45">
        <f>F30</f>
        <v>10903</v>
      </c>
      <c r="G106" s="28">
        <f>G104-G98</f>
        <v>11085.020171261172</v>
      </c>
      <c r="H106" s="28">
        <f>H104-H98</f>
        <v>11711.890744865921</v>
      </c>
      <c r="I106" s="28">
        <f>I104-I98</f>
        <v>12226.380531123083</v>
      </c>
      <c r="J106" s="28">
        <f>J104-J98</f>
        <v>13365.451007770575</v>
      </c>
      <c r="K106" s="28">
        <f>K104-K98</f>
        <v>14603.503412486743</v>
      </c>
      <c r="M106" t="s">
        <v>130</v>
      </c>
      <c r="O106" s="74"/>
      <c r="P106" s="74"/>
      <c r="Q106" s="74"/>
    </row>
    <row r="107" spans="3:17" ht="15" customHeight="1">
      <c r="H107" s="42"/>
      <c r="I107" s="42"/>
      <c r="J107" s="42"/>
      <c r="K107" s="42"/>
    </row>
    <row r="108" spans="3:17" ht="15" customHeight="1">
      <c r="C108" s="78" t="s">
        <v>131</v>
      </c>
      <c r="D108" s="17"/>
      <c r="E108" s="17"/>
      <c r="F108" s="17"/>
      <c r="H108" s="42"/>
      <c r="I108" s="42"/>
      <c r="J108" s="42"/>
      <c r="K108" s="42"/>
    </row>
    <row r="109" spans="3:17" ht="15" customHeight="1">
      <c r="C109" s="30" t="s">
        <v>114</v>
      </c>
      <c r="D109" s="42"/>
      <c r="G109" s="79">
        <f>F112</f>
        <v>22283</v>
      </c>
      <c r="H109" s="79">
        <f>G112</f>
        <v>21391.68</v>
      </c>
      <c r="I109" s="79">
        <f>H112</f>
        <v>22675.180800000002</v>
      </c>
      <c r="J109" s="79">
        <f>I112</f>
        <v>24239.7682752</v>
      </c>
      <c r="K109" s="79">
        <f>J112</f>
        <v>25912.3122861888</v>
      </c>
      <c r="M109" t="s">
        <v>115</v>
      </c>
    </row>
    <row r="110" spans="3:17" ht="15" customHeight="1">
      <c r="C110" s="29" t="s">
        <v>176</v>
      </c>
      <c r="G110" s="42">
        <f>-G104</f>
        <v>-1538.8799999999999</v>
      </c>
      <c r="H110" s="42">
        <f>-H104</f>
        <v>-1631.2128</v>
      </c>
      <c r="I110" s="42">
        <f>-I104</f>
        <v>-1743.7664832</v>
      </c>
      <c r="J110" s="42">
        <f>-J104</f>
        <v>-1864.0863705407999</v>
      </c>
      <c r="K110" s="42">
        <f>-K104</f>
        <v>-1992.708330108115</v>
      </c>
      <c r="M110" t="s">
        <v>133</v>
      </c>
    </row>
    <row r="111" spans="3:17" ht="15" customHeight="1">
      <c r="C111" s="67" t="s">
        <v>134</v>
      </c>
      <c r="D111" s="80"/>
      <c r="E111" s="80"/>
      <c r="F111" s="80"/>
      <c r="G111" s="81">
        <f>G112-G110-G109</f>
        <v>647.56000000000131</v>
      </c>
      <c r="H111" s="81">
        <f>H112-H110-H109</f>
        <v>2914.7136000000028</v>
      </c>
      <c r="I111" s="81">
        <f>I112-I110-I109</f>
        <v>3308.3539583999991</v>
      </c>
      <c r="J111" s="81">
        <f>J112-J110-J109</f>
        <v>3536.6303815296014</v>
      </c>
      <c r="K111" s="81">
        <f>K112-K110-K109</f>
        <v>3780.6578778551411</v>
      </c>
      <c r="M111" t="s">
        <v>135</v>
      </c>
    </row>
    <row r="112" spans="3:17" ht="15" customHeight="1">
      <c r="C112" s="70" t="s">
        <v>120</v>
      </c>
      <c r="E112" s="45">
        <f t="shared" ref="E112:K112" si="14">E50</f>
        <v>18177</v>
      </c>
      <c r="F112" s="45">
        <f t="shared" si="14"/>
        <v>22283</v>
      </c>
      <c r="G112" s="45">
        <f t="shared" si="14"/>
        <v>21391.68</v>
      </c>
      <c r="H112" s="45">
        <f t="shared" si="14"/>
        <v>22675.180800000002</v>
      </c>
      <c r="I112" s="45">
        <f t="shared" si="14"/>
        <v>24239.7682752</v>
      </c>
      <c r="J112" s="45">
        <f t="shared" si="14"/>
        <v>25912.3122861888</v>
      </c>
      <c r="K112" s="45">
        <f t="shared" si="14"/>
        <v>27700.261833935827</v>
      </c>
      <c r="M112" t="s">
        <v>136</v>
      </c>
    </row>
    <row r="113" spans="3:13" ht="15" customHeight="1">
      <c r="C113" s="29"/>
      <c r="E113" s="42"/>
      <c r="F113" s="42"/>
      <c r="H113" s="42"/>
      <c r="I113" s="42"/>
      <c r="J113" s="42"/>
      <c r="K113" s="42"/>
    </row>
    <row r="114" spans="3:13" ht="15" customHeight="1">
      <c r="C114" s="82" t="s">
        <v>137</v>
      </c>
      <c r="D114" s="78"/>
      <c r="E114" s="78"/>
      <c r="F114" s="78"/>
      <c r="G114" s="17"/>
      <c r="H114" s="17"/>
      <c r="I114" s="17"/>
      <c r="J114" s="17"/>
      <c r="K114" s="17"/>
    </row>
    <row r="115" spans="3:13" ht="15" customHeight="1">
      <c r="C115" s="30" t="s">
        <v>114</v>
      </c>
      <c r="G115" s="61">
        <f>F119</f>
        <v>70400</v>
      </c>
      <c r="H115" s="61">
        <f>G119</f>
        <v>34640.271323199995</v>
      </c>
      <c r="I115" s="61">
        <f>H119</f>
        <v>3339.8331014399882</v>
      </c>
      <c r="J115" s="61">
        <f>I119</f>
        <v>-23794.90977680801</v>
      </c>
      <c r="K115" s="61">
        <f>J119</f>
        <v>-46788.084414655124</v>
      </c>
      <c r="M115" t="s">
        <v>115</v>
      </c>
    </row>
    <row r="116" spans="3:13" ht="15" customHeight="1">
      <c r="C116" s="29" t="s">
        <v>138</v>
      </c>
      <c r="D116" s="44">
        <f t="shared" ref="D116:K116" si="15">D28</f>
        <v>45687</v>
      </c>
      <c r="E116" s="44">
        <f t="shared" si="15"/>
        <v>48351</v>
      </c>
      <c r="F116" s="44">
        <f t="shared" si="15"/>
        <v>59531</v>
      </c>
      <c r="G116" s="61">
        <f t="shared" si="15"/>
        <v>51031.271323200002</v>
      </c>
      <c r="H116" s="61">
        <f t="shared" si="15"/>
        <v>55490.56177824</v>
      </c>
      <c r="I116" s="61">
        <f t="shared" si="15"/>
        <v>59656.257121752002</v>
      </c>
      <c r="J116" s="61">
        <f t="shared" si="15"/>
        <v>63797.825362152886</v>
      </c>
      <c r="K116" s="61">
        <f t="shared" si="15"/>
        <v>68225.161811141428</v>
      </c>
      <c r="M116" t="s">
        <v>139</v>
      </c>
    </row>
    <row r="117" spans="3:13" ht="15" customHeight="1">
      <c r="C117" s="29" t="s">
        <v>140</v>
      </c>
      <c r="D117" s="39">
        <v>-12188</v>
      </c>
      <c r="E117" s="39">
        <v>-12803</v>
      </c>
      <c r="F117" s="39">
        <v>-13735</v>
      </c>
      <c r="G117" s="61">
        <f t="shared" ref="G117:K118" si="16">F117</f>
        <v>-13735</v>
      </c>
      <c r="H117" s="61">
        <f t="shared" si="16"/>
        <v>-13735</v>
      </c>
      <c r="I117" s="61">
        <f t="shared" si="16"/>
        <v>-13735</v>
      </c>
      <c r="J117" s="61">
        <f t="shared" si="16"/>
        <v>-13735</v>
      </c>
      <c r="K117" s="61">
        <f t="shared" si="16"/>
        <v>-13735</v>
      </c>
      <c r="M117" t="s">
        <v>141</v>
      </c>
    </row>
    <row r="118" spans="3:13" ht="15" customHeight="1">
      <c r="C118" s="67" t="s">
        <v>142</v>
      </c>
      <c r="D118" s="68">
        <v>-29000</v>
      </c>
      <c r="E118" s="68">
        <v>-33001</v>
      </c>
      <c r="F118" s="68">
        <v>-73056</v>
      </c>
      <c r="G118" s="69">
        <f t="shared" si="16"/>
        <v>-73056</v>
      </c>
      <c r="H118" s="69">
        <f t="shared" si="16"/>
        <v>-73056</v>
      </c>
      <c r="I118" s="69">
        <f t="shared" si="16"/>
        <v>-73056</v>
      </c>
      <c r="J118" s="69">
        <f t="shared" si="16"/>
        <v>-73056</v>
      </c>
      <c r="K118" s="69">
        <f t="shared" si="16"/>
        <v>-73056</v>
      </c>
      <c r="M118" t="s">
        <v>143</v>
      </c>
    </row>
    <row r="119" spans="3:13" ht="15" customHeight="1">
      <c r="C119" s="70" t="s">
        <v>120</v>
      </c>
      <c r="D119" s="41">
        <f>D62</f>
        <v>0</v>
      </c>
      <c r="E119" s="41">
        <f>E62</f>
        <v>98330</v>
      </c>
      <c r="F119" s="41">
        <f>F62</f>
        <v>70400</v>
      </c>
      <c r="G119" s="66">
        <f>SUM(G115:G118)</f>
        <v>34640.271323199995</v>
      </c>
      <c r="H119" s="66">
        <f>SUM(H115:H118)</f>
        <v>3339.8331014399882</v>
      </c>
      <c r="I119" s="66">
        <f>SUM(I115:I118)</f>
        <v>-23794.90977680801</v>
      </c>
      <c r="J119" s="66">
        <f>SUM(J115:J118)</f>
        <v>-46788.084414655124</v>
      </c>
      <c r="K119" s="66">
        <f>SUM(K115:K118)</f>
        <v>-65353.922603513696</v>
      </c>
      <c r="M119" t="s">
        <v>144</v>
      </c>
    </row>
    <row r="120" spans="3:13" ht="15" customHeight="1">
      <c r="E120" s="40"/>
      <c r="F120" s="40"/>
    </row>
    <row r="121" spans="3:13" ht="15" customHeight="1">
      <c r="C121" s="29" t="s">
        <v>177</v>
      </c>
      <c r="D121" s="51">
        <f>-(D117/D116)</f>
        <v>0.26677172937597127</v>
      </c>
      <c r="E121" s="51">
        <f>-(E117/E116)</f>
        <v>0.2647928688134682</v>
      </c>
      <c r="F121" s="51">
        <f>-(F117/F116)</f>
        <v>0.23072012900841579</v>
      </c>
      <c r="G121" s="115">
        <f>F121</f>
        <v>0.23072012900841579</v>
      </c>
      <c r="H121" s="115">
        <f>G121</f>
        <v>0.23072012900841579</v>
      </c>
      <c r="I121" s="115">
        <f>H121</f>
        <v>0.23072012900841579</v>
      </c>
      <c r="J121" s="115">
        <f>I121</f>
        <v>0.23072012900841579</v>
      </c>
      <c r="K121" s="115">
        <f>J121</f>
        <v>0.23072012900841579</v>
      </c>
      <c r="M121" t="s">
        <v>178</v>
      </c>
    </row>
    <row r="122" spans="3:13" ht="15" customHeight="1">
      <c r="C122" s="29" t="s">
        <v>179</v>
      </c>
      <c r="D122" s="51">
        <f>-(D118/D116)</f>
        <v>0.63475386871538952</v>
      </c>
      <c r="E122" s="51">
        <f>-(E118/E116)</f>
        <v>0.68252983392277311</v>
      </c>
      <c r="F122" s="51">
        <f>-(F118/F116)</f>
        <v>1.2271925551393392</v>
      </c>
      <c r="G122" s="51">
        <f>F122-5%</f>
        <v>1.1771925551393392</v>
      </c>
      <c r="H122" s="51">
        <f>G122-5%</f>
        <v>1.1271925551393391</v>
      </c>
      <c r="I122" s="51">
        <f>H122-5%</f>
        <v>1.0771925551393391</v>
      </c>
      <c r="J122" s="51">
        <f>I122-5%</f>
        <v>1.027192555139339</v>
      </c>
      <c r="K122" s="51">
        <f>J122-5%</f>
        <v>0.977192555139339</v>
      </c>
      <c r="M122" t="s">
        <v>178</v>
      </c>
    </row>
  </sheetData>
  <mergeCells count="1">
    <mergeCell ref="G95:K95"/>
  </mergeCells>
  <conditionalFormatting sqref="C39">
    <cfRule type="expression" dxfId="23" priority="2">
      <formula>#REF!=$C39</formula>
    </cfRule>
  </conditionalFormatting>
  <dataValidations count="2">
    <dataValidation type="list" allowBlank="1" showInputMessage="1" showErrorMessage="1" sqref="C3" xr:uid="{00000000-0002-0000-0300-000000000000}">
      <formula1>"$ bns except per share,$ mm except per share,$ in thousands except per share"</formula1>
      <formula2>0</formula2>
    </dataValidation>
    <dataValidation type="list" allowBlank="1" showInputMessage="1" showErrorMessage="1" sqref="D7" xr:uid="{00000000-0002-0000-0300-000001000000}">
      <formula1>"0,1"</formula1>
      <formula2>0</formula2>
    </dataValidation>
  </dataValidations>
  <pageMargins left="0.7" right="0.7" top="0.75" bottom="0.75" header="0.511811023622047" footer="0.511811023622047"/>
  <pageSetup scale="23" orientation="portrait" horizontalDpi="300" verticalDpi="300"/>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C1:T156"/>
  <sheetViews>
    <sheetView topLeftCell="A133" zoomScaleNormal="100" workbookViewId="0">
      <selection activeCell="G137" sqref="G137"/>
    </sheetView>
  </sheetViews>
  <sheetFormatPr baseColWidth="10" defaultColWidth="8.83203125" defaultRowHeight="15"/>
  <cols>
    <col min="1" max="2" width="1.6640625" customWidth="1"/>
    <col min="3" max="3" width="42.6640625" customWidth="1"/>
    <col min="4" max="11" width="11.5" customWidth="1"/>
    <col min="12" max="12" width="2.33203125" customWidth="1"/>
    <col min="13" max="13" width="11.5" customWidth="1"/>
    <col min="14" max="14" width="11.83203125" customWidth="1"/>
    <col min="15" max="17" width="10.33203125" customWidth="1"/>
    <col min="18" max="19" width="9.5" customWidth="1"/>
  </cols>
  <sheetData>
    <row r="1" spans="3:19" ht="15.75" customHeight="1"/>
    <row r="2" spans="3:19" ht="15.75" customHeight="1">
      <c r="C2" s="4" t="str">
        <f>"Financial Statement Model for "&amp;D5</f>
        <v>Financial Statement Model for Apple</v>
      </c>
      <c r="D2" s="5"/>
      <c r="E2" s="5"/>
      <c r="F2" s="5"/>
      <c r="G2" s="5"/>
      <c r="H2" s="5"/>
      <c r="I2" s="5"/>
      <c r="J2" s="5"/>
      <c r="K2" s="5"/>
    </row>
    <row r="3" spans="3:19" ht="15" customHeight="1">
      <c r="C3" s="6" t="s">
        <v>0</v>
      </c>
      <c r="D3" s="7"/>
      <c r="E3" s="7"/>
      <c r="F3" s="7"/>
      <c r="G3" s="7"/>
      <c r="H3" s="7"/>
    </row>
    <row r="5" spans="3:19" ht="15" customHeight="1">
      <c r="C5" s="8" t="s">
        <v>1</v>
      </c>
      <c r="D5" s="9" t="s">
        <v>2</v>
      </c>
    </row>
    <row r="6" spans="3:19" ht="15" customHeight="1">
      <c r="C6" s="8" t="s">
        <v>3</v>
      </c>
      <c r="D6" s="9" t="s">
        <v>4</v>
      </c>
    </row>
    <row r="7" spans="3:19" ht="15" customHeight="1">
      <c r="C7" t="s">
        <v>180</v>
      </c>
      <c r="D7" s="10">
        <v>1</v>
      </c>
    </row>
    <row r="8" spans="3:19" ht="15" customHeight="1">
      <c r="C8" t="s">
        <v>6</v>
      </c>
      <c r="D8" s="11">
        <v>171.25</v>
      </c>
    </row>
    <row r="9" spans="3:19" ht="15" customHeight="1">
      <c r="C9" t="s">
        <v>7</v>
      </c>
      <c r="D9" s="12">
        <v>43500</v>
      </c>
    </row>
    <row r="10" spans="3:19" ht="15" customHeight="1">
      <c r="C10" s="8" t="s">
        <v>8</v>
      </c>
      <c r="D10" s="13">
        <v>43372</v>
      </c>
    </row>
    <row r="11" spans="3:19" ht="15" customHeight="1">
      <c r="C11" t="s">
        <v>9</v>
      </c>
      <c r="D11" s="54">
        <v>4745.3980000000001</v>
      </c>
    </row>
    <row r="13" spans="3:19" ht="15" customHeight="1">
      <c r="C13" s="16" t="s">
        <v>10</v>
      </c>
      <c r="D13" s="17"/>
      <c r="E13" s="17"/>
      <c r="F13" s="17"/>
      <c r="G13" s="17"/>
      <c r="H13" s="17"/>
      <c r="I13" s="17"/>
      <c r="J13" s="17"/>
      <c r="K13" s="17"/>
    </row>
    <row r="14" spans="3:19" ht="15" customHeight="1">
      <c r="C14" t="s">
        <v>11</v>
      </c>
      <c r="D14" s="18">
        <f>E14-1</f>
        <v>2016</v>
      </c>
      <c r="E14" s="18">
        <f>F14-1</f>
        <v>2017</v>
      </c>
      <c r="F14" s="18">
        <f>YEAR(D10)</f>
        <v>2018</v>
      </c>
      <c r="G14" s="55">
        <f>F14+1</f>
        <v>2019</v>
      </c>
      <c r="H14" s="55">
        <f>G14+1</f>
        <v>2020</v>
      </c>
      <c r="I14" s="55">
        <f>H14+1</f>
        <v>2021</v>
      </c>
      <c r="J14" s="55">
        <f>I14+1</f>
        <v>2022</v>
      </c>
      <c r="K14" s="55">
        <f>J14+1</f>
        <v>2023</v>
      </c>
    </row>
    <row r="15" spans="3:19" ht="15" customHeight="1">
      <c r="C15" s="19" t="s">
        <v>12</v>
      </c>
      <c r="D15" s="20">
        <f>EOMONTH(E15,-12)</f>
        <v>42643</v>
      </c>
      <c r="E15" s="20">
        <f>EOMONTH(F15,-12)</f>
        <v>43008</v>
      </c>
      <c r="F15" s="20">
        <f>D10</f>
        <v>43372</v>
      </c>
      <c r="G15" s="20">
        <f>EOMONTH(F15,12)</f>
        <v>43738</v>
      </c>
      <c r="H15" s="20">
        <f>EOMONTH(G15,12)</f>
        <v>44104</v>
      </c>
      <c r="I15" s="20">
        <f>EOMONTH(H15,12)</f>
        <v>44469</v>
      </c>
      <c r="J15" s="20">
        <f>EOMONTH(I15,12)</f>
        <v>44834</v>
      </c>
      <c r="K15" s="20">
        <f>EOMONTH(J15,12)</f>
        <v>45199</v>
      </c>
      <c r="M15" s="16" t="s">
        <v>66</v>
      </c>
      <c r="N15" s="17"/>
      <c r="O15" s="17"/>
      <c r="P15" s="17"/>
      <c r="Q15" s="17"/>
      <c r="R15" s="17"/>
      <c r="S15" s="17"/>
    </row>
    <row r="16" spans="3:19" ht="15" customHeight="1">
      <c r="C16" s="23"/>
      <c r="D16" s="24"/>
      <c r="E16" s="25"/>
      <c r="F16" s="25"/>
      <c r="G16" s="56"/>
      <c r="H16" s="57"/>
      <c r="I16" s="57"/>
      <c r="J16" s="25"/>
      <c r="K16" s="25"/>
    </row>
    <row r="17" spans="3:14" ht="15" customHeight="1">
      <c r="C17" t="s">
        <v>13</v>
      </c>
      <c r="D17" s="39">
        <v>215639</v>
      </c>
      <c r="E17" s="39">
        <v>229234</v>
      </c>
      <c r="F17" s="39">
        <v>265595</v>
      </c>
      <c r="G17" s="61">
        <f>F17*(1+G36)</f>
        <v>254971.19999999998</v>
      </c>
      <c r="H17" s="61">
        <f>G17*(1+H36)</f>
        <v>270269.47200000001</v>
      </c>
      <c r="I17" s="61">
        <f>H17*(1+I36)</f>
        <v>288918.06556800002</v>
      </c>
      <c r="J17" s="61">
        <f>I17*(1+J36)</f>
        <v>308853.41209219198</v>
      </c>
      <c r="K17" s="61">
        <f>J17*(1+K36)</f>
        <v>330164.29752655321</v>
      </c>
      <c r="M17" t="s">
        <v>67</v>
      </c>
    </row>
    <row r="18" spans="3:14" ht="15" customHeight="1">
      <c r="C18" t="s">
        <v>14</v>
      </c>
      <c r="D18" s="39">
        <v>-131376</v>
      </c>
      <c r="E18" s="39">
        <v>-141048</v>
      </c>
      <c r="F18" s="39">
        <v>-163756</v>
      </c>
      <c r="G18" s="61">
        <f>G19-G17</f>
        <v>-158592.08639999997</v>
      </c>
      <c r="H18" s="61">
        <f>H19-H17</f>
        <v>-167296.80316800001</v>
      </c>
      <c r="I18" s="61">
        <f>I19-I17</f>
        <v>-178551.36452102399</v>
      </c>
      <c r="J18" s="61">
        <f>J19-J17</f>
        <v>-190871.40867297465</v>
      </c>
      <c r="K18" s="61">
        <f>K19-K17</f>
        <v>-204041.53587140987</v>
      </c>
      <c r="M18" t="s">
        <v>68</v>
      </c>
    </row>
    <row r="19" spans="3:14" ht="15" customHeight="1">
      <c r="C19" s="27" t="s">
        <v>15</v>
      </c>
      <c r="D19" s="41">
        <f>SUM(D17:D18)</f>
        <v>84263</v>
      </c>
      <c r="E19" s="41">
        <f>SUM(E17:E18)</f>
        <v>88186</v>
      </c>
      <c r="F19" s="41">
        <f>SUM(F17:F18)</f>
        <v>101839</v>
      </c>
      <c r="G19" s="66">
        <f>G17*G37</f>
        <v>96379.113599999997</v>
      </c>
      <c r="H19" s="66">
        <f>H17*H37</f>
        <v>102972.66883200001</v>
      </c>
      <c r="I19" s="66">
        <f>I17*I37</f>
        <v>110366.70104697601</v>
      </c>
      <c r="J19" s="66">
        <f>J17*J37</f>
        <v>117982.00341921733</v>
      </c>
      <c r="K19" s="66">
        <f>K17*K37</f>
        <v>126122.76165514333</v>
      </c>
      <c r="M19" t="s">
        <v>69</v>
      </c>
    </row>
    <row r="20" spans="3:14" ht="15" customHeight="1">
      <c r="C20" t="s">
        <v>16</v>
      </c>
      <c r="D20" s="39">
        <v>-10045</v>
      </c>
      <c r="E20" s="39">
        <v>-11581</v>
      </c>
      <c r="F20" s="39">
        <v>-14236</v>
      </c>
      <c r="G20" s="61">
        <f>-G38*G17</f>
        <v>-15808.214399999999</v>
      </c>
      <c r="H20" s="61">
        <f>-H38*H17</f>
        <v>-17026.976736000001</v>
      </c>
      <c r="I20" s="61">
        <f>-I38*I17</f>
        <v>-18201.838130784003</v>
      </c>
      <c r="J20" s="61">
        <f>-J38*J17</f>
        <v>-19457.764961808094</v>
      </c>
      <c r="K20" s="61">
        <f>-K38*K17</f>
        <v>-20800.350744172854</v>
      </c>
      <c r="M20" t="s">
        <v>70</v>
      </c>
    </row>
    <row r="21" spans="3:14" ht="15" customHeight="1">
      <c r="C21" t="s">
        <v>17</v>
      </c>
      <c r="D21" s="39">
        <v>-14194</v>
      </c>
      <c r="E21" s="39">
        <v>-15261</v>
      </c>
      <c r="F21" s="39">
        <v>-16705</v>
      </c>
      <c r="G21" s="61">
        <f>-G17*G39</f>
        <v>-18867.868799999997</v>
      </c>
      <c r="H21" s="61">
        <f>-H17*H39</f>
        <v>-18648.593568000004</v>
      </c>
      <c r="I21" s="61">
        <f>-I17*I39</f>
        <v>-19935.346524192002</v>
      </c>
      <c r="J21" s="61">
        <f>-J17*J39</f>
        <v>-21310.885434361247</v>
      </c>
      <c r="K21" s="61">
        <f>-K17*K39</f>
        <v>-22781.336529332173</v>
      </c>
      <c r="M21" t="s">
        <v>71</v>
      </c>
    </row>
    <row r="22" spans="3:14" ht="15" customHeight="1">
      <c r="C22" s="27" t="s">
        <v>18</v>
      </c>
      <c r="D22" s="41">
        <f t="shared" ref="D22:K22" si="0">D19+D20+D21</f>
        <v>60024</v>
      </c>
      <c r="E22" s="41">
        <f t="shared" si="0"/>
        <v>61344</v>
      </c>
      <c r="F22" s="41">
        <f t="shared" si="0"/>
        <v>70898</v>
      </c>
      <c r="G22" s="66">
        <f t="shared" si="0"/>
        <v>61703.030400000003</v>
      </c>
      <c r="H22" s="66">
        <f t="shared" si="0"/>
        <v>67297.098528000002</v>
      </c>
      <c r="I22" s="66">
        <f t="shared" si="0"/>
        <v>72229.516392000005</v>
      </c>
      <c r="J22" s="66">
        <f t="shared" si="0"/>
        <v>77213.353023047996</v>
      </c>
      <c r="K22" s="66">
        <f t="shared" si="0"/>
        <v>82541.074381638304</v>
      </c>
      <c r="M22" s="27" t="s">
        <v>72</v>
      </c>
    </row>
    <row r="23" spans="3:14" ht="15" customHeight="1">
      <c r="C23" t="s">
        <v>19</v>
      </c>
      <c r="D23" s="39">
        <v>3999</v>
      </c>
      <c r="E23" s="39">
        <v>5201</v>
      </c>
      <c r="F23" s="39">
        <v>5686</v>
      </c>
      <c r="G23" s="60">
        <f ca="1">G156</f>
        <v>4744.4371106301642</v>
      </c>
      <c r="H23" s="60">
        <f ca="1">H156</f>
        <v>4090.2133392642463</v>
      </c>
      <c r="I23" s="60">
        <f ca="1">I156</f>
        <v>3592.0870665129901</v>
      </c>
      <c r="J23" s="60">
        <f ca="1">J156</f>
        <v>3200.5876330043361</v>
      </c>
      <c r="K23" s="60">
        <f ca="1">K156</f>
        <v>2913.259316698618</v>
      </c>
      <c r="M23" t="s">
        <v>73</v>
      </c>
    </row>
    <row r="24" spans="3:14" ht="15" customHeight="1">
      <c r="C24" t="s">
        <v>20</v>
      </c>
      <c r="D24" s="39">
        <v>-1456</v>
      </c>
      <c r="E24" s="39">
        <v>-2323</v>
      </c>
      <c r="F24" s="39">
        <v>-3240</v>
      </c>
      <c r="G24" s="60">
        <f ca="1">-G142</f>
        <v>-3223.1468651501777</v>
      </c>
      <c r="H24" s="60">
        <f ca="1">-H142</f>
        <v>-3223.5392651501775</v>
      </c>
      <c r="I24" s="60">
        <f ca="1">-I142</f>
        <v>-3223.5392651501775</v>
      </c>
      <c r="J24" s="60">
        <f ca="1">-J142</f>
        <v>-3223.5392651501775</v>
      </c>
      <c r="K24" s="60">
        <f ca="1">-K142</f>
        <v>-3223.5392651501775</v>
      </c>
      <c r="M24" t="s">
        <v>74</v>
      </c>
    </row>
    <row r="25" spans="3:14" ht="15" customHeight="1">
      <c r="C25" t="s">
        <v>21</v>
      </c>
      <c r="D25" s="39">
        <v>-1195</v>
      </c>
      <c r="E25" s="39">
        <v>-133</v>
      </c>
      <c r="F25" s="39">
        <v>-441</v>
      </c>
      <c r="G25" s="61">
        <f>F25</f>
        <v>-441</v>
      </c>
      <c r="H25" s="61">
        <f>G25</f>
        <v>-441</v>
      </c>
      <c r="I25" s="61">
        <f>H25</f>
        <v>-441</v>
      </c>
      <c r="J25" s="61">
        <f>I25</f>
        <v>-441</v>
      </c>
      <c r="K25" s="61">
        <f>J25</f>
        <v>-441</v>
      </c>
      <c r="M25" t="s">
        <v>75</v>
      </c>
    </row>
    <row r="26" spans="3:14" ht="15" customHeight="1">
      <c r="C26" s="27" t="s">
        <v>22</v>
      </c>
      <c r="D26" s="41">
        <f t="shared" ref="D26:K26" si="1">SUM(D22:D25)</f>
        <v>61372</v>
      </c>
      <c r="E26" s="41">
        <f t="shared" si="1"/>
        <v>64089</v>
      </c>
      <c r="F26" s="41">
        <f t="shared" si="1"/>
        <v>72903</v>
      </c>
      <c r="G26" s="66">
        <f t="shared" ca="1" si="1"/>
        <v>62783.320645479995</v>
      </c>
      <c r="H26" s="66">
        <f t="shared" ca="1" si="1"/>
        <v>67722.77260211407</v>
      </c>
      <c r="I26" s="66">
        <f t="shared" ca="1" si="1"/>
        <v>72157.064193362821</v>
      </c>
      <c r="J26" s="66">
        <f t="shared" ca="1" si="1"/>
        <v>76749.40139090216</v>
      </c>
      <c r="K26" s="66">
        <f t="shared" ca="1" si="1"/>
        <v>81789.794433186747</v>
      </c>
      <c r="M26" s="27" t="s">
        <v>76</v>
      </c>
      <c r="N26" s="27"/>
    </row>
    <row r="27" spans="3:14" ht="15" customHeight="1">
      <c r="C27" t="s">
        <v>23</v>
      </c>
      <c r="D27" s="39">
        <v>-15685</v>
      </c>
      <c r="E27" s="39">
        <v>-15738</v>
      </c>
      <c r="F27" s="39">
        <v>-13372</v>
      </c>
      <c r="G27" s="61">
        <f ca="1">-G40*G26</f>
        <v>-10484.81454779516</v>
      </c>
      <c r="H27" s="61">
        <f ca="1">-H40*H26</f>
        <v>-11512.871342359393</v>
      </c>
      <c r="I27" s="61">
        <f ca="1">-I40*I26</f>
        <v>-12194.543848678317</v>
      </c>
      <c r="J27" s="61">
        <f ca="1">-J40*J26</f>
        <v>-12970.648835062466</v>
      </c>
      <c r="K27" s="61">
        <f ca="1">-K40*K26</f>
        <v>-13822.475259208561</v>
      </c>
      <c r="M27" t="s">
        <v>77</v>
      </c>
    </row>
    <row r="28" spans="3:14" ht="15" customHeight="1">
      <c r="C28" s="27" t="s">
        <v>24</v>
      </c>
      <c r="D28" s="41">
        <f t="shared" ref="D28:K28" si="2">SUM(D26:D27)</f>
        <v>45687</v>
      </c>
      <c r="E28" s="41">
        <f t="shared" si="2"/>
        <v>48351</v>
      </c>
      <c r="F28" s="41">
        <f t="shared" si="2"/>
        <v>59531</v>
      </c>
      <c r="G28" s="66">
        <f t="shared" ca="1" si="2"/>
        <v>52298.506097684833</v>
      </c>
      <c r="H28" s="66">
        <f t="shared" ca="1" si="2"/>
        <v>56209.901259754675</v>
      </c>
      <c r="I28" s="66">
        <f t="shared" ca="1" si="2"/>
        <v>59962.520344684504</v>
      </c>
      <c r="J28" s="66">
        <f t="shared" ca="1" si="2"/>
        <v>63778.752555839696</v>
      </c>
      <c r="K28" s="66">
        <f t="shared" ca="1" si="2"/>
        <v>67967.319173978191</v>
      </c>
      <c r="M28" s="27" t="s">
        <v>78</v>
      </c>
    </row>
    <row r="29" spans="3:14" ht="15" customHeight="1">
      <c r="C29" s="29"/>
      <c r="D29" s="42"/>
      <c r="E29" s="42"/>
      <c r="F29" s="42"/>
      <c r="G29" s="42"/>
      <c r="H29" s="42"/>
      <c r="I29" s="42"/>
      <c r="J29" s="42"/>
      <c r="K29" s="42"/>
    </row>
    <row r="30" spans="3:14" ht="15" customHeight="1">
      <c r="C30" s="30" t="s">
        <v>25</v>
      </c>
      <c r="D30" s="39">
        <v>10505</v>
      </c>
      <c r="E30" s="39">
        <v>10157</v>
      </c>
      <c r="F30" s="39">
        <v>10903</v>
      </c>
      <c r="G30" s="60">
        <f>G106</f>
        <v>11085.020171261172</v>
      </c>
      <c r="H30" s="60">
        <f>H106</f>
        <v>11711.890744865921</v>
      </c>
      <c r="I30" s="60">
        <f>I106</f>
        <v>12226.380531123083</v>
      </c>
      <c r="J30" s="60">
        <f>J106</f>
        <v>13365.451007770575</v>
      </c>
      <c r="K30" s="60">
        <f>K106</f>
        <v>14603.503412486743</v>
      </c>
      <c r="M30" t="s">
        <v>79</v>
      </c>
    </row>
    <row r="31" spans="3:14" ht="15" customHeight="1">
      <c r="C31" s="31" t="s">
        <v>26</v>
      </c>
      <c r="D31" s="41">
        <f t="shared" ref="D31:K31" si="3">D22+D30</f>
        <v>70529</v>
      </c>
      <c r="E31" s="41">
        <f t="shared" si="3"/>
        <v>71501</v>
      </c>
      <c r="F31" s="41">
        <f t="shared" si="3"/>
        <v>81801</v>
      </c>
      <c r="G31" s="66">
        <f t="shared" si="3"/>
        <v>72788.050571261178</v>
      </c>
      <c r="H31" s="66">
        <f t="shared" si="3"/>
        <v>79008.989272865918</v>
      </c>
      <c r="I31" s="66">
        <f t="shared" si="3"/>
        <v>84455.896923123088</v>
      </c>
      <c r="J31" s="66">
        <f t="shared" si="3"/>
        <v>90578.804030818574</v>
      </c>
      <c r="K31" s="66">
        <f t="shared" si="3"/>
        <v>97144.577794125042</v>
      </c>
      <c r="M31" s="27" t="s">
        <v>80</v>
      </c>
    </row>
    <row r="32" spans="3:14" ht="15" customHeight="1">
      <c r="C32" s="30" t="s">
        <v>27</v>
      </c>
      <c r="D32" s="39">
        <v>4210</v>
      </c>
      <c r="E32" s="39">
        <v>4840</v>
      </c>
      <c r="F32" s="39">
        <v>5340</v>
      </c>
      <c r="G32" s="61">
        <f>F32*(1+G36)</f>
        <v>5126.3999999999996</v>
      </c>
      <c r="H32" s="61">
        <f>G32*(1+H36)</f>
        <v>5433.9839999999995</v>
      </c>
      <c r="I32" s="61">
        <f>H32*(1+I36)</f>
        <v>5808.9288959999994</v>
      </c>
      <c r="J32" s="61">
        <f>I32*(1+J36)</f>
        <v>6209.7449898239993</v>
      </c>
      <c r="K32" s="61">
        <f>J32*(1+K36)</f>
        <v>6638.2173941218552</v>
      </c>
      <c r="M32" t="s">
        <v>81</v>
      </c>
    </row>
    <row r="33" spans="3:20" ht="15" customHeight="1">
      <c r="C33" s="31" t="s">
        <v>28</v>
      </c>
      <c r="D33" s="41">
        <f t="shared" ref="D33:K33" si="4">SUM(D31:D32)</f>
        <v>74739</v>
      </c>
      <c r="E33" s="41">
        <f t="shared" si="4"/>
        <v>76341</v>
      </c>
      <c r="F33" s="41">
        <f t="shared" si="4"/>
        <v>87141</v>
      </c>
      <c r="G33" s="66">
        <f t="shared" si="4"/>
        <v>77914.450571261172</v>
      </c>
      <c r="H33" s="66">
        <f t="shared" si="4"/>
        <v>84442.973272865915</v>
      </c>
      <c r="I33" s="66">
        <f t="shared" si="4"/>
        <v>90264.825819123085</v>
      </c>
      <c r="J33" s="66">
        <f t="shared" si="4"/>
        <v>96788.549020642575</v>
      </c>
      <c r="K33" s="66">
        <f t="shared" si="4"/>
        <v>103782.79518824689</v>
      </c>
      <c r="M33" s="27" t="s">
        <v>82</v>
      </c>
    </row>
    <row r="34" spans="3:20" ht="15" customHeight="1">
      <c r="C34" s="29"/>
      <c r="G34" s="62"/>
    </row>
    <row r="35" spans="3:20" ht="15" customHeight="1">
      <c r="C35" s="32" t="s">
        <v>83</v>
      </c>
    </row>
    <row r="36" spans="3:20" ht="15" customHeight="1">
      <c r="C36" s="29" t="s">
        <v>30</v>
      </c>
      <c r="D36" s="63"/>
      <c r="E36" s="63">
        <f>E17/D17-1</f>
        <v>6.304518199398057E-2</v>
      </c>
      <c r="F36" s="63">
        <f>F17/E17-1</f>
        <v>0.15861957650261305</v>
      </c>
      <c r="G36" s="35">
        <v>-0.04</v>
      </c>
      <c r="H36" s="35">
        <v>0.06</v>
      </c>
      <c r="I36" s="35">
        <v>6.9000000000000006E-2</v>
      </c>
      <c r="J36" s="63">
        <f t="shared" ref="J36:K40" si="5">I36</f>
        <v>6.9000000000000006E-2</v>
      </c>
      <c r="K36" s="63">
        <f t="shared" si="5"/>
        <v>6.9000000000000006E-2</v>
      </c>
      <c r="M36" t="s">
        <v>84</v>
      </c>
      <c r="O36" s="35"/>
      <c r="P36" s="35"/>
      <c r="Q36" s="35"/>
      <c r="R36" s="35"/>
      <c r="S36" s="35"/>
      <c r="T36" s="35"/>
    </row>
    <row r="37" spans="3:20" ht="15" customHeight="1">
      <c r="C37" s="29" t="s">
        <v>31</v>
      </c>
      <c r="D37" s="63">
        <f>D19/D17</f>
        <v>0.39075955648097049</v>
      </c>
      <c r="E37" s="63">
        <f>E19/E17</f>
        <v>0.38469860491899105</v>
      </c>
      <c r="F37" s="63">
        <f>F19/F17</f>
        <v>0.38343718820007905</v>
      </c>
      <c r="G37" s="35">
        <v>0.378</v>
      </c>
      <c r="H37" s="35">
        <v>0.38100000000000001</v>
      </c>
      <c r="I37" s="35">
        <v>0.38200000000000001</v>
      </c>
      <c r="J37" s="63">
        <f t="shared" si="5"/>
        <v>0.38200000000000001</v>
      </c>
      <c r="K37" s="63">
        <f t="shared" si="5"/>
        <v>0.38200000000000001</v>
      </c>
      <c r="M37" t="s">
        <v>85</v>
      </c>
      <c r="O37" s="35"/>
      <c r="P37" s="35"/>
      <c r="Q37" s="35"/>
      <c r="R37" s="35"/>
      <c r="S37" s="35"/>
      <c r="T37" s="35"/>
    </row>
    <row r="38" spans="3:20" ht="15" customHeight="1">
      <c r="C38" s="29" t="s">
        <v>32</v>
      </c>
      <c r="D38" s="63">
        <f>-D20/D17</f>
        <v>4.6582482760539605E-2</v>
      </c>
      <c r="E38" s="63">
        <f>-E20/E17</f>
        <v>5.0520428906706681E-2</v>
      </c>
      <c r="F38" s="63">
        <f>-F20/F17</f>
        <v>5.3600406634161032E-2</v>
      </c>
      <c r="G38" s="35">
        <v>6.2E-2</v>
      </c>
      <c r="H38" s="35">
        <v>6.3E-2</v>
      </c>
      <c r="I38" s="35">
        <v>6.3E-2</v>
      </c>
      <c r="J38" s="63">
        <f t="shared" si="5"/>
        <v>6.3E-2</v>
      </c>
      <c r="K38" s="63">
        <f t="shared" si="5"/>
        <v>6.3E-2</v>
      </c>
      <c r="M38" t="s">
        <v>86</v>
      </c>
      <c r="O38" s="35"/>
      <c r="P38" s="35"/>
      <c r="Q38" s="35"/>
      <c r="R38" s="35"/>
      <c r="S38" s="35"/>
      <c r="T38" s="35"/>
    </row>
    <row r="39" spans="3:20" ht="15" customHeight="1">
      <c r="C39" s="29" t="s">
        <v>33</v>
      </c>
      <c r="D39" s="63">
        <f>-D21/D17</f>
        <v>6.5822972653369755E-2</v>
      </c>
      <c r="E39" s="63">
        <f>-E21/E17</f>
        <v>6.6573893924984945E-2</v>
      </c>
      <c r="F39" s="63">
        <f>-F21/F17</f>
        <v>6.2896515371147807E-2</v>
      </c>
      <c r="G39" s="35">
        <v>7.3999999999999996E-2</v>
      </c>
      <c r="H39" s="35">
        <v>6.9000000000000006E-2</v>
      </c>
      <c r="I39" s="35">
        <v>6.9000000000000006E-2</v>
      </c>
      <c r="J39" s="63">
        <f t="shared" si="5"/>
        <v>6.9000000000000006E-2</v>
      </c>
      <c r="K39" s="63">
        <f t="shared" si="5"/>
        <v>6.9000000000000006E-2</v>
      </c>
      <c r="M39" t="s">
        <v>86</v>
      </c>
      <c r="O39" s="35"/>
      <c r="P39" s="35"/>
      <c r="Q39" s="35"/>
      <c r="R39" s="35"/>
      <c r="S39" s="35"/>
      <c r="T39" s="35"/>
    </row>
    <row r="40" spans="3:20" ht="15" customHeight="1">
      <c r="C40" s="29" t="s">
        <v>34</v>
      </c>
      <c r="D40" s="63">
        <f>-(D27/D26)</f>
        <v>0.25557257381216192</v>
      </c>
      <c r="E40" s="63">
        <f>-(E27/E26)</f>
        <v>0.24556476150353415</v>
      </c>
      <c r="F40" s="63">
        <f>-(F27/F26)</f>
        <v>0.18342180705869443</v>
      </c>
      <c r="G40" s="35">
        <v>0.16700000000000001</v>
      </c>
      <c r="H40" s="35">
        <v>0.17</v>
      </c>
      <c r="I40" s="35">
        <v>0.16900000000000001</v>
      </c>
      <c r="J40" s="63">
        <f t="shared" si="5"/>
        <v>0.16900000000000001</v>
      </c>
      <c r="K40" s="63">
        <f t="shared" si="5"/>
        <v>0.16900000000000001</v>
      </c>
      <c r="M40" t="s">
        <v>86</v>
      </c>
      <c r="O40" s="35"/>
      <c r="P40" s="35"/>
      <c r="Q40" s="35"/>
      <c r="R40" s="35"/>
      <c r="S40" s="35"/>
      <c r="T40" s="35"/>
    </row>
    <row r="41" spans="3:20" ht="15" customHeight="1">
      <c r="C41" s="29"/>
      <c r="G41" s="62"/>
    </row>
    <row r="42" spans="3:20" ht="15" customHeight="1">
      <c r="C42" s="16" t="s">
        <v>35</v>
      </c>
      <c r="D42" s="20"/>
      <c r="E42" s="20"/>
      <c r="F42" s="20"/>
      <c r="G42" s="17"/>
      <c r="H42" s="17"/>
      <c r="I42" s="17"/>
      <c r="J42" s="17"/>
      <c r="K42" s="17"/>
    </row>
    <row r="43" spans="3:20" ht="15" customHeight="1">
      <c r="C43" s="36" t="str">
        <f>C14</f>
        <v xml:space="preserve">Fiscal year  </v>
      </c>
      <c r="D43" s="37"/>
      <c r="E43" s="37">
        <f t="shared" ref="E43:K44" si="6">E14</f>
        <v>2017</v>
      </c>
      <c r="F43" s="37">
        <f t="shared" si="6"/>
        <v>2018</v>
      </c>
      <c r="G43" s="65">
        <f t="shared" si="6"/>
        <v>2019</v>
      </c>
      <c r="H43" s="65">
        <f t="shared" si="6"/>
        <v>2020</v>
      </c>
      <c r="I43" s="65">
        <f t="shared" si="6"/>
        <v>2021</v>
      </c>
      <c r="J43" s="65">
        <f t="shared" si="6"/>
        <v>2022</v>
      </c>
      <c r="K43" s="65">
        <f t="shared" si="6"/>
        <v>2023</v>
      </c>
    </row>
    <row r="44" spans="3:20" ht="15" customHeight="1">
      <c r="C44" s="17" t="str">
        <f>C15</f>
        <v>Fiscal year end date</v>
      </c>
      <c r="D44" s="38"/>
      <c r="E44" s="38">
        <f t="shared" si="6"/>
        <v>43008</v>
      </c>
      <c r="F44" s="38">
        <f t="shared" si="6"/>
        <v>43372</v>
      </c>
      <c r="G44" s="38">
        <f t="shared" si="6"/>
        <v>43738</v>
      </c>
      <c r="H44" s="38">
        <f t="shared" si="6"/>
        <v>44104</v>
      </c>
      <c r="I44" s="38">
        <f t="shared" si="6"/>
        <v>44469</v>
      </c>
      <c r="J44" s="38">
        <f t="shared" si="6"/>
        <v>44834</v>
      </c>
      <c r="K44" s="38">
        <f t="shared" si="6"/>
        <v>45199</v>
      </c>
    </row>
    <row r="45" spans="3:20" ht="15" customHeight="1">
      <c r="C45" t="s">
        <v>38</v>
      </c>
      <c r="D45" s="39"/>
      <c r="E45" s="39">
        <f>20289+53892+194714</f>
        <v>268895</v>
      </c>
      <c r="F45" s="39">
        <f>25913+40388+170799</f>
        <v>237100</v>
      </c>
      <c r="G45" s="61">
        <f ca="1">G90+F45</f>
        <v>202199.73246575586</v>
      </c>
      <c r="H45" s="61">
        <f ca="1">H90+G45</f>
        <v>176523.72487352614</v>
      </c>
      <c r="I45" s="61">
        <f ca="1">I90+H45</f>
        <v>156076.92943323214</v>
      </c>
      <c r="J45" s="61">
        <f ca="1">J90+I45</f>
        <v>140273.77732642859</v>
      </c>
      <c r="K45" s="61">
        <f ca="1">K90+J45</f>
        <v>129472.4557012212</v>
      </c>
      <c r="M45" t="s">
        <v>87</v>
      </c>
    </row>
    <row r="46" spans="3:20" ht="15" customHeight="1">
      <c r="C46" t="s">
        <v>39</v>
      </c>
      <c r="D46" s="39"/>
      <c r="E46" s="39">
        <v>17874</v>
      </c>
      <c r="F46" s="39">
        <v>23186</v>
      </c>
      <c r="G46" s="61">
        <f>F46*(1+G36)</f>
        <v>22258.559999999998</v>
      </c>
      <c r="H46" s="61">
        <f>G46*(1+H36)</f>
        <v>23594.0736</v>
      </c>
      <c r="I46" s="61">
        <f>H46*(1+I36)</f>
        <v>25222.064678399998</v>
      </c>
      <c r="J46" s="61">
        <f>I46*(1+J36)</f>
        <v>26962.387141209598</v>
      </c>
      <c r="K46" s="61">
        <f>J46*(1+K36)</f>
        <v>28822.791853953058</v>
      </c>
      <c r="M46" t="s">
        <v>88</v>
      </c>
    </row>
    <row r="47" spans="3:20" ht="15" customHeight="1">
      <c r="C47" t="s">
        <v>40</v>
      </c>
      <c r="D47" s="39"/>
      <c r="E47" s="39">
        <v>4855</v>
      </c>
      <c r="F47" s="39">
        <v>3956</v>
      </c>
      <c r="G47" s="61">
        <f>F47*G18/F18</f>
        <v>3831.2507254598299</v>
      </c>
      <c r="H47" s="61">
        <f>G47*H18/G18</f>
        <v>4041.5383456643303</v>
      </c>
      <c r="I47" s="61">
        <f>H47*I18/H18</f>
        <v>4313.4248396710409</v>
      </c>
      <c r="J47" s="61">
        <f>I47*J18/I18</f>
        <v>4611.0511536083422</v>
      </c>
      <c r="K47" s="61">
        <f>J47*K18/J18</f>
        <v>4929.2136832073174</v>
      </c>
      <c r="M47" t="s">
        <v>89</v>
      </c>
    </row>
    <row r="48" spans="3:20" ht="15" customHeight="1">
      <c r="C48" t="s">
        <v>41</v>
      </c>
      <c r="D48" s="39"/>
      <c r="E48" s="39">
        <f>17799+13936</f>
        <v>31735</v>
      </c>
      <c r="F48" s="39">
        <f>25809+12087</f>
        <v>37896</v>
      </c>
      <c r="G48" s="61">
        <f>F48*(1+G36)</f>
        <v>36380.159999999996</v>
      </c>
      <c r="H48" s="61">
        <f>G48*(1+H36)</f>
        <v>38562.969599999997</v>
      </c>
      <c r="I48" s="61">
        <f>H48*(1+I36)</f>
        <v>41223.814502399997</v>
      </c>
      <c r="J48" s="61">
        <f>I48*(1+J36)</f>
        <v>44068.257703065596</v>
      </c>
      <c r="K48" s="61">
        <f>J48*(1+K36)</f>
        <v>47108.967484577122</v>
      </c>
      <c r="M48" t="s">
        <v>88</v>
      </c>
    </row>
    <row r="49" spans="3:13" ht="15" customHeight="1">
      <c r="C49" t="s">
        <v>42</v>
      </c>
      <c r="D49" s="39"/>
      <c r="E49" s="39">
        <v>33783</v>
      </c>
      <c r="F49" s="39">
        <v>41304</v>
      </c>
      <c r="G49" s="60">
        <f>G99</f>
        <v>45042.85982873883</v>
      </c>
      <c r="H49" s="60">
        <f>H99</f>
        <v>48611.181883872909</v>
      </c>
      <c r="I49" s="60">
        <f>I99</f>
        <v>51947.567835949827</v>
      </c>
      <c r="J49" s="60">
        <f>J99</f>
        <v>55218.714198720052</v>
      </c>
      <c r="K49" s="60">
        <f>K99</f>
        <v>58399.73337534142</v>
      </c>
      <c r="M49" t="s">
        <v>90</v>
      </c>
    </row>
    <row r="50" spans="3:13" ht="15" customHeight="1">
      <c r="C50" t="s">
        <v>43</v>
      </c>
      <c r="D50" s="39"/>
      <c r="E50" s="39">
        <v>18177</v>
      </c>
      <c r="F50" s="39">
        <v>22283</v>
      </c>
      <c r="G50" s="61">
        <f>F50*(1+G36)</f>
        <v>21391.68</v>
      </c>
      <c r="H50" s="61">
        <f>G50*(1+H36)</f>
        <v>22675.180800000002</v>
      </c>
      <c r="I50" s="61">
        <f>H50*(1+I36)</f>
        <v>24239.7682752</v>
      </c>
      <c r="J50" s="61">
        <f>I50*(1+J36)</f>
        <v>25912.3122861888</v>
      </c>
      <c r="K50" s="61">
        <f>J50*(1+K36)</f>
        <v>27700.261833935827</v>
      </c>
      <c r="M50" t="s">
        <v>88</v>
      </c>
    </row>
    <row r="51" spans="3:13" ht="15" customHeight="1">
      <c r="C51" s="31" t="s">
        <v>44</v>
      </c>
      <c r="D51" s="41"/>
      <c r="E51" s="41">
        <f t="shared" ref="E51:K51" si="7">SUM(E45:E50)</f>
        <v>375319</v>
      </c>
      <c r="F51" s="41">
        <f t="shared" si="7"/>
        <v>365725</v>
      </c>
      <c r="G51" s="66">
        <f t="shared" ca="1" si="7"/>
        <v>331104.24301995453</v>
      </c>
      <c r="H51" s="66">
        <f t="shared" ca="1" si="7"/>
        <v>314008.66910306341</v>
      </c>
      <c r="I51" s="66">
        <f t="shared" ca="1" si="7"/>
        <v>303023.56956485298</v>
      </c>
      <c r="J51" s="66">
        <f t="shared" ca="1" si="7"/>
        <v>297046.49980922102</v>
      </c>
      <c r="K51" s="66">
        <f t="shared" ca="1" si="7"/>
        <v>296433.42393223592</v>
      </c>
    </row>
    <row r="52" spans="3:13" ht="15" customHeight="1">
      <c r="C52" s="30"/>
      <c r="D52" s="42"/>
      <c r="E52" s="42"/>
      <c r="F52" s="42"/>
      <c r="G52" s="42"/>
      <c r="H52" s="42"/>
      <c r="I52" s="42"/>
      <c r="J52" s="42"/>
      <c r="K52" s="42"/>
    </row>
    <row r="53" spans="3:13" ht="15" customHeight="1">
      <c r="C53" s="30" t="s">
        <v>45</v>
      </c>
      <c r="D53" s="39"/>
      <c r="E53" s="39">
        <v>44242</v>
      </c>
      <c r="F53" s="39">
        <v>55888</v>
      </c>
      <c r="G53" s="61">
        <f>F53*G18/F18</f>
        <v>54125.616922269706</v>
      </c>
      <c r="H53" s="61">
        <f>G53*H18/G18</f>
        <v>57096.434545623881</v>
      </c>
      <c r="I53" s="61">
        <f>H53*I18/H18</f>
        <v>60937.484185928995</v>
      </c>
      <c r="J53" s="61">
        <f>I53*J18/I18</f>
        <v>65142.170594758099</v>
      </c>
      <c r="K53" s="61">
        <f>J53*K18/J18</f>
        <v>69636.980365796408</v>
      </c>
      <c r="M53" t="s">
        <v>89</v>
      </c>
    </row>
    <row r="54" spans="3:13" ht="15" customHeight="1">
      <c r="C54" s="30" t="s">
        <v>46</v>
      </c>
      <c r="D54" s="39"/>
      <c r="E54" s="39">
        <v>30551</v>
      </c>
      <c r="F54" s="39">
        <v>32687</v>
      </c>
      <c r="G54" s="61">
        <f>F54*(1+G36)</f>
        <v>31379.52</v>
      </c>
      <c r="H54" s="61">
        <f>G54*(1+H36)</f>
        <v>33262.2912</v>
      </c>
      <c r="I54" s="61">
        <f>H54*(1+I36)</f>
        <v>35557.389292799999</v>
      </c>
      <c r="J54" s="61">
        <f>I54*(1+J36)</f>
        <v>38010.849154003197</v>
      </c>
      <c r="K54" s="61">
        <f>J54*(1+K36)</f>
        <v>40633.597745629413</v>
      </c>
      <c r="M54" t="s">
        <v>88</v>
      </c>
    </row>
    <row r="55" spans="3:13" ht="15" customHeight="1">
      <c r="C55" s="30" t="s">
        <v>47</v>
      </c>
      <c r="D55" s="39"/>
      <c r="E55" s="39">
        <f>7548+2836</f>
        <v>10384</v>
      </c>
      <c r="F55" s="39">
        <f>7543+2797</f>
        <v>10340</v>
      </c>
      <c r="G55" s="61">
        <f>F55*(1+G36)</f>
        <v>9926.4</v>
      </c>
      <c r="H55" s="61">
        <f>G55*(1+H36)</f>
        <v>10521.984</v>
      </c>
      <c r="I55" s="61">
        <f>H55*(1+I36)</f>
        <v>11248.000896</v>
      </c>
      <c r="J55" s="61">
        <f>I55*(1+J36)</f>
        <v>12024.112957824</v>
      </c>
      <c r="K55" s="61">
        <f>J55*(1+K36)</f>
        <v>12853.776751913854</v>
      </c>
      <c r="M55" t="s">
        <v>88</v>
      </c>
    </row>
    <row r="56" spans="3:13" ht="15" customHeight="1">
      <c r="C56" s="30" t="s">
        <v>48</v>
      </c>
      <c r="D56" s="39"/>
      <c r="E56" s="39">
        <v>11977</v>
      </c>
      <c r="F56" s="39">
        <v>11964</v>
      </c>
      <c r="G56" s="60">
        <f ca="1">G135</f>
        <v>12000</v>
      </c>
      <c r="H56" s="60">
        <f ca="1">H135</f>
        <v>12000</v>
      </c>
      <c r="I56" s="60">
        <f ca="1">I135</f>
        <v>12000</v>
      </c>
      <c r="J56" s="60">
        <f ca="1">J135</f>
        <v>12000</v>
      </c>
      <c r="K56" s="60">
        <f ca="1">K135</f>
        <v>12000</v>
      </c>
      <c r="M56" t="s">
        <v>91</v>
      </c>
    </row>
    <row r="57" spans="3:13" ht="15" customHeight="1">
      <c r="C57" s="30" t="s">
        <v>92</v>
      </c>
      <c r="D57" s="39"/>
      <c r="E57" s="39">
        <f>6496+97207</f>
        <v>103703</v>
      </c>
      <c r="F57" s="39">
        <f>8784+93735</f>
        <v>102519</v>
      </c>
      <c r="G57" s="61">
        <f>F57</f>
        <v>102519</v>
      </c>
      <c r="H57" s="61">
        <f>G57</f>
        <v>102519</v>
      </c>
      <c r="I57" s="61">
        <f>H57</f>
        <v>102519</v>
      </c>
      <c r="J57" s="61">
        <f>I57</f>
        <v>102519</v>
      </c>
      <c r="K57" s="61">
        <f>J57</f>
        <v>102519</v>
      </c>
      <c r="M57" t="s">
        <v>93</v>
      </c>
    </row>
    <row r="58" spans="3:13" ht="15.75" customHeight="1">
      <c r="C58" s="30" t="s">
        <v>50</v>
      </c>
      <c r="D58" s="39"/>
      <c r="E58" s="39">
        <v>40415</v>
      </c>
      <c r="F58" s="39">
        <v>45180</v>
      </c>
      <c r="G58" s="61">
        <f>F58*(1+G36)</f>
        <v>43372.799999999996</v>
      </c>
      <c r="H58" s="61">
        <f>G58*(1+H36)</f>
        <v>45975.167999999998</v>
      </c>
      <c r="I58" s="61">
        <f>H58*(1+I36)</f>
        <v>49147.454591999995</v>
      </c>
      <c r="J58" s="61">
        <f>I58*(1+J36)</f>
        <v>52538.628958847992</v>
      </c>
      <c r="K58" s="61">
        <f>J58*(1+K36)</f>
        <v>56163.794357008504</v>
      </c>
      <c r="M58" t="s">
        <v>88</v>
      </c>
    </row>
    <row r="59" spans="3:13" ht="15" customHeight="1">
      <c r="C59" s="31" t="s">
        <v>51</v>
      </c>
      <c r="D59" s="41"/>
      <c r="E59" s="41">
        <f t="shared" ref="E59:K59" si="8">SUM(E53:E58)</f>
        <v>241272</v>
      </c>
      <c r="F59" s="41">
        <f t="shared" si="8"/>
        <v>258578</v>
      </c>
      <c r="G59" s="66">
        <f t="shared" ca="1" si="8"/>
        <v>253323.33692226969</v>
      </c>
      <c r="H59" s="66">
        <f t="shared" ca="1" si="8"/>
        <v>261374.87774562387</v>
      </c>
      <c r="I59" s="66">
        <f t="shared" ca="1" si="8"/>
        <v>271409.32896672899</v>
      </c>
      <c r="J59" s="66">
        <f t="shared" ca="1" si="8"/>
        <v>282234.7616654333</v>
      </c>
      <c r="K59" s="66">
        <f t="shared" ca="1" si="8"/>
        <v>293807.14922034822</v>
      </c>
    </row>
    <row r="60" spans="3:13" ht="15" customHeight="1">
      <c r="C60" s="31"/>
      <c r="D60" s="41"/>
      <c r="E60" s="41"/>
      <c r="F60" s="41"/>
      <c r="G60" s="42"/>
      <c r="H60" s="42"/>
      <c r="I60" s="42"/>
      <c r="J60" s="42"/>
      <c r="K60" s="42"/>
    </row>
    <row r="61" spans="3:13" ht="15" customHeight="1">
      <c r="C61" s="30" t="s">
        <v>52</v>
      </c>
      <c r="D61" s="39"/>
      <c r="E61" s="39">
        <v>35867</v>
      </c>
      <c r="F61" s="39">
        <v>40201</v>
      </c>
      <c r="G61" s="61">
        <f>F61+G32</f>
        <v>45327.4</v>
      </c>
      <c r="H61" s="61">
        <f>G61+H32</f>
        <v>50761.383999999998</v>
      </c>
      <c r="I61" s="61">
        <f>H61+I32</f>
        <v>56570.312895999996</v>
      </c>
      <c r="J61" s="61">
        <f>I61+J32</f>
        <v>62780.057885823997</v>
      </c>
      <c r="K61" s="61">
        <f>J61+K32</f>
        <v>69418.275279945854</v>
      </c>
      <c r="M61" t="s">
        <v>94</v>
      </c>
    </row>
    <row r="62" spans="3:13" ht="15.75" customHeight="1">
      <c r="C62" s="30" t="s">
        <v>53</v>
      </c>
      <c r="D62" s="44"/>
      <c r="E62" s="39">
        <v>98330</v>
      </c>
      <c r="F62" s="39">
        <v>70400</v>
      </c>
      <c r="G62" s="60">
        <f ca="1">G119</f>
        <v>35907.506097684833</v>
      </c>
      <c r="H62" s="60">
        <f ca="1">H119</f>
        <v>5326.4073574395152</v>
      </c>
      <c r="I62" s="60">
        <f ca="1">I119</f>
        <v>-21502.07229787598</v>
      </c>
      <c r="J62" s="60">
        <f ca="1">J119</f>
        <v>-44514.319742036285</v>
      </c>
      <c r="K62" s="60">
        <f ca="1">K119</f>
        <v>-63338.000568058094</v>
      </c>
      <c r="M62" t="s">
        <v>95</v>
      </c>
    </row>
    <row r="63" spans="3:13" ht="15.75" customHeight="1">
      <c r="C63" s="30" t="s">
        <v>54</v>
      </c>
      <c r="D63" s="39"/>
      <c r="E63" s="39">
        <v>-150</v>
      </c>
      <c r="F63" s="39">
        <v>-3454</v>
      </c>
      <c r="G63" s="61">
        <f>F63</f>
        <v>-3454</v>
      </c>
      <c r="H63" s="61">
        <f>G63</f>
        <v>-3454</v>
      </c>
      <c r="I63" s="61">
        <f>H63</f>
        <v>-3454</v>
      </c>
      <c r="J63" s="61">
        <f>I63</f>
        <v>-3454</v>
      </c>
      <c r="K63" s="61">
        <f>J63</f>
        <v>-3454</v>
      </c>
      <c r="M63" t="s">
        <v>93</v>
      </c>
    </row>
    <row r="64" spans="3:13" ht="15" customHeight="1">
      <c r="C64" s="31" t="s">
        <v>55</v>
      </c>
      <c r="D64" s="45"/>
      <c r="E64" s="45">
        <f t="shared" ref="E64:K64" si="9">SUM(E61:E63)</f>
        <v>134047</v>
      </c>
      <c r="F64" s="45">
        <f t="shared" si="9"/>
        <v>107147</v>
      </c>
      <c r="G64" s="66">
        <f t="shared" ca="1" si="9"/>
        <v>77780.906097684841</v>
      </c>
      <c r="H64" s="66">
        <f t="shared" ca="1" si="9"/>
        <v>52633.791357439513</v>
      </c>
      <c r="I64" s="66">
        <f t="shared" ca="1" si="9"/>
        <v>31614.240598124015</v>
      </c>
      <c r="J64" s="66">
        <f t="shared" ca="1" si="9"/>
        <v>14811.738143787712</v>
      </c>
      <c r="K64" s="66">
        <f t="shared" ca="1" si="9"/>
        <v>2626.2747118877596</v>
      </c>
    </row>
    <row r="65" spans="3:13" ht="15" customHeight="1">
      <c r="D65" s="42"/>
      <c r="E65" s="42"/>
      <c r="F65" s="42"/>
    </row>
    <row r="66" spans="3:13" ht="15" customHeight="1">
      <c r="C66" s="23" t="s">
        <v>56</v>
      </c>
      <c r="D66" s="46"/>
      <c r="E66" s="46">
        <f t="shared" ref="E66:K66" si="10">ROUND(E51-E59-E64,3)</f>
        <v>0</v>
      </c>
      <c r="F66" s="46">
        <f t="shared" si="10"/>
        <v>0</v>
      </c>
      <c r="G66" s="46">
        <f t="shared" ca="1" si="10"/>
        <v>0</v>
      </c>
      <c r="H66" s="46">
        <f t="shared" ca="1" si="10"/>
        <v>0</v>
      </c>
      <c r="I66" s="46">
        <f t="shared" ca="1" si="10"/>
        <v>0</v>
      </c>
      <c r="J66" s="46">
        <f t="shared" ca="1" si="10"/>
        <v>0</v>
      </c>
      <c r="K66" s="46">
        <f t="shared" ca="1" si="10"/>
        <v>0</v>
      </c>
    </row>
    <row r="67" spans="3:13" ht="15" customHeight="1">
      <c r="E67" s="42"/>
      <c r="F67" s="42"/>
      <c r="H67" s="42"/>
      <c r="I67" s="42"/>
      <c r="J67" s="42"/>
      <c r="K67" s="42"/>
    </row>
    <row r="68" spans="3:13" ht="15" customHeight="1">
      <c r="C68" s="16" t="s">
        <v>96</v>
      </c>
      <c r="D68" s="20"/>
      <c r="E68" s="20"/>
      <c r="F68" s="20"/>
      <c r="G68" s="20"/>
      <c r="H68" s="20"/>
      <c r="I68" s="20"/>
      <c r="J68" s="20"/>
      <c r="K68" s="20"/>
    </row>
    <row r="69" spans="3:13" ht="15" customHeight="1">
      <c r="C69" s="36" t="str">
        <f>C14</f>
        <v xml:space="preserve">Fiscal year  </v>
      </c>
      <c r="D69" s="37"/>
      <c r="E69" s="37"/>
      <c r="F69" s="37"/>
      <c r="G69" s="65">
        <f t="shared" ref="G69:K70" si="11">G14</f>
        <v>2019</v>
      </c>
      <c r="H69" s="65">
        <f t="shared" si="11"/>
        <v>2020</v>
      </c>
      <c r="I69" s="65">
        <f t="shared" si="11"/>
        <v>2021</v>
      </c>
      <c r="J69" s="65">
        <f t="shared" si="11"/>
        <v>2022</v>
      </c>
      <c r="K69" s="65">
        <f t="shared" si="11"/>
        <v>2023</v>
      </c>
    </row>
    <row r="70" spans="3:13" ht="15" customHeight="1">
      <c r="C70" s="17" t="str">
        <f>C15</f>
        <v>Fiscal year end date</v>
      </c>
      <c r="D70" s="38"/>
      <c r="E70" s="38"/>
      <c r="F70" s="38"/>
      <c r="G70" s="38">
        <f t="shared" si="11"/>
        <v>43738</v>
      </c>
      <c r="H70" s="38">
        <f t="shared" si="11"/>
        <v>44104</v>
      </c>
      <c r="I70" s="38">
        <f t="shared" si="11"/>
        <v>44469</v>
      </c>
      <c r="J70" s="38">
        <f t="shared" si="11"/>
        <v>44834</v>
      </c>
      <c r="K70" s="38">
        <f t="shared" si="11"/>
        <v>45199</v>
      </c>
    </row>
    <row r="72" spans="3:13" ht="15" customHeight="1">
      <c r="C72" t="s">
        <v>24</v>
      </c>
      <c r="D72" s="40"/>
      <c r="E72" s="40"/>
      <c r="F72" s="40"/>
      <c r="G72" s="61">
        <f ca="1">G28</f>
        <v>52298.506097684833</v>
      </c>
      <c r="H72" s="61">
        <f ca="1">H28</f>
        <v>56209.901259754675</v>
      </c>
      <c r="I72" s="61">
        <f ca="1">I28</f>
        <v>59962.520344684504</v>
      </c>
      <c r="J72" s="61">
        <f ca="1">J28</f>
        <v>63778.752555839696</v>
      </c>
      <c r="K72" s="61">
        <f ca="1">K28</f>
        <v>67967.319173978191</v>
      </c>
      <c r="M72" s="27"/>
    </row>
    <row r="73" spans="3:13" ht="15" customHeight="1">
      <c r="C73" t="s">
        <v>97</v>
      </c>
      <c r="D73" s="40"/>
      <c r="E73" s="40"/>
      <c r="F73" s="40"/>
      <c r="G73" s="60">
        <f>G30</f>
        <v>11085.020171261172</v>
      </c>
      <c r="H73" s="60">
        <f>H30</f>
        <v>11711.890744865921</v>
      </c>
      <c r="I73" s="60">
        <f>I30</f>
        <v>12226.380531123083</v>
      </c>
      <c r="J73" s="60">
        <f>J30</f>
        <v>13365.451007770575</v>
      </c>
      <c r="K73" s="60">
        <f>K30</f>
        <v>14603.503412486743</v>
      </c>
      <c r="M73" t="s">
        <v>98</v>
      </c>
    </row>
    <row r="74" spans="3:13" ht="15" customHeight="1">
      <c r="C74" t="s">
        <v>27</v>
      </c>
      <c r="D74" s="40"/>
      <c r="E74" s="40"/>
      <c r="F74" s="40"/>
      <c r="G74" s="61">
        <f>G32</f>
        <v>5126.3999999999996</v>
      </c>
      <c r="H74" s="61">
        <f>H32</f>
        <v>5433.9839999999995</v>
      </c>
      <c r="I74" s="61">
        <f>I32</f>
        <v>5808.9288959999994</v>
      </c>
      <c r="J74" s="61">
        <f>J32</f>
        <v>6209.7449898239993</v>
      </c>
      <c r="K74" s="61">
        <f>K32</f>
        <v>6638.2173941218552</v>
      </c>
    </row>
    <row r="75" spans="3:13" ht="15" customHeight="1">
      <c r="C75" t="s">
        <v>99</v>
      </c>
      <c r="D75" s="42"/>
      <c r="E75" s="42"/>
      <c r="F75" s="42"/>
      <c r="G75" s="61">
        <f>-1*(SUM(G46:G48)-SUM(F46:F48))</f>
        <v>2568.0292745401748</v>
      </c>
      <c r="H75" s="61">
        <f>-1*(SUM(H46:H48)-SUM(G46:G48))</f>
        <v>-3728.6108202044925</v>
      </c>
      <c r="I75" s="61">
        <f>-1*(SUM(I46:I48)-SUM(H46:H48))</f>
        <v>-4560.7224748067092</v>
      </c>
      <c r="J75" s="61">
        <f>-1*(SUM(J46:J48)-SUM(I46:I48))</f>
        <v>-4882.3919774125097</v>
      </c>
      <c r="K75" s="61">
        <f>-1*(SUM(K46:K48)-SUM(J46:J48))</f>
        <v>-5219.277023853967</v>
      </c>
    </row>
    <row r="76" spans="3:13" ht="15" customHeight="1">
      <c r="C76" t="s">
        <v>100</v>
      </c>
      <c r="D76" s="42"/>
      <c r="E76" s="42"/>
      <c r="F76" s="42"/>
      <c r="G76" s="61">
        <f>SUM(G53:G55)-SUM(F53:F55)</f>
        <v>-3483.4630777302955</v>
      </c>
      <c r="H76" s="61">
        <f>SUM(H53:H55)-SUM(G53:G55)</f>
        <v>5449.1728233541653</v>
      </c>
      <c r="I76" s="61">
        <f>SUM(I53:I55)-SUM(H53:H55)</f>
        <v>6862.1646291051147</v>
      </c>
      <c r="J76" s="61">
        <f>SUM(J53:J55)-SUM(I53:I55)</f>
        <v>7434.2583318562974</v>
      </c>
      <c r="K76" s="61">
        <f>SUM(K53:K55)-SUM(J53:J55)</f>
        <v>7947.2221567544038</v>
      </c>
    </row>
    <row r="77" spans="3:13" ht="15" customHeight="1">
      <c r="C77" t="s">
        <v>43</v>
      </c>
      <c r="G77" s="60">
        <f>-(G111)</f>
        <v>-647.56000000000131</v>
      </c>
      <c r="H77" s="60">
        <f>-(H111)</f>
        <v>-2914.7136000000028</v>
      </c>
      <c r="I77" s="60">
        <f>-(I111)</f>
        <v>-3308.3539583999991</v>
      </c>
      <c r="J77" s="60">
        <f>-(J111)</f>
        <v>-3536.6303815296014</v>
      </c>
      <c r="K77" s="60">
        <f>-(K111)</f>
        <v>-3780.6578778551411</v>
      </c>
      <c r="M77" t="s">
        <v>101</v>
      </c>
    </row>
    <row r="78" spans="3:13" ht="15" customHeight="1">
      <c r="C78" t="s">
        <v>50</v>
      </c>
      <c r="G78" s="61">
        <f>G58-F58</f>
        <v>-1807.2000000000044</v>
      </c>
      <c r="H78" s="61">
        <f>H58-G58</f>
        <v>2602.3680000000022</v>
      </c>
      <c r="I78" s="61">
        <f>I58-H58</f>
        <v>3172.2865919999967</v>
      </c>
      <c r="J78" s="61">
        <f>J58-I58</f>
        <v>3391.1743668479976</v>
      </c>
      <c r="K78" s="61">
        <f>K58-J58</f>
        <v>3625.1653981605123</v>
      </c>
      <c r="M78" s="27"/>
    </row>
    <row r="79" spans="3:13" ht="15" customHeight="1">
      <c r="C79" s="27" t="s">
        <v>102</v>
      </c>
      <c r="G79" s="66">
        <f ca="1">SUM(G72:G78)</f>
        <v>65139.732465755871</v>
      </c>
      <c r="H79" s="66">
        <f ca="1">SUM(H72:H78)</f>
        <v>74763.992407770274</v>
      </c>
      <c r="I79" s="66">
        <f ca="1">SUM(I72:I78)</f>
        <v>80163.204559706006</v>
      </c>
      <c r="J79" s="66">
        <f ca="1">SUM(J72:J78)</f>
        <v>85760.358893196448</v>
      </c>
      <c r="K79" s="66">
        <f ca="1">SUM(K72:K78)</f>
        <v>91781.492633792601</v>
      </c>
    </row>
    <row r="80" spans="3:13" ht="15" customHeight="1">
      <c r="G80" s="42"/>
      <c r="H80" s="42"/>
      <c r="I80" s="42"/>
      <c r="J80" s="42"/>
      <c r="K80" s="42"/>
    </row>
    <row r="81" spans="3:13" ht="15" customHeight="1">
      <c r="C81" t="s">
        <v>103</v>
      </c>
      <c r="G81" s="60">
        <f>-(G97)</f>
        <v>-13285</v>
      </c>
      <c r="H81" s="60">
        <f>-(H97)</f>
        <v>-13649</v>
      </c>
      <c r="I81" s="60">
        <f>-(I97)</f>
        <v>-13819</v>
      </c>
      <c r="J81" s="60">
        <f>-(J97)</f>
        <v>-14772.510999999999</v>
      </c>
      <c r="K81" s="60">
        <f>-(K97)</f>
        <v>-15791.814258999997</v>
      </c>
      <c r="M81" t="s">
        <v>90</v>
      </c>
    </row>
    <row r="82" spans="3:13" ht="15" customHeight="1">
      <c r="C82" s="27" t="s">
        <v>104</v>
      </c>
      <c r="G82" s="66">
        <f>IFERROR(G81,"NA")</f>
        <v>-13285</v>
      </c>
      <c r="H82" s="66">
        <f>IFERROR(H81,"NA")</f>
        <v>-13649</v>
      </c>
      <c r="I82" s="66">
        <f>IFERROR(I81,"NA")</f>
        <v>-13819</v>
      </c>
      <c r="J82" s="66">
        <f>IFERROR(J81,"NA")</f>
        <v>-14772.510999999999</v>
      </c>
      <c r="K82" s="66">
        <f>IFERROR(K81,"NA")</f>
        <v>-15791.814258999997</v>
      </c>
    </row>
    <row r="83" spans="3:13" ht="15" customHeight="1">
      <c r="G83" s="42"/>
      <c r="H83" s="42"/>
      <c r="I83" s="42"/>
      <c r="J83" s="42"/>
      <c r="K83" s="42"/>
    </row>
    <row r="84" spans="3:13" ht="15" customHeight="1">
      <c r="C84" t="s">
        <v>105</v>
      </c>
      <c r="G84" s="61">
        <f>G57-F57</f>
        <v>0</v>
      </c>
      <c r="H84" s="61">
        <f>H57-G57</f>
        <v>0</v>
      </c>
      <c r="I84" s="61">
        <f>I57-H57</f>
        <v>0</v>
      </c>
      <c r="J84" s="61">
        <f>J57-I57</f>
        <v>0</v>
      </c>
      <c r="K84" s="61">
        <f>K57-J57</f>
        <v>0</v>
      </c>
    </row>
    <row r="85" spans="3:13" ht="15" customHeight="1">
      <c r="C85" t="s">
        <v>106</v>
      </c>
      <c r="G85" s="60">
        <f ca="1">G56-F56</f>
        <v>36</v>
      </c>
      <c r="H85" s="60">
        <f ca="1">H56-G56</f>
        <v>0</v>
      </c>
      <c r="I85" s="60">
        <f ca="1">I56-H56</f>
        <v>0</v>
      </c>
      <c r="J85" s="60">
        <f ca="1">J56-I56</f>
        <v>0</v>
      </c>
      <c r="K85" s="60">
        <f ca="1">K56-J56</f>
        <v>0</v>
      </c>
      <c r="M85" t="s">
        <v>107</v>
      </c>
    </row>
    <row r="86" spans="3:13" ht="15" customHeight="1">
      <c r="C86" t="s">
        <v>108</v>
      </c>
      <c r="G86" s="60">
        <f>G118</f>
        <v>-73056</v>
      </c>
      <c r="H86" s="60">
        <f>H118</f>
        <v>-73056</v>
      </c>
      <c r="I86" s="60">
        <f>I118</f>
        <v>-73056</v>
      </c>
      <c r="J86" s="60">
        <f>J118</f>
        <v>-73056</v>
      </c>
      <c r="K86" s="60">
        <f>K118</f>
        <v>-73056</v>
      </c>
      <c r="M86" t="s">
        <v>95</v>
      </c>
    </row>
    <row r="87" spans="3:13" ht="15" customHeight="1">
      <c r="C87" t="s">
        <v>109</v>
      </c>
      <c r="G87" s="60">
        <f>G117</f>
        <v>-13735</v>
      </c>
      <c r="H87" s="60">
        <f>H117</f>
        <v>-13735</v>
      </c>
      <c r="I87" s="60">
        <f>I117</f>
        <v>-13735</v>
      </c>
      <c r="J87" s="60">
        <f>J117</f>
        <v>-13735</v>
      </c>
      <c r="K87" s="60">
        <f>K117</f>
        <v>-13735</v>
      </c>
      <c r="M87" t="s">
        <v>95</v>
      </c>
    </row>
    <row r="88" spans="3:13" ht="15" customHeight="1">
      <c r="C88" s="27" t="s">
        <v>110</v>
      </c>
      <c r="G88" s="66">
        <f ca="1">SUM(G84:G87)</f>
        <v>-86755</v>
      </c>
      <c r="H88" s="66">
        <f ca="1">SUM(H84:H87)</f>
        <v>-86791</v>
      </c>
      <c r="I88" s="66">
        <f ca="1">SUM(I84:I87)</f>
        <v>-86791</v>
      </c>
      <c r="J88" s="66">
        <f ca="1">SUM(J84:J87)</f>
        <v>-86791</v>
      </c>
      <c r="K88" s="66">
        <f ca="1">SUM(K84:K87)</f>
        <v>-86791</v>
      </c>
    </row>
    <row r="89" spans="3:13" ht="15" customHeight="1">
      <c r="G89" s="42"/>
      <c r="H89" s="42"/>
      <c r="I89" s="42"/>
      <c r="J89" s="42"/>
      <c r="K89" s="42"/>
    </row>
    <row r="90" spans="3:13" ht="15" customHeight="1">
      <c r="C90" s="27" t="s">
        <v>111</v>
      </c>
      <c r="G90" s="66">
        <f ca="1">G79+G82+G88</f>
        <v>-34900.267534244129</v>
      </c>
      <c r="H90" s="66">
        <f ca="1">H79+H82+H88</f>
        <v>-25676.007592229726</v>
      </c>
      <c r="I90" s="66">
        <f ca="1">I79+I82+I88</f>
        <v>-20446.795440293994</v>
      </c>
      <c r="J90" s="66">
        <f ca="1">J79+J82+J88</f>
        <v>-15803.152106803551</v>
      </c>
      <c r="K90" s="66">
        <f ca="1">K79+K82+K88</f>
        <v>-10801.321625207391</v>
      </c>
    </row>
    <row r="92" spans="3:13" ht="15" customHeight="1">
      <c r="C92" s="16" t="s">
        <v>112</v>
      </c>
      <c r="D92" s="17"/>
      <c r="E92" s="17"/>
      <c r="F92" s="17"/>
      <c r="G92" s="17"/>
      <c r="H92" s="17"/>
      <c r="I92" s="17"/>
      <c r="J92" s="17"/>
      <c r="K92" s="17"/>
    </row>
    <row r="93" spans="3:13" ht="15" customHeight="1">
      <c r="C93" s="36" t="str">
        <f t="shared" ref="C93:K93" si="12">C14</f>
        <v xml:space="preserve">Fiscal year  </v>
      </c>
      <c r="D93" s="37">
        <f t="shared" si="12"/>
        <v>2016</v>
      </c>
      <c r="E93" s="37">
        <f t="shared" si="12"/>
        <v>2017</v>
      </c>
      <c r="F93" s="37">
        <f t="shared" si="12"/>
        <v>2018</v>
      </c>
      <c r="G93" s="65">
        <f t="shared" si="12"/>
        <v>2019</v>
      </c>
      <c r="H93" s="65">
        <f t="shared" si="12"/>
        <v>2020</v>
      </c>
      <c r="I93" s="65">
        <f t="shared" si="12"/>
        <v>2021</v>
      </c>
      <c r="J93" s="65">
        <f t="shared" si="12"/>
        <v>2022</v>
      </c>
      <c r="K93" s="65">
        <f t="shared" si="12"/>
        <v>2023</v>
      </c>
    </row>
    <row r="94" spans="3:13" ht="15" customHeight="1">
      <c r="C94" s="17" t="str">
        <f t="shared" ref="C94:K94" si="13">C15</f>
        <v>Fiscal year end date</v>
      </c>
      <c r="D94" s="38">
        <f t="shared" si="13"/>
        <v>42643</v>
      </c>
      <c r="E94" s="38">
        <f t="shared" si="13"/>
        <v>43008</v>
      </c>
      <c r="F94" s="38">
        <f t="shared" si="13"/>
        <v>43372</v>
      </c>
      <c r="G94" s="38">
        <f t="shared" si="13"/>
        <v>43738</v>
      </c>
      <c r="H94" s="38">
        <f t="shared" si="13"/>
        <v>44104</v>
      </c>
      <c r="I94" s="38">
        <f t="shared" si="13"/>
        <v>44469</v>
      </c>
      <c r="J94" s="38">
        <f t="shared" si="13"/>
        <v>44834</v>
      </c>
      <c r="K94" s="38">
        <f t="shared" si="13"/>
        <v>45199</v>
      </c>
    </row>
    <row r="95" spans="3:13" ht="15" customHeight="1">
      <c r="C95" s="27"/>
      <c r="G95" s="3" t="s">
        <v>113</v>
      </c>
      <c r="H95" s="3"/>
      <c r="I95" s="3"/>
      <c r="J95" s="3"/>
      <c r="K95" s="3"/>
    </row>
    <row r="96" spans="3:13" ht="15" customHeight="1">
      <c r="C96" s="30" t="s">
        <v>114</v>
      </c>
      <c r="G96" s="61">
        <f>F99</f>
        <v>41304</v>
      </c>
      <c r="H96" s="61">
        <f>G99</f>
        <v>45042.85982873883</v>
      </c>
      <c r="I96" s="61">
        <f>H99</f>
        <v>48611.181883872909</v>
      </c>
      <c r="J96" s="61">
        <f>I99</f>
        <v>51947.567835949827</v>
      </c>
      <c r="K96" s="61">
        <f>J99</f>
        <v>55218.714198720052</v>
      </c>
      <c r="M96" t="s">
        <v>115</v>
      </c>
    </row>
    <row r="97" spans="3:17" ht="15" customHeight="1">
      <c r="C97" s="29" t="s">
        <v>116</v>
      </c>
      <c r="D97" s="39">
        <v>12734</v>
      </c>
      <c r="E97" s="39">
        <v>12451</v>
      </c>
      <c r="F97" s="39">
        <v>13313</v>
      </c>
      <c r="G97" s="39">
        <v>13285</v>
      </c>
      <c r="H97" s="39">
        <v>13649</v>
      </c>
      <c r="I97" s="39">
        <v>13819</v>
      </c>
      <c r="J97" s="39">
        <f>I97*(1+J36)</f>
        <v>14772.510999999999</v>
      </c>
      <c r="K97" s="39">
        <f>J97*(1+K36)</f>
        <v>15791.814258999997</v>
      </c>
      <c r="M97" t="s">
        <v>117</v>
      </c>
    </row>
    <row r="98" spans="3:17" ht="15" customHeight="1">
      <c r="C98" s="67" t="s">
        <v>118</v>
      </c>
      <c r="D98" s="68">
        <v>-8300</v>
      </c>
      <c r="E98" s="68">
        <v>-8200</v>
      </c>
      <c r="F98" s="68">
        <v>-9300</v>
      </c>
      <c r="G98" s="69">
        <f>-(G101*G97)</f>
        <v>-9546.1401712611732</v>
      </c>
      <c r="H98" s="69">
        <f>-(H101*H97)</f>
        <v>-10080.677944865922</v>
      </c>
      <c r="I98" s="69">
        <f>-(I101*I97)</f>
        <v>-10482.614047923083</v>
      </c>
      <c r="J98" s="69">
        <f>-(J101*J97)</f>
        <v>-11501.364637229775</v>
      </c>
      <c r="K98" s="69">
        <f>-(K101*K97)</f>
        <v>-12610.795082378629</v>
      </c>
      <c r="M98" t="s">
        <v>119</v>
      </c>
    </row>
    <row r="99" spans="3:17" ht="15" customHeight="1">
      <c r="C99" s="70" t="s">
        <v>120</v>
      </c>
      <c r="D99" s="45"/>
      <c r="E99" s="45">
        <f>E49</f>
        <v>33783</v>
      </c>
      <c r="F99" s="45">
        <f>F49</f>
        <v>41304</v>
      </c>
      <c r="G99" s="66">
        <f>SUM(G96:G98)</f>
        <v>45042.85982873883</v>
      </c>
      <c r="H99" s="66">
        <f>SUM(H96:H98)</f>
        <v>48611.181883872909</v>
      </c>
      <c r="I99" s="66">
        <f>SUM(I96:I98)</f>
        <v>51947.567835949827</v>
      </c>
      <c r="J99" s="66">
        <f>SUM(J96:J98)</f>
        <v>55218.714198720052</v>
      </c>
      <c r="K99" s="66">
        <f>SUM(K96:K98)</f>
        <v>58399.73337534142</v>
      </c>
      <c r="M99" t="s">
        <v>121</v>
      </c>
    </row>
    <row r="100" spans="3:17" ht="15" customHeight="1">
      <c r="C100" s="30"/>
      <c r="M100" s="32" t="s">
        <v>122</v>
      </c>
    </row>
    <row r="101" spans="3:17" ht="15" customHeight="1">
      <c r="C101" s="30" t="s">
        <v>123</v>
      </c>
      <c r="D101" s="71">
        <f>-(D98/D97)</f>
        <v>0.65179833516569818</v>
      </c>
      <c r="E101" s="71">
        <f>-(E98/E97)</f>
        <v>0.6585816400289134</v>
      </c>
      <c r="F101" s="71">
        <f>-(F98/F97)</f>
        <v>0.69856531210095396</v>
      </c>
      <c r="G101" s="72">
        <f>F101+$M$101</f>
        <v>0.71856531210095398</v>
      </c>
      <c r="H101" s="72">
        <f>G101+$M$101</f>
        <v>0.738565312100954</v>
      </c>
      <c r="I101" s="72">
        <f>H101+$M$101</f>
        <v>0.75856531210095401</v>
      </c>
      <c r="J101" s="72">
        <f>I101+$M$101</f>
        <v>0.77856531210095403</v>
      </c>
      <c r="K101" s="72">
        <f>J101+$M$101</f>
        <v>0.79856531210095405</v>
      </c>
      <c r="M101" s="73">
        <v>0.02</v>
      </c>
    </row>
    <row r="102" spans="3:17" ht="15" customHeight="1">
      <c r="C102" s="30"/>
      <c r="D102" s="71"/>
      <c r="E102" s="71"/>
      <c r="F102" s="71"/>
      <c r="G102" s="63"/>
      <c r="H102" s="63"/>
      <c r="I102" s="63"/>
      <c r="J102" s="63"/>
      <c r="K102" s="63"/>
      <c r="O102" s="74"/>
      <c r="P102" s="74"/>
      <c r="Q102" s="74"/>
    </row>
    <row r="103" spans="3:17" ht="15" customHeight="1">
      <c r="C103" s="75" t="s">
        <v>124</v>
      </c>
      <c r="D103" s="76"/>
      <c r="E103" s="76"/>
      <c r="F103" s="76"/>
      <c r="G103" s="77"/>
      <c r="H103" s="77"/>
      <c r="I103" s="77"/>
      <c r="J103" s="77"/>
      <c r="K103" s="77"/>
      <c r="O103" s="74"/>
      <c r="P103" s="74"/>
      <c r="Q103" s="74"/>
    </row>
    <row r="104" spans="3:17" ht="15" customHeight="1">
      <c r="C104" s="30" t="s">
        <v>125</v>
      </c>
      <c r="D104" s="42">
        <f>D106+D98</f>
        <v>2205</v>
      </c>
      <c r="E104" s="42">
        <f>E106+E98</f>
        <v>1957</v>
      </c>
      <c r="F104" s="42">
        <f>F106+F98</f>
        <v>1603</v>
      </c>
      <c r="G104" s="58">
        <f>G105*G17</f>
        <v>1538.8799999999999</v>
      </c>
      <c r="H104" s="58">
        <f>H105*H17</f>
        <v>1631.2128</v>
      </c>
      <c r="I104" s="58">
        <f>I105*I17</f>
        <v>1743.7664832</v>
      </c>
      <c r="J104" s="58">
        <f>J105*J17</f>
        <v>1864.0863705407999</v>
      </c>
      <c r="K104" s="58">
        <f>K105*K17</f>
        <v>1992.708330108115</v>
      </c>
      <c r="M104" t="s">
        <v>126</v>
      </c>
      <c r="O104" s="74"/>
      <c r="P104" s="74"/>
      <c r="Q104" s="74"/>
    </row>
    <row r="105" spans="3:17" ht="15" customHeight="1">
      <c r="C105" s="29" t="s">
        <v>127</v>
      </c>
      <c r="D105" s="51">
        <f>D104/D17</f>
        <v>1.0225423044996499E-2</v>
      </c>
      <c r="E105" s="51">
        <f>E104/E17</f>
        <v>8.537128000209393E-3</v>
      </c>
      <c r="F105" s="51">
        <f>F104/F17</f>
        <v>6.0355051864681188E-3</v>
      </c>
      <c r="G105" s="72">
        <f>F105</f>
        <v>6.0355051864681188E-3</v>
      </c>
      <c r="H105" s="72">
        <f>G105</f>
        <v>6.0355051864681188E-3</v>
      </c>
      <c r="I105" s="72">
        <f>H105</f>
        <v>6.0355051864681188E-3</v>
      </c>
      <c r="J105" s="72">
        <f>I105</f>
        <v>6.0355051864681188E-3</v>
      </c>
      <c r="K105" s="72">
        <f>J105</f>
        <v>6.0355051864681188E-3</v>
      </c>
      <c r="M105" t="s">
        <v>128</v>
      </c>
      <c r="O105" s="74"/>
      <c r="P105" s="74"/>
      <c r="Q105" s="74"/>
    </row>
    <row r="106" spans="3:17" ht="15" customHeight="1">
      <c r="C106" s="31" t="s">
        <v>129</v>
      </c>
      <c r="D106" s="45">
        <f>D30</f>
        <v>10505</v>
      </c>
      <c r="E106" s="45">
        <f>E30</f>
        <v>10157</v>
      </c>
      <c r="F106" s="45">
        <f>F30</f>
        <v>10903</v>
      </c>
      <c r="G106" s="28">
        <f>-G98+G104</f>
        <v>11085.020171261172</v>
      </c>
      <c r="H106" s="28">
        <f>-H98+H104</f>
        <v>11711.890744865921</v>
      </c>
      <c r="I106" s="28">
        <f>-I98+I104</f>
        <v>12226.380531123083</v>
      </c>
      <c r="J106" s="28">
        <f>-J98+J104</f>
        <v>13365.451007770575</v>
      </c>
      <c r="K106" s="28">
        <f>-K98+K104</f>
        <v>14603.503412486743</v>
      </c>
      <c r="M106" t="s">
        <v>130</v>
      </c>
      <c r="O106" s="74"/>
      <c r="P106" s="74"/>
      <c r="Q106" s="74"/>
    </row>
    <row r="107" spans="3:17" ht="15" customHeight="1">
      <c r="H107" s="42"/>
      <c r="I107" s="42"/>
      <c r="J107" s="42"/>
      <c r="K107" s="42"/>
    </row>
    <row r="108" spans="3:17" ht="15" customHeight="1">
      <c r="C108" s="78" t="s">
        <v>131</v>
      </c>
      <c r="D108" s="17"/>
      <c r="E108" s="17"/>
      <c r="F108" s="17"/>
      <c r="H108" s="42"/>
      <c r="I108" s="42"/>
      <c r="J108" s="42"/>
      <c r="K108" s="42"/>
    </row>
    <row r="109" spans="3:17" ht="15" customHeight="1">
      <c r="C109" s="30" t="s">
        <v>114</v>
      </c>
      <c r="D109" s="42"/>
      <c r="G109" s="79">
        <f>F112</f>
        <v>22283</v>
      </c>
      <c r="H109" s="79">
        <f>G112</f>
        <v>21391.68</v>
      </c>
      <c r="I109" s="79">
        <f>H112</f>
        <v>22675.180800000002</v>
      </c>
      <c r="J109" s="79">
        <f>I112</f>
        <v>24239.7682752</v>
      </c>
      <c r="K109" s="79">
        <f>J112</f>
        <v>25912.3122861888</v>
      </c>
      <c r="M109" t="s">
        <v>115</v>
      </c>
    </row>
    <row r="110" spans="3:17" ht="15" customHeight="1">
      <c r="C110" s="29" t="s">
        <v>176</v>
      </c>
      <c r="G110" s="42">
        <f>-(G104)</f>
        <v>-1538.8799999999999</v>
      </c>
      <c r="H110" s="42">
        <f>-(H104)</f>
        <v>-1631.2128</v>
      </c>
      <c r="I110" s="42">
        <f>-(I104)</f>
        <v>-1743.7664832</v>
      </c>
      <c r="J110" s="42">
        <f>-(J104)</f>
        <v>-1864.0863705407999</v>
      </c>
      <c r="K110" s="42">
        <f>-(K104)</f>
        <v>-1992.708330108115</v>
      </c>
      <c r="M110" t="s">
        <v>133</v>
      </c>
    </row>
    <row r="111" spans="3:17" ht="15" customHeight="1">
      <c r="C111" s="67" t="s">
        <v>134</v>
      </c>
      <c r="D111" s="80"/>
      <c r="E111" s="80"/>
      <c r="F111" s="80"/>
      <c r="G111" s="81">
        <f>G112-G110-G109</f>
        <v>647.56000000000131</v>
      </c>
      <c r="H111" s="81">
        <f>H112-H110-H109</f>
        <v>2914.7136000000028</v>
      </c>
      <c r="I111" s="81">
        <f>I112-I110-I109</f>
        <v>3308.3539583999991</v>
      </c>
      <c r="J111" s="81">
        <f>J112-J110-J109</f>
        <v>3536.6303815296014</v>
      </c>
      <c r="K111" s="81">
        <f>K112-K110-K109</f>
        <v>3780.6578778551411</v>
      </c>
      <c r="M111" t="s">
        <v>135</v>
      </c>
    </row>
    <row r="112" spans="3:17" ht="15" customHeight="1">
      <c r="C112" s="70" t="s">
        <v>120</v>
      </c>
      <c r="E112" s="45">
        <f t="shared" ref="E112:K112" si="14">E50</f>
        <v>18177</v>
      </c>
      <c r="F112" s="45">
        <f t="shared" si="14"/>
        <v>22283</v>
      </c>
      <c r="G112" s="45">
        <f t="shared" si="14"/>
        <v>21391.68</v>
      </c>
      <c r="H112" s="45">
        <f t="shared" si="14"/>
        <v>22675.180800000002</v>
      </c>
      <c r="I112" s="45">
        <f t="shared" si="14"/>
        <v>24239.7682752</v>
      </c>
      <c r="J112" s="45">
        <f t="shared" si="14"/>
        <v>25912.3122861888</v>
      </c>
      <c r="K112" s="45">
        <f t="shared" si="14"/>
        <v>27700.261833935827</v>
      </c>
      <c r="M112" t="s">
        <v>136</v>
      </c>
    </row>
    <row r="113" spans="3:13" ht="15" customHeight="1">
      <c r="C113" s="29"/>
      <c r="E113" s="42"/>
      <c r="F113" s="42"/>
      <c r="H113" s="42"/>
      <c r="I113" s="42"/>
      <c r="J113" s="42"/>
      <c r="K113" s="42"/>
    </row>
    <row r="114" spans="3:13" ht="15" customHeight="1">
      <c r="C114" s="82" t="s">
        <v>137</v>
      </c>
      <c r="D114" s="78"/>
      <c r="E114" s="78"/>
      <c r="F114" s="78"/>
      <c r="G114" s="17"/>
      <c r="H114" s="17"/>
      <c r="I114" s="17"/>
      <c r="J114" s="17"/>
      <c r="K114" s="17"/>
    </row>
    <row r="115" spans="3:13" ht="15" customHeight="1">
      <c r="C115" s="30" t="s">
        <v>114</v>
      </c>
      <c r="G115" s="61">
        <f>F119</f>
        <v>70400</v>
      </c>
      <c r="H115" s="61">
        <f ca="1">G119</f>
        <v>35907.506097684833</v>
      </c>
      <c r="I115" s="61">
        <f ca="1">H119</f>
        <v>5326.4073574395152</v>
      </c>
      <c r="J115" s="61">
        <f ca="1">I119</f>
        <v>-21502.07229787598</v>
      </c>
      <c r="K115" s="61">
        <f ca="1">J119</f>
        <v>-44514.319742036285</v>
      </c>
      <c r="M115" t="s">
        <v>115</v>
      </c>
    </row>
    <row r="116" spans="3:13" ht="15" customHeight="1">
      <c r="C116" s="29" t="s">
        <v>138</v>
      </c>
      <c r="D116" s="44">
        <f t="shared" ref="D116:K116" si="15">D28</f>
        <v>45687</v>
      </c>
      <c r="E116" s="44">
        <f t="shared" si="15"/>
        <v>48351</v>
      </c>
      <c r="F116" s="44">
        <f t="shared" si="15"/>
        <v>59531</v>
      </c>
      <c r="G116" s="61">
        <f t="shared" ca="1" si="15"/>
        <v>52298.506097684833</v>
      </c>
      <c r="H116" s="61">
        <f t="shared" ca="1" si="15"/>
        <v>56209.901259754675</v>
      </c>
      <c r="I116" s="61">
        <f t="shared" ca="1" si="15"/>
        <v>59962.520344684504</v>
      </c>
      <c r="J116" s="61">
        <f t="shared" ca="1" si="15"/>
        <v>63778.752555839696</v>
      </c>
      <c r="K116" s="61">
        <f t="shared" ca="1" si="15"/>
        <v>67967.319173978191</v>
      </c>
      <c r="M116" t="s">
        <v>139</v>
      </c>
    </row>
    <row r="117" spans="3:13" ht="15" customHeight="1">
      <c r="C117" s="29" t="s">
        <v>140</v>
      </c>
      <c r="D117" s="39">
        <v>-12188</v>
      </c>
      <c r="E117" s="39">
        <v>-12803</v>
      </c>
      <c r="F117" s="39">
        <v>-13735</v>
      </c>
      <c r="G117" s="61">
        <f t="shared" ref="G117:K118" si="16">F117</f>
        <v>-13735</v>
      </c>
      <c r="H117" s="61">
        <f t="shared" si="16"/>
        <v>-13735</v>
      </c>
      <c r="I117" s="61">
        <f t="shared" si="16"/>
        <v>-13735</v>
      </c>
      <c r="J117" s="61">
        <f t="shared" si="16"/>
        <v>-13735</v>
      </c>
      <c r="K117" s="61">
        <f t="shared" si="16"/>
        <v>-13735</v>
      </c>
      <c r="M117" t="s">
        <v>141</v>
      </c>
    </row>
    <row r="118" spans="3:13" ht="15" customHeight="1">
      <c r="C118" s="67" t="s">
        <v>142</v>
      </c>
      <c r="D118" s="68">
        <v>-29000</v>
      </c>
      <c r="E118" s="68">
        <v>-33001</v>
      </c>
      <c r="F118" s="68">
        <v>-73056</v>
      </c>
      <c r="G118" s="69">
        <f t="shared" si="16"/>
        <v>-73056</v>
      </c>
      <c r="H118" s="69">
        <f t="shared" si="16"/>
        <v>-73056</v>
      </c>
      <c r="I118" s="69">
        <f t="shared" si="16"/>
        <v>-73056</v>
      </c>
      <c r="J118" s="69">
        <f t="shared" si="16"/>
        <v>-73056</v>
      </c>
      <c r="K118" s="69">
        <f t="shared" si="16"/>
        <v>-73056</v>
      </c>
      <c r="M118" t="s">
        <v>143</v>
      </c>
    </row>
    <row r="119" spans="3:13" ht="15" customHeight="1">
      <c r="C119" s="70" t="s">
        <v>120</v>
      </c>
      <c r="D119" s="41">
        <f>D62</f>
        <v>0</v>
      </c>
      <c r="E119" s="41">
        <f>E62</f>
        <v>98330</v>
      </c>
      <c r="F119" s="41">
        <f>F62</f>
        <v>70400</v>
      </c>
      <c r="G119" s="66">
        <f ca="1">SUM(G115:G118)</f>
        <v>35907.506097684833</v>
      </c>
      <c r="H119" s="66">
        <f ca="1">SUM(H115:H118)</f>
        <v>5326.4073574395152</v>
      </c>
      <c r="I119" s="66">
        <f ca="1">SUM(I115:I118)</f>
        <v>-21502.07229787598</v>
      </c>
      <c r="J119" s="66">
        <f ca="1">SUM(J115:J118)</f>
        <v>-44514.319742036285</v>
      </c>
      <c r="K119" s="66">
        <f ca="1">SUM(K115:K118)</f>
        <v>-63338.000568058094</v>
      </c>
      <c r="M119" t="s">
        <v>144</v>
      </c>
    </row>
    <row r="120" spans="3:13" ht="15" customHeight="1">
      <c r="E120" s="40"/>
      <c r="F120" s="40"/>
    </row>
    <row r="121" spans="3:13" ht="15" customHeight="1">
      <c r="C121" s="16" t="s">
        <v>145</v>
      </c>
      <c r="D121" s="17"/>
      <c r="E121" s="17"/>
      <c r="F121" s="17"/>
      <c r="G121" s="17"/>
      <c r="H121" s="17"/>
      <c r="I121" s="17"/>
      <c r="J121" s="17"/>
      <c r="K121" s="17"/>
    </row>
    <row r="122" spans="3:13" ht="15" customHeight="1">
      <c r="C122" s="36" t="str">
        <f t="shared" ref="C122:K122" si="17">C14</f>
        <v xml:space="preserve">Fiscal year  </v>
      </c>
      <c r="D122" s="37">
        <f t="shared" si="17"/>
        <v>2016</v>
      </c>
      <c r="E122" s="37">
        <f t="shared" si="17"/>
        <v>2017</v>
      </c>
      <c r="F122" s="37">
        <f t="shared" si="17"/>
        <v>2018</v>
      </c>
      <c r="G122" s="65">
        <f t="shared" si="17"/>
        <v>2019</v>
      </c>
      <c r="H122" s="65">
        <f t="shared" si="17"/>
        <v>2020</v>
      </c>
      <c r="I122" s="65">
        <f t="shared" si="17"/>
        <v>2021</v>
      </c>
      <c r="J122" s="65">
        <f t="shared" si="17"/>
        <v>2022</v>
      </c>
      <c r="K122" s="65">
        <f t="shared" si="17"/>
        <v>2023</v>
      </c>
    </row>
    <row r="123" spans="3:13" ht="15" customHeight="1">
      <c r="C123" s="17" t="str">
        <f t="shared" ref="C123:K123" si="18">C15</f>
        <v>Fiscal year end date</v>
      </c>
      <c r="D123" s="38">
        <f t="shared" si="18"/>
        <v>42643</v>
      </c>
      <c r="E123" s="38">
        <f t="shared" si="18"/>
        <v>43008</v>
      </c>
      <c r="F123" s="38">
        <f t="shared" si="18"/>
        <v>43372</v>
      </c>
      <c r="G123" s="38">
        <f t="shared" si="18"/>
        <v>43738</v>
      </c>
      <c r="H123" s="38">
        <f t="shared" si="18"/>
        <v>44104</v>
      </c>
      <c r="I123" s="38">
        <f t="shared" si="18"/>
        <v>44469</v>
      </c>
      <c r="J123" s="38">
        <f t="shared" si="18"/>
        <v>44834</v>
      </c>
      <c r="K123" s="38">
        <f t="shared" si="18"/>
        <v>45199</v>
      </c>
    </row>
    <row r="124" spans="3:13" ht="15" customHeight="1">
      <c r="C124" s="27"/>
    </row>
    <row r="125" spans="3:13" ht="15" customHeight="1">
      <c r="C125" s="32" t="s">
        <v>146</v>
      </c>
    </row>
    <row r="126" spans="3:13" ht="15" customHeight="1">
      <c r="C126" s="29" t="s">
        <v>147</v>
      </c>
      <c r="G126" s="61">
        <f>F45</f>
        <v>237100</v>
      </c>
      <c r="H126" s="61">
        <f ca="1">G45</f>
        <v>202199.73246575586</v>
      </c>
      <c r="I126" s="61">
        <f ca="1">H45</f>
        <v>176523.72487352614</v>
      </c>
      <c r="J126" s="61">
        <f ca="1">I45</f>
        <v>156076.92943323214</v>
      </c>
      <c r="K126" s="61">
        <f ca="1">J45</f>
        <v>140273.77732642859</v>
      </c>
      <c r="M126" t="s">
        <v>148</v>
      </c>
    </row>
    <row r="127" spans="3:13" ht="15" customHeight="1">
      <c r="C127" s="29" t="s">
        <v>149</v>
      </c>
      <c r="G127" s="39">
        <v>-50000</v>
      </c>
      <c r="H127" s="39">
        <v>-50000</v>
      </c>
      <c r="I127" s="39">
        <v>-50000</v>
      </c>
      <c r="J127" s="39">
        <v>-50000</v>
      </c>
      <c r="K127" s="39">
        <v>-50000</v>
      </c>
      <c r="M127" t="s">
        <v>150</v>
      </c>
    </row>
    <row r="128" spans="3:13" ht="15" customHeight="1">
      <c r="C128" s="67" t="s">
        <v>181</v>
      </c>
      <c r="D128" s="80"/>
      <c r="E128" s="80"/>
      <c r="F128" s="80"/>
      <c r="G128" s="69">
        <f ca="1">G79+G82+G84+G86+G87</f>
        <v>-34936.267534244129</v>
      </c>
      <c r="H128" s="69">
        <f ca="1">H79+H82+H84+H86+H87</f>
        <v>-25676.007592229726</v>
      </c>
      <c r="I128" s="69">
        <f ca="1">I79+I82+I84+I86+I87</f>
        <v>-20446.795440293994</v>
      </c>
      <c r="J128" s="69">
        <f ca="1">J79+J82+J84+J86+J87</f>
        <v>-15803.152106803551</v>
      </c>
      <c r="K128" s="69">
        <f ca="1">K79+K82+K84+K86+K87</f>
        <v>-10801.321625207391</v>
      </c>
      <c r="M128" t="s">
        <v>152</v>
      </c>
    </row>
    <row r="129" spans="3:13" ht="15" customHeight="1">
      <c r="C129" s="70" t="s">
        <v>153</v>
      </c>
      <c r="G129" s="66">
        <f ca="1">SUM(G126:G128)</f>
        <v>152163.73246575586</v>
      </c>
      <c r="H129" s="66">
        <f ca="1">SUM(H126:H128)</f>
        <v>126523.72487352614</v>
      </c>
      <c r="I129" s="66">
        <f ca="1">SUM(I126:I128)</f>
        <v>106076.92943323214</v>
      </c>
      <c r="J129" s="66">
        <f ca="1">SUM(J126:J128)</f>
        <v>90273.777326428593</v>
      </c>
      <c r="K129" s="66">
        <f ca="1">SUM(K126:K128)</f>
        <v>79472.455701221203</v>
      </c>
    </row>
    <row r="130" spans="3:13" ht="15" customHeight="1">
      <c r="C130" s="29"/>
      <c r="G130" s="116"/>
      <c r="H130" s="116"/>
      <c r="I130" s="116"/>
      <c r="J130" s="116"/>
      <c r="K130" s="116"/>
    </row>
    <row r="131" spans="3:13" ht="15" customHeight="1">
      <c r="C131" s="27" t="s">
        <v>154</v>
      </c>
    </row>
    <row r="132" spans="3:13" ht="15" customHeight="1">
      <c r="C132" s="29" t="s">
        <v>114</v>
      </c>
      <c r="G132" s="61">
        <f>F135</f>
        <v>11964</v>
      </c>
      <c r="H132" s="61">
        <f ca="1">G135</f>
        <v>12000</v>
      </c>
      <c r="I132" s="61">
        <f ca="1">H135</f>
        <v>12000</v>
      </c>
      <c r="J132" s="61">
        <f ca="1">I135</f>
        <v>12000</v>
      </c>
      <c r="K132" s="61">
        <f ca="1">J135</f>
        <v>12000</v>
      </c>
      <c r="M132" t="s">
        <v>115</v>
      </c>
    </row>
    <row r="133" spans="3:13" ht="15" customHeight="1">
      <c r="C133" s="29" t="s">
        <v>155</v>
      </c>
      <c r="G133" s="66">
        <f ca="1">-MIN(G129,G132)</f>
        <v>-11964</v>
      </c>
      <c r="H133" s="66">
        <f ca="1">-MIN(H129,H132)</f>
        <v>-12000</v>
      </c>
      <c r="I133" s="66">
        <f ca="1">-MIN(I129,I132)</f>
        <v>-12000</v>
      </c>
      <c r="J133" s="66">
        <f ca="1">-MIN(J129,J132)</f>
        <v>-12000</v>
      </c>
      <c r="K133" s="66">
        <f ca="1">-MIN(K129,K132)</f>
        <v>-12000</v>
      </c>
      <c r="M133" t="s">
        <v>182</v>
      </c>
    </row>
    <row r="134" spans="3:13" ht="15" customHeight="1">
      <c r="C134" s="67" t="s">
        <v>183</v>
      </c>
      <c r="D134" s="80"/>
      <c r="E134" s="80"/>
      <c r="F134" s="80"/>
      <c r="G134" s="68">
        <v>12000</v>
      </c>
      <c r="H134" s="68">
        <v>12000</v>
      </c>
      <c r="I134" s="68">
        <v>12000</v>
      </c>
      <c r="J134" s="68">
        <v>12000</v>
      </c>
      <c r="K134" s="68">
        <v>12000</v>
      </c>
      <c r="M134" t="s">
        <v>150</v>
      </c>
    </row>
    <row r="135" spans="3:13" ht="15" customHeight="1">
      <c r="C135" s="117" t="s">
        <v>120</v>
      </c>
      <c r="D135" s="86">
        <f>D56</f>
        <v>0</v>
      </c>
      <c r="E135" s="86">
        <f>E56</f>
        <v>11977</v>
      </c>
      <c r="F135" s="86">
        <f>F56</f>
        <v>11964</v>
      </c>
      <c r="G135" s="86">
        <f ca="1">SUM(G132:G134)</f>
        <v>12000</v>
      </c>
      <c r="H135" s="86">
        <f ca="1">SUM(H132:H134)</f>
        <v>12000</v>
      </c>
      <c r="I135" s="86">
        <f ca="1">SUM(I132:I134)</f>
        <v>12000</v>
      </c>
      <c r="J135" s="86">
        <f ca="1">SUM(J132:J134)</f>
        <v>12000</v>
      </c>
      <c r="K135" s="86">
        <f ca="1">SUM(K132:K134)</f>
        <v>12000</v>
      </c>
    </row>
    <row r="136" spans="3:13" ht="15" customHeight="1">
      <c r="C136" s="87" t="s">
        <v>158</v>
      </c>
      <c r="D136" s="88"/>
      <c r="E136" s="88"/>
      <c r="F136" s="89"/>
      <c r="G136" s="90" t="str">
        <f ca="1">IF(G135&lt;0,"Negative Debt","OK")</f>
        <v>OK</v>
      </c>
      <c r="H136" s="90" t="str">
        <f ca="1">IF(H135&lt;0,"Negative Debt","OK")</f>
        <v>OK</v>
      </c>
      <c r="I136" s="90" t="str">
        <f ca="1">IF(I135&lt;0,"Negative Debt","OK")</f>
        <v>OK</v>
      </c>
      <c r="J136" s="90" t="str">
        <f ca="1">IF(J135&lt;0,"Negative Debt","OK")</f>
        <v>OK</v>
      </c>
      <c r="K136" s="91" t="str">
        <f ca="1">IF(K135&lt;0,"Negative Debt","OK")</f>
        <v>OK</v>
      </c>
    </row>
    <row r="137" spans="3:13" ht="15" customHeight="1">
      <c r="D137" s="42"/>
      <c r="E137" s="42"/>
      <c r="F137" s="92"/>
      <c r="G137" s="93"/>
      <c r="H137" s="93"/>
      <c r="I137" s="93"/>
      <c r="J137" s="93"/>
      <c r="K137" s="93"/>
    </row>
    <row r="138" spans="3:13" ht="15" customHeight="1">
      <c r="C138" s="16" t="s">
        <v>159</v>
      </c>
      <c r="D138" s="76"/>
      <c r="E138" s="76"/>
      <c r="F138" s="76"/>
      <c r="G138" s="94"/>
      <c r="H138" s="94"/>
      <c r="I138" s="94"/>
      <c r="J138" s="94"/>
      <c r="K138" s="94"/>
    </row>
    <row r="139" spans="3:13" ht="15" customHeight="1">
      <c r="C139" s="36" t="str">
        <f t="shared" ref="C139:K139" si="19">C14</f>
        <v xml:space="preserve">Fiscal year  </v>
      </c>
      <c r="D139" s="37">
        <f t="shared" si="19"/>
        <v>2016</v>
      </c>
      <c r="E139" s="37">
        <f t="shared" si="19"/>
        <v>2017</v>
      </c>
      <c r="F139" s="37">
        <f t="shared" si="19"/>
        <v>2018</v>
      </c>
      <c r="G139" s="65">
        <f t="shared" si="19"/>
        <v>2019</v>
      </c>
      <c r="H139" s="65">
        <f t="shared" si="19"/>
        <v>2020</v>
      </c>
      <c r="I139" s="65">
        <f t="shared" si="19"/>
        <v>2021</v>
      </c>
      <c r="J139" s="65">
        <f t="shared" si="19"/>
        <v>2022</v>
      </c>
      <c r="K139" s="65">
        <f t="shared" si="19"/>
        <v>2023</v>
      </c>
    </row>
    <row r="140" spans="3:13" ht="15" customHeight="1">
      <c r="C140" s="17" t="str">
        <f t="shared" ref="C140:K140" si="20">C15</f>
        <v>Fiscal year end date</v>
      </c>
      <c r="D140" s="38">
        <f t="shared" si="20"/>
        <v>42643</v>
      </c>
      <c r="E140" s="38">
        <f t="shared" si="20"/>
        <v>43008</v>
      </c>
      <c r="F140" s="38">
        <f t="shared" si="20"/>
        <v>43372</v>
      </c>
      <c r="G140" s="38">
        <f t="shared" si="20"/>
        <v>43738</v>
      </c>
      <c r="H140" s="38">
        <f t="shared" si="20"/>
        <v>44104</v>
      </c>
      <c r="I140" s="38">
        <f t="shared" si="20"/>
        <v>44469</v>
      </c>
      <c r="J140" s="38">
        <f t="shared" si="20"/>
        <v>44834</v>
      </c>
      <c r="K140" s="38">
        <f t="shared" si="20"/>
        <v>45199</v>
      </c>
    </row>
    <row r="141" spans="3:13" ht="15" customHeight="1">
      <c r="C141" s="29"/>
      <c r="D141" s="42"/>
      <c r="E141" s="42"/>
      <c r="F141" s="42"/>
      <c r="G141" s="96"/>
      <c r="H141" s="96"/>
      <c r="I141" s="96"/>
      <c r="J141" s="96"/>
      <c r="K141" s="96"/>
    </row>
    <row r="142" spans="3:13" ht="15" customHeight="1">
      <c r="C142" s="30" t="s">
        <v>184</v>
      </c>
      <c r="D142" s="42">
        <f>-(D24)</f>
        <v>1456</v>
      </c>
      <c r="E142" s="42">
        <f>-(E24)</f>
        <v>2323</v>
      </c>
      <c r="F142" s="42">
        <f>-(F24)</f>
        <v>3240</v>
      </c>
      <c r="G142" s="61">
        <f ca="1">G147+G152</f>
        <v>3223.1468651501777</v>
      </c>
      <c r="H142" s="61">
        <f ca="1">H147+H152</f>
        <v>3223.5392651501775</v>
      </c>
      <c r="I142" s="61">
        <f ca="1">I147+I152</f>
        <v>3223.5392651501775</v>
      </c>
      <c r="J142" s="61">
        <f ca="1">J147+J152</f>
        <v>3223.5392651501775</v>
      </c>
      <c r="K142" s="61">
        <f ca="1">K147+K152</f>
        <v>3223.5392651501775</v>
      </c>
      <c r="M142" t="s">
        <v>161</v>
      </c>
    </row>
    <row r="143" spans="3:13" ht="15" customHeight="1">
      <c r="C143" s="97"/>
    </row>
    <row r="144" spans="3:13" ht="15" customHeight="1">
      <c r="C144" s="98" t="s">
        <v>162</v>
      </c>
    </row>
    <row r="145" spans="3:13" ht="15" customHeight="1">
      <c r="C145" s="29" t="s">
        <v>163</v>
      </c>
      <c r="E145" s="99">
        <v>1.2E-2</v>
      </c>
      <c r="F145" s="99">
        <v>2.18E-2</v>
      </c>
      <c r="G145" s="118">
        <f>F145</f>
        <v>2.18E-2</v>
      </c>
      <c r="H145" s="118">
        <f>G145</f>
        <v>2.18E-2</v>
      </c>
      <c r="I145" s="118">
        <f>H145</f>
        <v>2.18E-2</v>
      </c>
      <c r="J145" s="118">
        <f>I145</f>
        <v>2.18E-2</v>
      </c>
      <c r="K145" s="118">
        <f>J145</f>
        <v>2.18E-2</v>
      </c>
      <c r="M145" t="s">
        <v>164</v>
      </c>
    </row>
    <row r="146" spans="3:13" ht="15" customHeight="1">
      <c r="C146" s="29" t="s">
        <v>165</v>
      </c>
      <c r="D146" s="42"/>
      <c r="E146" s="42">
        <f t="shared" ref="E146:K146" si="21">E56</f>
        <v>11977</v>
      </c>
      <c r="F146" s="42">
        <f t="shared" si="21"/>
        <v>11964</v>
      </c>
      <c r="G146" s="61">
        <f t="shared" ca="1" si="21"/>
        <v>12000</v>
      </c>
      <c r="H146" s="61">
        <f t="shared" ca="1" si="21"/>
        <v>12000</v>
      </c>
      <c r="I146" s="61">
        <f t="shared" ca="1" si="21"/>
        <v>12000</v>
      </c>
      <c r="J146" s="61">
        <f t="shared" ca="1" si="21"/>
        <v>12000</v>
      </c>
      <c r="K146" s="61">
        <f t="shared" ca="1" si="21"/>
        <v>12000</v>
      </c>
      <c r="M146" t="s">
        <v>166</v>
      </c>
    </row>
    <row r="147" spans="3:13" ht="15" customHeight="1">
      <c r="C147" s="101" t="s">
        <v>167</v>
      </c>
      <c r="D147" s="119"/>
      <c r="E147" s="119">
        <f t="shared" ref="E147:K147" si="22">AVERAGE(E146,D146)*E145</f>
        <v>143.72399999999999</v>
      </c>
      <c r="F147" s="119">
        <f t="shared" si="22"/>
        <v>260.95690000000002</v>
      </c>
      <c r="G147" s="120">
        <f t="shared" ca="1" si="22"/>
        <v>261.20760000000001</v>
      </c>
      <c r="H147" s="120">
        <f t="shared" ca="1" si="22"/>
        <v>261.60000000000002</v>
      </c>
      <c r="I147" s="120">
        <f t="shared" ca="1" si="22"/>
        <v>261.60000000000002</v>
      </c>
      <c r="J147" s="120">
        <f t="shared" ca="1" si="22"/>
        <v>261.60000000000002</v>
      </c>
      <c r="K147" s="120">
        <f t="shared" ca="1" si="22"/>
        <v>261.60000000000002</v>
      </c>
      <c r="M147" t="s">
        <v>168</v>
      </c>
    </row>
    <row r="148" spans="3:13" ht="15" customHeight="1">
      <c r="C148" s="103"/>
      <c r="D148" s="42"/>
      <c r="E148" s="42"/>
      <c r="F148" s="42"/>
    </row>
    <row r="149" spans="3:13" ht="15" customHeight="1">
      <c r="C149" s="98" t="s">
        <v>105</v>
      </c>
      <c r="D149" s="42"/>
      <c r="E149" s="42"/>
      <c r="F149" s="42"/>
    </row>
    <row r="150" spans="3:13" ht="15" customHeight="1">
      <c r="C150" s="29" t="s">
        <v>165</v>
      </c>
      <c r="D150" s="42"/>
      <c r="E150" s="42">
        <f t="shared" ref="E150:K150" si="23">E57</f>
        <v>103703</v>
      </c>
      <c r="F150" s="42">
        <f t="shared" si="23"/>
        <v>102519</v>
      </c>
      <c r="G150" s="61">
        <f t="shared" si="23"/>
        <v>102519</v>
      </c>
      <c r="H150" s="61">
        <f t="shared" si="23"/>
        <v>102519</v>
      </c>
      <c r="I150" s="61">
        <f t="shared" si="23"/>
        <v>102519</v>
      </c>
      <c r="J150" s="61">
        <f t="shared" si="23"/>
        <v>102519</v>
      </c>
      <c r="K150" s="61">
        <f t="shared" si="23"/>
        <v>102519</v>
      </c>
      <c r="M150" t="s">
        <v>107</v>
      </c>
    </row>
    <row r="151" spans="3:13" ht="15" customHeight="1">
      <c r="C151" s="29" t="s">
        <v>163</v>
      </c>
      <c r="E151" s="121">
        <f>E152/AVERAGE(D150:E150)</f>
        <v>2.101458974185896E-2</v>
      </c>
      <c r="F151" s="121">
        <f>F152/AVERAGE(E150:F150)</f>
        <v>2.8891612921996681E-2</v>
      </c>
      <c r="G151" s="122">
        <f>F151</f>
        <v>2.8891612921996681E-2</v>
      </c>
      <c r="H151" s="122">
        <f>G151</f>
        <v>2.8891612921996681E-2</v>
      </c>
      <c r="I151" s="122">
        <f>H151</f>
        <v>2.8891612921996681E-2</v>
      </c>
      <c r="J151" s="122">
        <f>I151</f>
        <v>2.8891612921996681E-2</v>
      </c>
      <c r="K151" s="122">
        <f>J151</f>
        <v>2.8891612921996681E-2</v>
      </c>
      <c r="M151" t="s">
        <v>164</v>
      </c>
    </row>
    <row r="152" spans="3:13" ht="15" customHeight="1">
      <c r="C152" s="70" t="s">
        <v>169</v>
      </c>
      <c r="D152" s="45"/>
      <c r="E152" s="84">
        <f>E142-E147</f>
        <v>2179.2759999999998</v>
      </c>
      <c r="F152" s="84">
        <f>F142-F147</f>
        <v>2979.0430999999999</v>
      </c>
      <c r="G152" s="28">
        <f>G151*AVERAGE(G150,F150)</f>
        <v>2961.9392651501776</v>
      </c>
      <c r="H152" s="28">
        <f>H151*AVERAGE(H150,G150)</f>
        <v>2961.9392651501776</v>
      </c>
      <c r="I152" s="28">
        <f>I151*AVERAGE(I150,H150)</f>
        <v>2961.9392651501776</v>
      </c>
      <c r="J152" s="28">
        <f>J151*AVERAGE(J150,I150)</f>
        <v>2961.9392651501776</v>
      </c>
      <c r="K152" s="28">
        <f>K151*AVERAGE(K150,J150)</f>
        <v>2961.9392651501776</v>
      </c>
      <c r="M152" t="s">
        <v>170</v>
      </c>
    </row>
    <row r="153" spans="3:13" ht="15" customHeight="1">
      <c r="C153" s="70"/>
      <c r="D153" s="45"/>
      <c r="E153" s="45"/>
      <c r="F153" s="45"/>
      <c r="G153" s="45"/>
      <c r="H153" s="45"/>
      <c r="I153" s="45"/>
      <c r="J153" s="45"/>
      <c r="K153" s="45"/>
    </row>
    <row r="154" spans="3:13" ht="15" customHeight="1">
      <c r="C154" s="97" t="s">
        <v>171</v>
      </c>
      <c r="E154" s="42"/>
      <c r="F154" s="42"/>
    </row>
    <row r="155" spans="3:13" ht="15" customHeight="1">
      <c r="C155" s="29" t="s">
        <v>172</v>
      </c>
      <c r="D155" s="49">
        <v>1.7299999999999999E-2</v>
      </c>
      <c r="E155" s="99">
        <v>1.9900000000000001E-2</v>
      </c>
      <c r="F155" s="99">
        <v>2.1600000000000001E-2</v>
      </c>
      <c r="G155" s="118">
        <f>F155</f>
        <v>2.1600000000000001E-2</v>
      </c>
      <c r="H155" s="118">
        <f>G155</f>
        <v>2.1600000000000001E-2</v>
      </c>
      <c r="I155" s="118">
        <f>H155</f>
        <v>2.1600000000000001E-2</v>
      </c>
      <c r="J155" s="118">
        <f>I155</f>
        <v>2.1600000000000001E-2</v>
      </c>
      <c r="K155" s="118">
        <f>J155</f>
        <v>2.1600000000000001E-2</v>
      </c>
      <c r="M155" t="s">
        <v>164</v>
      </c>
    </row>
    <row r="156" spans="3:13" ht="15" customHeight="1">
      <c r="C156" s="29" t="s">
        <v>19</v>
      </c>
      <c r="D156" s="42">
        <f>D23</f>
        <v>3999</v>
      </c>
      <c r="E156" s="42">
        <f>E23</f>
        <v>5201</v>
      </c>
      <c r="F156" s="42">
        <f>F23</f>
        <v>5686</v>
      </c>
      <c r="G156" s="61">
        <f ca="1">G155*AVERAGE(F45,G45)</f>
        <v>4744.4371106301642</v>
      </c>
      <c r="H156" s="61">
        <f ca="1">H155*AVERAGE(G45,H45)</f>
        <v>4090.2133392642463</v>
      </c>
      <c r="I156" s="61">
        <f ca="1">I155*AVERAGE(H45,I45)</f>
        <v>3592.0870665129901</v>
      </c>
      <c r="J156" s="61">
        <f ca="1">J155*AVERAGE(I45,J45)</f>
        <v>3200.5876330043361</v>
      </c>
      <c r="K156" s="61">
        <f ca="1">K155*AVERAGE(J45,K45)</f>
        <v>2913.259316698618</v>
      </c>
      <c r="M156" t="s">
        <v>185</v>
      </c>
    </row>
  </sheetData>
  <mergeCells count="1">
    <mergeCell ref="G95:K95"/>
  </mergeCells>
  <conditionalFormatting sqref="C39">
    <cfRule type="expression" dxfId="22" priority="2">
      <formula>#REF!=$C39</formula>
    </cfRule>
  </conditionalFormatting>
  <dataValidations count="2">
    <dataValidation type="list" allowBlank="1" showInputMessage="1" showErrorMessage="1" sqref="D7" xr:uid="{00000000-0002-0000-0400-000000000000}">
      <formula1>"0,1"</formula1>
      <formula2>0</formula2>
    </dataValidation>
    <dataValidation type="list" allowBlank="1" showInputMessage="1" showErrorMessage="1" sqref="C3" xr:uid="{00000000-0002-0000-0400-000001000000}">
      <formula1>"$ bns except per share,$ mm except per share,$ in thousands except per share"</formula1>
      <formula2>0</formula2>
    </dataValidation>
  </dataValidations>
  <pageMargins left="0.7" right="0.7" top="0.75" bottom="0.75" header="0.511811023622047" footer="0.511811023622047"/>
  <pageSetup scale="26" orientation="portrait" horizontalDpi="300" verticalDpi="300"/>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C1:T157"/>
  <sheetViews>
    <sheetView topLeftCell="A47" zoomScale="119" zoomScaleNormal="119" workbookViewId="0">
      <selection activeCell="G86" sqref="G86"/>
    </sheetView>
  </sheetViews>
  <sheetFormatPr baseColWidth="10" defaultColWidth="8.83203125" defaultRowHeight="15"/>
  <cols>
    <col min="1" max="2" width="1.6640625" customWidth="1"/>
    <col min="3" max="3" width="46.6640625" customWidth="1"/>
    <col min="4" max="11" width="11.5" customWidth="1"/>
    <col min="12" max="12" width="2.33203125" customWidth="1"/>
    <col min="13" max="13" width="11.5" customWidth="1"/>
    <col min="14" max="14" width="11.83203125" customWidth="1"/>
    <col min="15" max="17" width="10.33203125" customWidth="1"/>
    <col min="18" max="19" width="9.5" customWidth="1"/>
  </cols>
  <sheetData>
    <row r="1" spans="3:19" ht="15.75" customHeight="1"/>
    <row r="2" spans="3:19" ht="15.75" customHeight="1">
      <c r="C2" s="4" t="str">
        <f>"Financial Statement Model for "&amp;D5</f>
        <v>Financial Statement Model for Apple</v>
      </c>
      <c r="D2" s="5"/>
      <c r="E2" s="5"/>
      <c r="F2" s="5"/>
      <c r="G2" s="5"/>
      <c r="H2" s="5"/>
      <c r="I2" s="5"/>
      <c r="J2" s="5"/>
      <c r="K2" s="5"/>
    </row>
    <row r="3" spans="3:19" ht="15" customHeight="1">
      <c r="C3" s="6" t="s">
        <v>0</v>
      </c>
      <c r="D3" s="7"/>
      <c r="E3" s="7"/>
      <c r="F3" s="7"/>
      <c r="G3" s="7"/>
      <c r="H3" s="7"/>
    </row>
    <row r="5" spans="3:19" ht="15" customHeight="1">
      <c r="C5" s="8" t="s">
        <v>1</v>
      </c>
      <c r="D5" s="9" t="s">
        <v>2</v>
      </c>
    </row>
    <row r="6" spans="3:19" ht="15" customHeight="1">
      <c r="C6" s="8" t="s">
        <v>3</v>
      </c>
      <c r="D6" s="9" t="s">
        <v>4</v>
      </c>
    </row>
    <row r="7" spans="3:19" ht="15" customHeight="1">
      <c r="C7" t="s">
        <v>5</v>
      </c>
      <c r="D7" s="10">
        <v>1</v>
      </c>
    </row>
    <row r="8" spans="3:19" ht="15" customHeight="1">
      <c r="C8" t="s">
        <v>6</v>
      </c>
      <c r="D8" s="11">
        <v>171.25</v>
      </c>
    </row>
    <row r="9" spans="3:19" ht="15" customHeight="1">
      <c r="C9" t="s">
        <v>7</v>
      </c>
      <c r="D9" s="12">
        <v>43500</v>
      </c>
    </row>
    <row r="10" spans="3:19" ht="15" customHeight="1">
      <c r="C10" s="8" t="s">
        <v>8</v>
      </c>
      <c r="D10" s="13">
        <v>43372</v>
      </c>
    </row>
    <row r="11" spans="3:19" ht="15" customHeight="1">
      <c r="C11" t="s">
        <v>9</v>
      </c>
      <c r="D11" s="54">
        <v>4745.3980000000001</v>
      </c>
    </row>
    <row r="13" spans="3:19" ht="15" customHeight="1">
      <c r="C13" s="16" t="s">
        <v>10</v>
      </c>
      <c r="D13" s="17"/>
      <c r="E13" s="17"/>
      <c r="F13" s="17"/>
      <c r="G13" s="17"/>
      <c r="H13" s="17"/>
      <c r="I13" s="17"/>
      <c r="J13" s="17"/>
      <c r="K13" s="17"/>
    </row>
    <row r="14" spans="3:19" ht="15" customHeight="1">
      <c r="C14" t="s">
        <v>11</v>
      </c>
      <c r="D14" s="18">
        <f>E14-1</f>
        <v>2016</v>
      </c>
      <c r="E14" s="18">
        <f>F14-1</f>
        <v>2017</v>
      </c>
      <c r="F14" s="18">
        <f>YEAR(D10)</f>
        <v>2018</v>
      </c>
      <c r="G14" s="55">
        <f>F14+1</f>
        <v>2019</v>
      </c>
      <c r="H14" s="55">
        <f>G14+1</f>
        <v>2020</v>
      </c>
      <c r="I14" s="55">
        <f>H14+1</f>
        <v>2021</v>
      </c>
      <c r="J14" s="55">
        <f>I14+1</f>
        <v>2022</v>
      </c>
      <c r="K14" s="55">
        <f>J14+1</f>
        <v>2023</v>
      </c>
    </row>
    <row r="15" spans="3:19" ht="15" customHeight="1">
      <c r="C15" s="19" t="s">
        <v>12</v>
      </c>
      <c r="D15" s="20">
        <f>EOMONTH(E15,-12)</f>
        <v>42643</v>
      </c>
      <c r="E15" s="20">
        <f>EOMONTH(F15,-12)</f>
        <v>43008</v>
      </c>
      <c r="F15" s="20">
        <f>D10</f>
        <v>43372</v>
      </c>
      <c r="G15" s="20">
        <f>EOMONTH(F15,12)</f>
        <v>43738</v>
      </c>
      <c r="H15" s="20">
        <f>EOMONTH(G15,12)</f>
        <v>44104</v>
      </c>
      <c r="I15" s="20">
        <f>EOMONTH(H15,12)</f>
        <v>44469</v>
      </c>
      <c r="J15" s="20">
        <f>EOMONTH(I15,12)</f>
        <v>44834</v>
      </c>
      <c r="K15" s="20">
        <f>EOMONTH(J15,12)</f>
        <v>45199</v>
      </c>
      <c r="M15" s="16" t="s">
        <v>66</v>
      </c>
      <c r="N15" s="17"/>
      <c r="O15" s="17"/>
      <c r="P15" s="17"/>
      <c r="Q15" s="17"/>
      <c r="R15" s="17"/>
      <c r="S15" s="17"/>
    </row>
    <row r="16" spans="3:19" ht="15" customHeight="1">
      <c r="C16" s="23"/>
      <c r="D16" s="24"/>
      <c r="E16" s="25"/>
      <c r="F16" s="25"/>
      <c r="G16" s="56"/>
      <c r="H16" s="57"/>
      <c r="I16" s="57"/>
      <c r="J16" s="25"/>
      <c r="K16" s="25"/>
    </row>
    <row r="17" spans="3:14" ht="15" customHeight="1">
      <c r="C17" t="s">
        <v>13</v>
      </c>
      <c r="D17" s="39">
        <v>215639</v>
      </c>
      <c r="E17" s="39">
        <v>229234</v>
      </c>
      <c r="F17" s="39">
        <v>265595</v>
      </c>
      <c r="G17" s="58">
        <f>F17*(1+G36)</f>
        <v>254971.19999999998</v>
      </c>
      <c r="H17" s="58">
        <f>G17*(1+H36)</f>
        <v>270269.47200000001</v>
      </c>
      <c r="I17" s="58">
        <f>H17*(1+I36)</f>
        <v>288918.06556800002</v>
      </c>
      <c r="J17" s="58">
        <f>I17*(1+J36)</f>
        <v>308853.41209219198</v>
      </c>
      <c r="K17" s="58">
        <f>J17*(1+K36)</f>
        <v>330164.29752655321</v>
      </c>
      <c r="M17" t="s">
        <v>67</v>
      </c>
    </row>
    <row r="18" spans="3:14" ht="15" customHeight="1">
      <c r="C18" t="s">
        <v>14</v>
      </c>
      <c r="D18" s="39">
        <v>-131376</v>
      </c>
      <c r="E18" s="39">
        <v>-141048</v>
      </c>
      <c r="F18" s="39">
        <v>-163756</v>
      </c>
      <c r="G18" s="58">
        <f>G19-G17</f>
        <v>-158592.08639999997</v>
      </c>
      <c r="H18" s="58">
        <f>H19-H17</f>
        <v>-167296.80316800001</v>
      </c>
      <c r="I18" s="58">
        <f>I19-I17</f>
        <v>-178551.36452102399</v>
      </c>
      <c r="J18" s="58">
        <f>J19-J17</f>
        <v>-190871.40867297465</v>
      </c>
      <c r="K18" s="58">
        <f>K19-K17</f>
        <v>-204041.53587140987</v>
      </c>
      <c r="M18" t="s">
        <v>68</v>
      </c>
    </row>
    <row r="19" spans="3:14" ht="15" customHeight="1">
      <c r="C19" s="27" t="s">
        <v>15</v>
      </c>
      <c r="D19" s="41">
        <f>SUM(D17:D18)</f>
        <v>84263</v>
      </c>
      <c r="E19" s="41">
        <f>SUM(E17:E18)</f>
        <v>88186</v>
      </c>
      <c r="F19" s="41">
        <f>SUM(F17:F18)</f>
        <v>101839</v>
      </c>
      <c r="G19" s="28">
        <f>G17*G37</f>
        <v>96379.113599999997</v>
      </c>
      <c r="H19" s="28">
        <f>H17*H37</f>
        <v>102972.66883200001</v>
      </c>
      <c r="I19" s="28">
        <f>I17*I37</f>
        <v>110366.70104697601</v>
      </c>
      <c r="J19" s="28">
        <f>J17*J37</f>
        <v>117982.00341921733</v>
      </c>
      <c r="K19" s="28">
        <f>K17*K37</f>
        <v>126122.76165514333</v>
      </c>
      <c r="M19" t="s">
        <v>69</v>
      </c>
    </row>
    <row r="20" spans="3:14" ht="15" customHeight="1">
      <c r="C20" t="s">
        <v>16</v>
      </c>
      <c r="D20" s="39">
        <v>-10045</v>
      </c>
      <c r="E20" s="39">
        <v>-11581</v>
      </c>
      <c r="F20" s="39">
        <v>-14236</v>
      </c>
      <c r="G20" s="58">
        <f>-G38*G17</f>
        <v>-15808.214399999999</v>
      </c>
      <c r="H20" s="58">
        <f>-H38*H17</f>
        <v>-17026.976736000001</v>
      </c>
      <c r="I20" s="58">
        <f>-I38*I17</f>
        <v>-18201.838130784003</v>
      </c>
      <c r="J20" s="58">
        <f>-J38*J17</f>
        <v>-19457.764961808094</v>
      </c>
      <c r="K20" s="58">
        <f>-K38*K17</f>
        <v>-20800.350744172854</v>
      </c>
      <c r="M20" t="s">
        <v>70</v>
      </c>
    </row>
    <row r="21" spans="3:14" ht="15" customHeight="1">
      <c r="C21" t="s">
        <v>17</v>
      </c>
      <c r="D21" s="39">
        <v>-14194</v>
      </c>
      <c r="E21" s="39">
        <v>-15261</v>
      </c>
      <c r="F21" s="39">
        <v>-16705</v>
      </c>
      <c r="G21" s="58">
        <f>-G17*G39</f>
        <v>-18867.868799999997</v>
      </c>
      <c r="H21" s="58">
        <f>-H17*H39</f>
        <v>-18648.593568000004</v>
      </c>
      <c r="I21" s="58">
        <f>-I17*I39</f>
        <v>-19935.346524192002</v>
      </c>
      <c r="J21" s="58">
        <f>-J17*J39</f>
        <v>-21310.885434361247</v>
      </c>
      <c r="K21" s="58">
        <f>-K17*K39</f>
        <v>-22781.336529332173</v>
      </c>
      <c r="M21" t="s">
        <v>71</v>
      </c>
    </row>
    <row r="22" spans="3:14" ht="15" customHeight="1">
      <c r="C22" s="27" t="s">
        <v>18</v>
      </c>
      <c r="D22" s="41">
        <f t="shared" ref="D22:K22" si="0">D19+D20+D21</f>
        <v>60024</v>
      </c>
      <c r="E22" s="41">
        <f t="shared" si="0"/>
        <v>61344</v>
      </c>
      <c r="F22" s="41">
        <f t="shared" si="0"/>
        <v>70898</v>
      </c>
      <c r="G22" s="28">
        <f t="shared" si="0"/>
        <v>61703.030400000003</v>
      </c>
      <c r="H22" s="28">
        <f t="shared" si="0"/>
        <v>67297.098528000002</v>
      </c>
      <c r="I22" s="28">
        <f t="shared" si="0"/>
        <v>72229.516392000005</v>
      </c>
      <c r="J22" s="28">
        <f t="shared" si="0"/>
        <v>77213.353023047996</v>
      </c>
      <c r="K22" s="28">
        <f t="shared" si="0"/>
        <v>82541.074381638304</v>
      </c>
      <c r="M22" s="27" t="s">
        <v>72</v>
      </c>
    </row>
    <row r="23" spans="3:14" ht="15" customHeight="1">
      <c r="C23" t="s">
        <v>19</v>
      </c>
      <c r="D23" s="39">
        <v>3999</v>
      </c>
      <c r="E23" s="39">
        <v>5201</v>
      </c>
      <c r="F23" s="39">
        <v>5686</v>
      </c>
      <c r="G23" s="60">
        <f ca="1">G156</f>
        <v>4744.4371106301642</v>
      </c>
      <c r="H23" s="60">
        <f ca="1">H156</f>
        <v>4090.2133392642463</v>
      </c>
      <c r="I23" s="60">
        <f ca="1">I156</f>
        <v>3592.0870665129901</v>
      </c>
      <c r="J23" s="60">
        <f ca="1">J156</f>
        <v>3200.5876330043361</v>
      </c>
      <c r="K23" s="60">
        <f ca="1">K156</f>
        <v>2913.259316698618</v>
      </c>
      <c r="M23" t="s">
        <v>73</v>
      </c>
    </row>
    <row r="24" spans="3:14" ht="15" customHeight="1">
      <c r="C24" t="s">
        <v>20</v>
      </c>
      <c r="D24" s="39">
        <v>-1456</v>
      </c>
      <c r="E24" s="39">
        <v>-2323</v>
      </c>
      <c r="F24" s="39">
        <v>-3240</v>
      </c>
      <c r="G24" s="60">
        <f ca="1">-G142</f>
        <v>-3223.1468651501777</v>
      </c>
      <c r="H24" s="60">
        <f ca="1">-H142</f>
        <v>-3223.5392651501775</v>
      </c>
      <c r="I24" s="60">
        <f ca="1">-I142</f>
        <v>-3223.5392651501775</v>
      </c>
      <c r="J24" s="60">
        <f ca="1">-J142</f>
        <v>-3223.5392651501775</v>
      </c>
      <c r="K24" s="60">
        <f ca="1">-K142</f>
        <v>-3223.5392651501775</v>
      </c>
      <c r="M24" t="s">
        <v>74</v>
      </c>
    </row>
    <row r="25" spans="3:14" ht="15" customHeight="1">
      <c r="C25" t="s">
        <v>21</v>
      </c>
      <c r="D25" s="39">
        <v>-1195</v>
      </c>
      <c r="E25" s="39">
        <v>-133</v>
      </c>
      <c r="F25" s="39">
        <v>-441</v>
      </c>
      <c r="G25" s="61">
        <f>F25</f>
        <v>-441</v>
      </c>
      <c r="H25" s="61">
        <f>G25</f>
        <v>-441</v>
      </c>
      <c r="I25" s="61">
        <f>H25</f>
        <v>-441</v>
      </c>
      <c r="J25" s="61">
        <f>I25</f>
        <v>-441</v>
      </c>
      <c r="K25" s="61">
        <f>J25</f>
        <v>-441</v>
      </c>
      <c r="M25" t="s">
        <v>75</v>
      </c>
    </row>
    <row r="26" spans="3:14" ht="15" customHeight="1">
      <c r="C26" s="27" t="s">
        <v>22</v>
      </c>
      <c r="D26" s="41">
        <f t="shared" ref="D26:K26" si="1">SUM(D22:D25)</f>
        <v>61372</v>
      </c>
      <c r="E26" s="41">
        <f t="shared" si="1"/>
        <v>64089</v>
      </c>
      <c r="F26" s="41">
        <f t="shared" si="1"/>
        <v>72903</v>
      </c>
      <c r="G26" s="28">
        <f t="shared" ca="1" si="1"/>
        <v>62783.320645479995</v>
      </c>
      <c r="H26" s="28">
        <f t="shared" ca="1" si="1"/>
        <v>67722.77260211407</v>
      </c>
      <c r="I26" s="28">
        <f t="shared" ca="1" si="1"/>
        <v>72157.064193362821</v>
      </c>
      <c r="J26" s="28">
        <f t="shared" ca="1" si="1"/>
        <v>76749.40139090216</v>
      </c>
      <c r="K26" s="28">
        <f t="shared" ca="1" si="1"/>
        <v>81789.794433186747</v>
      </c>
      <c r="M26" s="27" t="s">
        <v>76</v>
      </c>
      <c r="N26" s="27"/>
    </row>
    <row r="27" spans="3:14" ht="15" customHeight="1">
      <c r="C27" t="s">
        <v>23</v>
      </c>
      <c r="D27" s="39">
        <v>-15685</v>
      </c>
      <c r="E27" s="39">
        <v>-15738</v>
      </c>
      <c r="F27" s="39">
        <v>-13372</v>
      </c>
      <c r="G27" s="58">
        <f ca="1">-G40*G26</f>
        <v>-10484.81454779516</v>
      </c>
      <c r="H27" s="58">
        <f ca="1">-H40*H26</f>
        <v>-11512.871342359393</v>
      </c>
      <c r="I27" s="58">
        <f ca="1">-I40*I26</f>
        <v>-12194.543848678317</v>
      </c>
      <c r="J27" s="58">
        <f ca="1">-J40*J26</f>
        <v>-12970.648835062466</v>
      </c>
      <c r="K27" s="58">
        <f ca="1">-K40*K26</f>
        <v>-13822.475259208561</v>
      </c>
      <c r="M27" t="s">
        <v>77</v>
      </c>
    </row>
    <row r="28" spans="3:14" ht="15" customHeight="1">
      <c r="C28" s="27" t="s">
        <v>24</v>
      </c>
      <c r="D28" s="41">
        <f t="shared" ref="D28:K28" si="2">SUM(D26:D27)</f>
        <v>45687</v>
      </c>
      <c r="E28" s="41">
        <f t="shared" si="2"/>
        <v>48351</v>
      </c>
      <c r="F28" s="41">
        <f t="shared" si="2"/>
        <v>59531</v>
      </c>
      <c r="G28" s="28">
        <f t="shared" ca="1" si="2"/>
        <v>52298.506097684833</v>
      </c>
      <c r="H28" s="28">
        <f t="shared" ca="1" si="2"/>
        <v>56209.901259754675</v>
      </c>
      <c r="I28" s="28">
        <f t="shared" ca="1" si="2"/>
        <v>59962.520344684504</v>
      </c>
      <c r="J28" s="28">
        <f t="shared" ca="1" si="2"/>
        <v>63778.752555839696</v>
      </c>
      <c r="K28" s="28">
        <f t="shared" ca="1" si="2"/>
        <v>67967.319173978191</v>
      </c>
      <c r="M28" s="27" t="s">
        <v>78</v>
      </c>
    </row>
    <row r="29" spans="3:14" ht="15" customHeight="1">
      <c r="C29" s="29"/>
      <c r="D29" s="42"/>
      <c r="E29" s="42"/>
      <c r="F29" s="42"/>
      <c r="G29" s="42"/>
      <c r="H29" s="42"/>
      <c r="I29" s="42"/>
      <c r="J29" s="42"/>
      <c r="K29" s="42"/>
    </row>
    <row r="30" spans="3:14" ht="15" customHeight="1">
      <c r="C30" s="30" t="s">
        <v>25</v>
      </c>
      <c r="D30" s="39">
        <v>10505</v>
      </c>
      <c r="E30" s="39">
        <v>10157</v>
      </c>
      <c r="F30" s="39">
        <v>10903</v>
      </c>
      <c r="G30" s="61">
        <f>G106</f>
        <v>11085.020171261172</v>
      </c>
      <c r="H30" s="61">
        <f>H106</f>
        <v>11711.890744865921</v>
      </c>
      <c r="I30" s="61">
        <f>I106</f>
        <v>12226.380531123083</v>
      </c>
      <c r="J30" s="61">
        <f>J106</f>
        <v>13365.451007770575</v>
      </c>
      <c r="K30" s="61">
        <f>K106</f>
        <v>14603.503412486743</v>
      </c>
      <c r="M30" t="s">
        <v>79</v>
      </c>
    </row>
    <row r="31" spans="3:14" ht="15" customHeight="1">
      <c r="C31" s="31" t="s">
        <v>26</v>
      </c>
      <c r="D31" s="41">
        <f t="shared" ref="D31:K31" si="3">D22+D30</f>
        <v>70529</v>
      </c>
      <c r="E31" s="41">
        <f t="shared" si="3"/>
        <v>71501</v>
      </c>
      <c r="F31" s="41">
        <f t="shared" si="3"/>
        <v>81801</v>
      </c>
      <c r="G31" s="28">
        <f t="shared" si="3"/>
        <v>72788.050571261178</v>
      </c>
      <c r="H31" s="28">
        <f t="shared" si="3"/>
        <v>79008.989272865918</v>
      </c>
      <c r="I31" s="28">
        <f t="shared" si="3"/>
        <v>84455.896923123088</v>
      </c>
      <c r="J31" s="28">
        <f t="shared" si="3"/>
        <v>90578.804030818574</v>
      </c>
      <c r="K31" s="28">
        <f t="shared" si="3"/>
        <v>97144.577794125042</v>
      </c>
      <c r="M31" s="27" t="s">
        <v>80</v>
      </c>
    </row>
    <row r="32" spans="3:14" ht="15" customHeight="1">
      <c r="C32" s="30" t="s">
        <v>27</v>
      </c>
      <c r="D32" s="39">
        <v>4210</v>
      </c>
      <c r="E32" s="39">
        <v>4840</v>
      </c>
      <c r="F32" s="39">
        <v>5340</v>
      </c>
      <c r="G32" s="61">
        <f>F32*(1+G36)</f>
        <v>5126.3999999999996</v>
      </c>
      <c r="H32" s="61">
        <f>G32*(1+H36)</f>
        <v>5433.9839999999995</v>
      </c>
      <c r="I32" s="61">
        <f>H32*(1+I36)</f>
        <v>5808.9288959999994</v>
      </c>
      <c r="J32" s="61">
        <f>I32*(1+J36)</f>
        <v>6209.7449898239993</v>
      </c>
      <c r="K32" s="61">
        <f>J32*(1+K36)</f>
        <v>6638.2173941218552</v>
      </c>
      <c r="M32" t="s">
        <v>81</v>
      </c>
    </row>
    <row r="33" spans="3:20" ht="15" customHeight="1">
      <c r="C33" s="31" t="s">
        <v>28</v>
      </c>
      <c r="D33" s="41">
        <f t="shared" ref="D33:K33" si="4">SUM(D31:D32)</f>
        <v>74739</v>
      </c>
      <c r="E33" s="41">
        <f t="shared" si="4"/>
        <v>76341</v>
      </c>
      <c r="F33" s="41">
        <f t="shared" si="4"/>
        <v>87141</v>
      </c>
      <c r="G33" s="28">
        <f t="shared" si="4"/>
        <v>77914.450571261172</v>
      </c>
      <c r="H33" s="28">
        <f t="shared" si="4"/>
        <v>84442.973272865915</v>
      </c>
      <c r="I33" s="28">
        <f t="shared" si="4"/>
        <v>90264.825819123085</v>
      </c>
      <c r="J33" s="28">
        <f t="shared" si="4"/>
        <v>96788.549020642575</v>
      </c>
      <c r="K33" s="28">
        <f t="shared" si="4"/>
        <v>103782.79518824689</v>
      </c>
      <c r="M33" s="27" t="s">
        <v>82</v>
      </c>
    </row>
    <row r="34" spans="3:20" ht="15" customHeight="1">
      <c r="C34" s="29"/>
      <c r="G34" s="62"/>
    </row>
    <row r="35" spans="3:20" ht="15" customHeight="1">
      <c r="C35" s="32" t="s">
        <v>83</v>
      </c>
    </row>
    <row r="36" spans="3:20" ht="15" customHeight="1">
      <c r="C36" s="29" t="s">
        <v>30</v>
      </c>
      <c r="D36" s="63"/>
      <c r="E36" s="63">
        <f>E17/D17-1</f>
        <v>6.304518199398057E-2</v>
      </c>
      <c r="F36" s="63">
        <f>F17/E17-1</f>
        <v>0.15861957650261305</v>
      </c>
      <c r="G36" s="35">
        <v>-0.04</v>
      </c>
      <c r="H36" s="35">
        <v>0.06</v>
      </c>
      <c r="I36" s="35">
        <v>6.9000000000000006E-2</v>
      </c>
      <c r="J36" s="63">
        <f t="shared" ref="J36:K40" si="5">I36</f>
        <v>6.9000000000000006E-2</v>
      </c>
      <c r="K36" s="63">
        <f t="shared" si="5"/>
        <v>6.9000000000000006E-2</v>
      </c>
      <c r="M36" t="s">
        <v>84</v>
      </c>
      <c r="O36" s="35"/>
      <c r="P36" s="35"/>
      <c r="Q36" s="35"/>
      <c r="R36" s="35"/>
      <c r="S36" s="35"/>
      <c r="T36" s="35"/>
    </row>
    <row r="37" spans="3:20" ht="15" customHeight="1">
      <c r="C37" s="29" t="s">
        <v>31</v>
      </c>
      <c r="D37" s="63">
        <f>D19/D17</f>
        <v>0.39075955648097049</v>
      </c>
      <c r="E37" s="63">
        <f>E19/E17</f>
        <v>0.38469860491899105</v>
      </c>
      <c r="F37" s="63">
        <f>F19/F17</f>
        <v>0.38343718820007905</v>
      </c>
      <c r="G37" s="35">
        <v>0.378</v>
      </c>
      <c r="H37" s="35">
        <v>0.38100000000000001</v>
      </c>
      <c r="I37" s="35">
        <v>0.38200000000000001</v>
      </c>
      <c r="J37" s="63">
        <f t="shared" si="5"/>
        <v>0.38200000000000001</v>
      </c>
      <c r="K37" s="63">
        <f t="shared" si="5"/>
        <v>0.38200000000000001</v>
      </c>
      <c r="M37" t="s">
        <v>85</v>
      </c>
      <c r="O37" s="35"/>
      <c r="P37" s="35"/>
      <c r="Q37" s="35"/>
      <c r="R37" s="35"/>
      <c r="S37" s="35"/>
      <c r="T37" s="35"/>
    </row>
    <row r="38" spans="3:20" ht="15" customHeight="1">
      <c r="C38" s="29" t="s">
        <v>32</v>
      </c>
      <c r="D38" s="63">
        <f>-D20/D17</f>
        <v>4.6582482760539605E-2</v>
      </c>
      <c r="E38" s="63">
        <f>-E20/E17</f>
        <v>5.0520428906706681E-2</v>
      </c>
      <c r="F38" s="63">
        <f>-F20/F17</f>
        <v>5.3600406634161032E-2</v>
      </c>
      <c r="G38" s="35">
        <v>6.2E-2</v>
      </c>
      <c r="H38" s="35">
        <v>6.3E-2</v>
      </c>
      <c r="I38" s="35">
        <v>6.3E-2</v>
      </c>
      <c r="J38" s="63">
        <f t="shared" si="5"/>
        <v>6.3E-2</v>
      </c>
      <c r="K38" s="63">
        <f t="shared" si="5"/>
        <v>6.3E-2</v>
      </c>
      <c r="M38" t="s">
        <v>86</v>
      </c>
      <c r="O38" s="35"/>
      <c r="P38" s="35"/>
      <c r="Q38" s="35"/>
      <c r="R38" s="35"/>
      <c r="S38" s="35"/>
      <c r="T38" s="35"/>
    </row>
    <row r="39" spans="3:20" ht="15" customHeight="1">
      <c r="C39" s="29" t="s">
        <v>33</v>
      </c>
      <c r="D39" s="63">
        <f>-D21/D17</f>
        <v>6.5822972653369755E-2</v>
      </c>
      <c r="E39" s="63">
        <f>-E21/E17</f>
        <v>6.6573893924984945E-2</v>
      </c>
      <c r="F39" s="63">
        <f>-F21/F17</f>
        <v>6.2896515371147807E-2</v>
      </c>
      <c r="G39" s="35">
        <v>7.3999999999999996E-2</v>
      </c>
      <c r="H39" s="35">
        <v>6.9000000000000006E-2</v>
      </c>
      <c r="I39" s="35">
        <v>6.9000000000000006E-2</v>
      </c>
      <c r="J39" s="63">
        <f t="shared" si="5"/>
        <v>6.9000000000000006E-2</v>
      </c>
      <c r="K39" s="63">
        <f t="shared" si="5"/>
        <v>6.9000000000000006E-2</v>
      </c>
      <c r="M39" t="s">
        <v>86</v>
      </c>
      <c r="O39" s="35"/>
      <c r="P39" s="35"/>
      <c r="Q39" s="35"/>
      <c r="R39" s="35"/>
      <c r="S39" s="35"/>
      <c r="T39" s="35"/>
    </row>
    <row r="40" spans="3:20" ht="15" customHeight="1">
      <c r="C40" s="29" t="s">
        <v>34</v>
      </c>
      <c r="D40" s="63">
        <f>-(D27/D26)</f>
        <v>0.25557257381216192</v>
      </c>
      <c r="E40" s="63">
        <f>-(E27/E26)</f>
        <v>0.24556476150353415</v>
      </c>
      <c r="F40" s="63">
        <f>-(F27/F26)</f>
        <v>0.18342180705869443</v>
      </c>
      <c r="G40" s="35">
        <v>0.16700000000000001</v>
      </c>
      <c r="H40" s="35">
        <v>0.17</v>
      </c>
      <c r="I40" s="35">
        <v>0.16900000000000001</v>
      </c>
      <c r="J40" s="63">
        <f t="shared" si="5"/>
        <v>0.16900000000000001</v>
      </c>
      <c r="K40" s="63">
        <f t="shared" si="5"/>
        <v>0.16900000000000001</v>
      </c>
      <c r="M40" t="s">
        <v>86</v>
      </c>
      <c r="O40" s="35"/>
      <c r="P40" s="35"/>
      <c r="Q40" s="35"/>
      <c r="R40" s="35"/>
      <c r="S40" s="35"/>
      <c r="T40" s="35"/>
    </row>
    <row r="41" spans="3:20" ht="15" customHeight="1">
      <c r="C41" s="29"/>
      <c r="G41" s="62"/>
    </row>
    <row r="42" spans="3:20" ht="15" customHeight="1">
      <c r="C42" s="16" t="s">
        <v>35</v>
      </c>
      <c r="D42" s="20"/>
      <c r="E42" s="20"/>
      <c r="F42" s="20"/>
      <c r="G42" s="17"/>
      <c r="H42" s="17"/>
      <c r="I42" s="17"/>
      <c r="J42" s="17"/>
      <c r="K42" s="17"/>
    </row>
    <row r="43" spans="3:20" ht="15" customHeight="1">
      <c r="C43" s="36" t="str">
        <f>C14</f>
        <v xml:space="preserve">Fiscal year  </v>
      </c>
      <c r="D43" s="37"/>
      <c r="E43" s="37">
        <f t="shared" ref="E43:K44" si="6">E14</f>
        <v>2017</v>
      </c>
      <c r="F43" s="37">
        <f t="shared" si="6"/>
        <v>2018</v>
      </c>
      <c r="G43" s="65">
        <f t="shared" si="6"/>
        <v>2019</v>
      </c>
      <c r="H43" s="65">
        <f t="shared" si="6"/>
        <v>2020</v>
      </c>
      <c r="I43" s="65">
        <f t="shared" si="6"/>
        <v>2021</v>
      </c>
      <c r="J43" s="65">
        <f t="shared" si="6"/>
        <v>2022</v>
      </c>
      <c r="K43" s="65">
        <f t="shared" si="6"/>
        <v>2023</v>
      </c>
    </row>
    <row r="44" spans="3:20" ht="15" customHeight="1">
      <c r="C44" s="17" t="str">
        <f>C15</f>
        <v>Fiscal year end date</v>
      </c>
      <c r="D44" s="38"/>
      <c r="E44" s="38">
        <f t="shared" si="6"/>
        <v>43008</v>
      </c>
      <c r="F44" s="38">
        <f t="shared" si="6"/>
        <v>43372</v>
      </c>
      <c r="G44" s="38">
        <f t="shared" si="6"/>
        <v>43738</v>
      </c>
      <c r="H44" s="38">
        <f t="shared" si="6"/>
        <v>44104</v>
      </c>
      <c r="I44" s="38">
        <f t="shared" si="6"/>
        <v>44469</v>
      </c>
      <c r="J44" s="38">
        <f t="shared" si="6"/>
        <v>44834</v>
      </c>
      <c r="K44" s="38">
        <f t="shared" si="6"/>
        <v>45199</v>
      </c>
    </row>
    <row r="45" spans="3:20" ht="15" customHeight="1">
      <c r="C45" t="s">
        <v>38</v>
      </c>
      <c r="D45" s="39"/>
      <c r="E45" s="39">
        <f>20289+53892+194714</f>
        <v>268895</v>
      </c>
      <c r="F45" s="39">
        <f>25913+40388+170799</f>
        <v>237100</v>
      </c>
      <c r="G45" s="61">
        <f ca="1">G90+F45</f>
        <v>202199.73246575586</v>
      </c>
      <c r="H45" s="61">
        <f ca="1">H90+G45</f>
        <v>176523.72487352614</v>
      </c>
      <c r="I45" s="61">
        <f ca="1">I90+H45</f>
        <v>156076.92943323214</v>
      </c>
      <c r="J45" s="61">
        <f ca="1">J90+I45</f>
        <v>140273.77732642859</v>
      </c>
      <c r="K45" s="61">
        <f ca="1">K90+J45</f>
        <v>129472.4557012212</v>
      </c>
      <c r="M45" t="s">
        <v>87</v>
      </c>
    </row>
    <row r="46" spans="3:20" ht="15" customHeight="1">
      <c r="C46" t="s">
        <v>39</v>
      </c>
      <c r="D46" s="39"/>
      <c r="E46" s="39">
        <v>17874</v>
      </c>
      <c r="F46" s="39">
        <v>23186</v>
      </c>
      <c r="G46" s="61">
        <f>F46*(1+G36)</f>
        <v>22258.559999999998</v>
      </c>
      <c r="H46" s="61">
        <f>G46*(1+H36)</f>
        <v>23594.0736</v>
      </c>
      <c r="I46" s="61">
        <f>H46*(1+I36)</f>
        <v>25222.064678399998</v>
      </c>
      <c r="J46" s="61">
        <f>I46*(1+J36)</f>
        <v>26962.387141209598</v>
      </c>
      <c r="K46" s="61">
        <f>J46*(1+K36)</f>
        <v>28822.791853953058</v>
      </c>
      <c r="M46" t="s">
        <v>88</v>
      </c>
    </row>
    <row r="47" spans="3:20" ht="15" customHeight="1">
      <c r="C47" t="s">
        <v>40</v>
      </c>
      <c r="D47" s="39"/>
      <c r="E47" s="39">
        <v>4855</v>
      </c>
      <c r="F47" s="39">
        <v>3956</v>
      </c>
      <c r="G47" s="61">
        <f>F47*G18/F18</f>
        <v>3831.2507254598299</v>
      </c>
      <c r="H47" s="61">
        <f>G47*H18/G18</f>
        <v>4041.5383456643303</v>
      </c>
      <c r="I47" s="61">
        <f>H47*I18/H18</f>
        <v>4313.4248396710409</v>
      </c>
      <c r="J47" s="61">
        <f>I47*J18/I18</f>
        <v>4611.0511536083422</v>
      </c>
      <c r="K47" s="61">
        <f>J47*K18/J18</f>
        <v>4929.2136832073174</v>
      </c>
      <c r="M47" t="s">
        <v>89</v>
      </c>
    </row>
    <row r="48" spans="3:20" ht="15" customHeight="1">
      <c r="C48" t="s">
        <v>41</v>
      </c>
      <c r="D48" s="39"/>
      <c r="E48" s="39">
        <f>17799+13936</f>
        <v>31735</v>
      </c>
      <c r="F48" s="39">
        <f>25809+12087</f>
        <v>37896</v>
      </c>
      <c r="G48" s="61">
        <f>F48*(1+G36)</f>
        <v>36380.159999999996</v>
      </c>
      <c r="H48" s="61">
        <f>G48*(1+H36)</f>
        <v>38562.969599999997</v>
      </c>
      <c r="I48" s="61">
        <f>H48*(1+I36)</f>
        <v>41223.814502399997</v>
      </c>
      <c r="J48" s="61">
        <f>I48*(1+J36)</f>
        <v>44068.257703065596</v>
      </c>
      <c r="K48" s="61">
        <f>J48*(1+K36)</f>
        <v>47108.967484577122</v>
      </c>
      <c r="M48" t="s">
        <v>88</v>
      </c>
    </row>
    <row r="49" spans="3:13" ht="15" customHeight="1">
      <c r="C49" t="s">
        <v>42</v>
      </c>
      <c r="D49" s="39"/>
      <c r="E49" s="39">
        <v>33783</v>
      </c>
      <c r="F49" s="39">
        <v>41304</v>
      </c>
      <c r="G49" s="61">
        <f>G99</f>
        <v>45042.85982873883</v>
      </c>
      <c r="H49" s="61">
        <f>H99</f>
        <v>48611.181883872909</v>
      </c>
      <c r="I49" s="61">
        <f>I99</f>
        <v>51947.567835949827</v>
      </c>
      <c r="J49" s="61">
        <f>J99</f>
        <v>55218.714198720052</v>
      </c>
      <c r="K49" s="61">
        <f>K99</f>
        <v>58399.73337534142</v>
      </c>
      <c r="M49" t="s">
        <v>90</v>
      </c>
    </row>
    <row r="50" spans="3:13" ht="15" customHeight="1">
      <c r="C50" t="s">
        <v>43</v>
      </c>
      <c r="D50" s="39"/>
      <c r="E50" s="39">
        <v>18177</v>
      </c>
      <c r="F50" s="39">
        <v>22283</v>
      </c>
      <c r="G50" s="61">
        <f>F50*(1+G36)</f>
        <v>21391.68</v>
      </c>
      <c r="H50" s="61">
        <f>G50*(1+H36)</f>
        <v>22675.180800000002</v>
      </c>
      <c r="I50" s="61">
        <f>H50*(1+I36)</f>
        <v>24239.7682752</v>
      </c>
      <c r="J50" s="61">
        <f>I50*(1+J36)</f>
        <v>25912.3122861888</v>
      </c>
      <c r="K50" s="61">
        <f>J50*(1+K36)</f>
        <v>27700.261833935827</v>
      </c>
      <c r="M50" t="s">
        <v>88</v>
      </c>
    </row>
    <row r="51" spans="3:13" ht="15" customHeight="1">
      <c r="C51" s="31" t="s">
        <v>44</v>
      </c>
      <c r="D51" s="41"/>
      <c r="E51" s="41">
        <f t="shared" ref="E51:K51" si="7">SUM(E45:E50)</f>
        <v>375319</v>
      </c>
      <c r="F51" s="41">
        <f t="shared" si="7"/>
        <v>365725</v>
      </c>
      <c r="G51" s="66">
        <f t="shared" ca="1" si="7"/>
        <v>331104.24301995453</v>
      </c>
      <c r="H51" s="66">
        <f t="shared" ca="1" si="7"/>
        <v>314008.66910306341</v>
      </c>
      <c r="I51" s="66">
        <f t="shared" ca="1" si="7"/>
        <v>303023.56956485298</v>
      </c>
      <c r="J51" s="66">
        <f t="shared" ca="1" si="7"/>
        <v>297046.49980922102</v>
      </c>
      <c r="K51" s="66">
        <f t="shared" ca="1" si="7"/>
        <v>296433.42393223592</v>
      </c>
    </row>
    <row r="52" spans="3:13" ht="15" customHeight="1">
      <c r="C52" s="30"/>
      <c r="D52" s="42"/>
      <c r="E52" s="42"/>
      <c r="F52" s="42"/>
      <c r="G52" s="42"/>
      <c r="H52" s="42"/>
      <c r="I52" s="42"/>
      <c r="J52" s="42"/>
      <c r="K52" s="42"/>
    </row>
    <row r="53" spans="3:13" ht="15" customHeight="1">
      <c r="C53" s="30" t="s">
        <v>45</v>
      </c>
      <c r="D53" s="39"/>
      <c r="E53" s="39">
        <v>44242</v>
      </c>
      <c r="F53" s="39">
        <v>55888</v>
      </c>
      <c r="G53" s="61">
        <f>F53*G18/F18</f>
        <v>54125.616922269706</v>
      </c>
      <c r="H53" s="61">
        <f>G53*H18/G18</f>
        <v>57096.434545623881</v>
      </c>
      <c r="I53" s="61">
        <f>H53*I18/H18</f>
        <v>60937.484185928995</v>
      </c>
      <c r="J53" s="61">
        <f>I53*J18/I18</f>
        <v>65142.170594758099</v>
      </c>
      <c r="K53" s="61">
        <f>J53*K18/J18</f>
        <v>69636.980365796408</v>
      </c>
      <c r="M53" t="s">
        <v>89</v>
      </c>
    </row>
    <row r="54" spans="3:13" ht="15" customHeight="1">
      <c r="C54" s="30" t="s">
        <v>46</v>
      </c>
      <c r="D54" s="39"/>
      <c r="E54" s="39">
        <v>30551</v>
      </c>
      <c r="F54" s="39">
        <v>32687</v>
      </c>
      <c r="G54" s="61">
        <f>F54*(1+G36)</f>
        <v>31379.52</v>
      </c>
      <c r="H54" s="61">
        <f>G54*(1+H36)</f>
        <v>33262.2912</v>
      </c>
      <c r="I54" s="61">
        <f>H54*(1+I36)</f>
        <v>35557.389292799999</v>
      </c>
      <c r="J54" s="61">
        <f>I54*(1+J36)</f>
        <v>38010.849154003197</v>
      </c>
      <c r="K54" s="61">
        <f>J54*(1+K36)</f>
        <v>40633.597745629413</v>
      </c>
      <c r="M54" t="s">
        <v>88</v>
      </c>
    </row>
    <row r="55" spans="3:13" ht="15" customHeight="1">
      <c r="C55" s="30" t="s">
        <v>47</v>
      </c>
      <c r="D55" s="39"/>
      <c r="E55" s="39">
        <f>7548+2836</f>
        <v>10384</v>
      </c>
      <c r="F55" s="39">
        <f>7543+2797</f>
        <v>10340</v>
      </c>
      <c r="G55" s="61">
        <f>F55*(1+G36)</f>
        <v>9926.4</v>
      </c>
      <c r="H55" s="61">
        <f>G55*(1+H36)</f>
        <v>10521.984</v>
      </c>
      <c r="I55" s="61">
        <f>H55*(1+I36)</f>
        <v>11248.000896</v>
      </c>
      <c r="J55" s="61">
        <f>I55*(1+J36)</f>
        <v>12024.112957824</v>
      </c>
      <c r="K55" s="61">
        <f>J55*(1+K36)</f>
        <v>12853.776751913854</v>
      </c>
      <c r="M55" t="s">
        <v>88</v>
      </c>
    </row>
    <row r="56" spans="3:13" ht="15" customHeight="1">
      <c r="C56" s="30" t="s">
        <v>48</v>
      </c>
      <c r="D56" s="39"/>
      <c r="E56" s="39">
        <v>11977</v>
      </c>
      <c r="F56" s="39">
        <v>11964</v>
      </c>
      <c r="G56" s="60">
        <f ca="1">G135</f>
        <v>12000</v>
      </c>
      <c r="H56" s="60">
        <f ca="1">H135</f>
        <v>12000</v>
      </c>
      <c r="I56" s="60">
        <f ca="1">I135</f>
        <v>12000</v>
      </c>
      <c r="J56" s="60">
        <f ca="1">J135</f>
        <v>12000</v>
      </c>
      <c r="K56" s="60">
        <f ca="1">K135</f>
        <v>12000</v>
      </c>
      <c r="M56" t="s">
        <v>91</v>
      </c>
    </row>
    <row r="57" spans="3:13" ht="15" customHeight="1">
      <c r="C57" s="30" t="s">
        <v>92</v>
      </c>
      <c r="D57" s="39"/>
      <c r="E57" s="39">
        <f>6496+97207</f>
        <v>103703</v>
      </c>
      <c r="F57" s="39">
        <f>8784+93735</f>
        <v>102519</v>
      </c>
      <c r="G57" s="61">
        <f>F57</f>
        <v>102519</v>
      </c>
      <c r="H57" s="61">
        <f>G57</f>
        <v>102519</v>
      </c>
      <c r="I57" s="61">
        <f>H57</f>
        <v>102519</v>
      </c>
      <c r="J57" s="61">
        <f>I57</f>
        <v>102519</v>
      </c>
      <c r="K57" s="61">
        <f>J57</f>
        <v>102519</v>
      </c>
      <c r="M57" t="s">
        <v>93</v>
      </c>
    </row>
    <row r="58" spans="3:13" ht="15.75" customHeight="1">
      <c r="C58" s="30" t="s">
        <v>50</v>
      </c>
      <c r="D58" s="39"/>
      <c r="E58" s="39">
        <v>40415</v>
      </c>
      <c r="F58" s="39">
        <v>45180</v>
      </c>
      <c r="G58" s="61">
        <f>F58*(1+G36)</f>
        <v>43372.799999999996</v>
      </c>
      <c r="H58" s="61">
        <f>G58*(1+H36)</f>
        <v>45975.167999999998</v>
      </c>
      <c r="I58" s="61">
        <f>H58*(1+I36)</f>
        <v>49147.454591999995</v>
      </c>
      <c r="J58" s="61">
        <f>I58*(1+J36)</f>
        <v>52538.628958847992</v>
      </c>
      <c r="K58" s="61">
        <f>J58*(1+K36)</f>
        <v>56163.794357008504</v>
      </c>
      <c r="M58" t="s">
        <v>88</v>
      </c>
    </row>
    <row r="59" spans="3:13" ht="15" customHeight="1">
      <c r="C59" s="31" t="s">
        <v>51</v>
      </c>
      <c r="D59" s="41"/>
      <c r="E59" s="41">
        <f t="shared" ref="E59:K59" si="8">SUM(E53:E58)</f>
        <v>241272</v>
      </c>
      <c r="F59" s="41">
        <f t="shared" si="8"/>
        <v>258578</v>
      </c>
      <c r="G59" s="66">
        <f t="shared" ca="1" si="8"/>
        <v>253323.33692226969</v>
      </c>
      <c r="H59" s="66">
        <f t="shared" ca="1" si="8"/>
        <v>261374.87774562387</v>
      </c>
      <c r="I59" s="66">
        <f t="shared" ca="1" si="8"/>
        <v>271409.32896672899</v>
      </c>
      <c r="J59" s="66">
        <f t="shared" ca="1" si="8"/>
        <v>282234.7616654333</v>
      </c>
      <c r="K59" s="66">
        <f t="shared" ca="1" si="8"/>
        <v>293807.14922034822</v>
      </c>
    </row>
    <row r="60" spans="3:13" ht="15" customHeight="1">
      <c r="C60" s="31"/>
      <c r="D60" s="41"/>
      <c r="E60" s="41"/>
      <c r="F60" s="41"/>
      <c r="G60" s="42"/>
      <c r="H60" s="42"/>
      <c r="I60" s="42"/>
      <c r="J60" s="42"/>
      <c r="K60" s="42"/>
    </row>
    <row r="61" spans="3:13" ht="15" customHeight="1">
      <c r="C61" s="30" t="s">
        <v>52</v>
      </c>
      <c r="D61" s="39"/>
      <c r="E61" s="39">
        <v>35867</v>
      </c>
      <c r="F61" s="39">
        <v>40201</v>
      </c>
      <c r="G61" s="61">
        <f>F61+G32</f>
        <v>45327.4</v>
      </c>
      <c r="H61" s="61">
        <f>G61+H32</f>
        <v>50761.383999999998</v>
      </c>
      <c r="I61" s="61">
        <f>H61+I32</f>
        <v>56570.312895999996</v>
      </c>
      <c r="J61" s="61">
        <f>I61+J32</f>
        <v>62780.057885823997</v>
      </c>
      <c r="K61" s="61">
        <f>J61+K32</f>
        <v>69418.275279945854</v>
      </c>
      <c r="M61" t="s">
        <v>94</v>
      </c>
    </row>
    <row r="62" spans="3:13" ht="15.75" customHeight="1">
      <c r="C62" s="30" t="s">
        <v>53</v>
      </c>
      <c r="D62" s="44"/>
      <c r="E62" s="44">
        <f>98330</f>
        <v>98330</v>
      </c>
      <c r="F62" s="39">
        <v>70400</v>
      </c>
      <c r="G62" s="61">
        <f ca="1">G119</f>
        <v>35907.506097684833</v>
      </c>
      <c r="H62" s="61">
        <f ca="1">H119</f>
        <v>5326.4073574395152</v>
      </c>
      <c r="I62" s="61">
        <f ca="1">I119</f>
        <v>-21502.07229787598</v>
      </c>
      <c r="J62" s="61">
        <f ca="1">J119</f>
        <v>-44514.319742036285</v>
      </c>
      <c r="K62" s="61">
        <f ca="1">K119</f>
        <v>-63338.000568058094</v>
      </c>
      <c r="M62" t="s">
        <v>95</v>
      </c>
    </row>
    <row r="63" spans="3:13" ht="15.75" customHeight="1">
      <c r="C63" s="30" t="s">
        <v>54</v>
      </c>
      <c r="D63" s="39"/>
      <c r="E63" s="39">
        <v>-150</v>
      </c>
      <c r="F63" s="39">
        <v>-3454</v>
      </c>
      <c r="G63" s="61">
        <f>F63</f>
        <v>-3454</v>
      </c>
      <c r="H63" s="61">
        <f>G63</f>
        <v>-3454</v>
      </c>
      <c r="I63" s="61">
        <f>H63</f>
        <v>-3454</v>
      </c>
      <c r="J63" s="61">
        <f>I63</f>
        <v>-3454</v>
      </c>
      <c r="K63" s="61">
        <f>J63</f>
        <v>-3454</v>
      </c>
      <c r="M63" t="s">
        <v>93</v>
      </c>
    </row>
    <row r="64" spans="3:13" ht="15" customHeight="1">
      <c r="C64" s="31" t="s">
        <v>55</v>
      </c>
      <c r="D64" s="45"/>
      <c r="E64" s="45">
        <f t="shared" ref="E64:K64" si="9">SUM(E61:E63)</f>
        <v>134047</v>
      </c>
      <c r="F64" s="45">
        <f t="shared" si="9"/>
        <v>107147</v>
      </c>
      <c r="G64" s="66">
        <f t="shared" ca="1" si="9"/>
        <v>77780.906097684841</v>
      </c>
      <c r="H64" s="66">
        <f t="shared" ca="1" si="9"/>
        <v>52633.791357439513</v>
      </c>
      <c r="I64" s="66">
        <f t="shared" ca="1" si="9"/>
        <v>31614.240598124015</v>
      </c>
      <c r="J64" s="66">
        <f t="shared" ca="1" si="9"/>
        <v>14811.738143787712</v>
      </c>
      <c r="K64" s="66">
        <f t="shared" ca="1" si="9"/>
        <v>2626.2747118877596</v>
      </c>
    </row>
    <row r="65" spans="3:13" ht="15" customHeight="1">
      <c r="D65" s="42"/>
      <c r="E65" s="42"/>
      <c r="F65" s="42"/>
    </row>
    <row r="66" spans="3:13" ht="15" customHeight="1">
      <c r="C66" s="23" t="s">
        <v>56</v>
      </c>
      <c r="D66" s="46"/>
      <c r="E66" s="46">
        <f t="shared" ref="E66:K66" si="10">ROUND(E51-E59-E64,3)</f>
        <v>0</v>
      </c>
      <c r="F66" s="46">
        <f t="shared" si="10"/>
        <v>0</v>
      </c>
      <c r="G66" s="46">
        <f t="shared" ca="1" si="10"/>
        <v>0</v>
      </c>
      <c r="H66" s="46">
        <f t="shared" ca="1" si="10"/>
        <v>0</v>
      </c>
      <c r="I66" s="46">
        <f t="shared" ca="1" si="10"/>
        <v>0</v>
      </c>
      <c r="J66" s="46">
        <f t="shared" ca="1" si="10"/>
        <v>0</v>
      </c>
      <c r="K66" s="46">
        <f t="shared" ca="1" si="10"/>
        <v>0</v>
      </c>
    </row>
    <row r="67" spans="3:13" ht="15" customHeight="1">
      <c r="E67" s="42"/>
      <c r="F67" s="42"/>
      <c r="H67" s="42"/>
      <c r="I67" s="42"/>
      <c r="J67" s="42"/>
      <c r="K67" s="42"/>
    </row>
    <row r="68" spans="3:13" ht="15" customHeight="1">
      <c r="C68" s="16" t="s">
        <v>96</v>
      </c>
      <c r="D68" s="20"/>
      <c r="E68" s="20"/>
      <c r="F68" s="20"/>
      <c r="G68" s="20"/>
      <c r="H68" s="20"/>
      <c r="I68" s="20"/>
      <c r="J68" s="20"/>
      <c r="K68" s="20"/>
    </row>
    <row r="69" spans="3:13" ht="15" customHeight="1">
      <c r="C69" s="36" t="str">
        <f>C14</f>
        <v xml:space="preserve">Fiscal year  </v>
      </c>
      <c r="D69" s="37"/>
      <c r="E69" s="37"/>
      <c r="F69" s="37"/>
      <c r="G69" s="65">
        <f t="shared" ref="G69:K70" si="11">G14</f>
        <v>2019</v>
      </c>
      <c r="H69" s="65">
        <f t="shared" si="11"/>
        <v>2020</v>
      </c>
      <c r="I69" s="65">
        <f t="shared" si="11"/>
        <v>2021</v>
      </c>
      <c r="J69" s="65">
        <f t="shared" si="11"/>
        <v>2022</v>
      </c>
      <c r="K69" s="65">
        <f t="shared" si="11"/>
        <v>2023</v>
      </c>
    </row>
    <row r="70" spans="3:13" ht="15" customHeight="1">
      <c r="C70" s="17" t="str">
        <f>C15</f>
        <v>Fiscal year end date</v>
      </c>
      <c r="D70" s="38"/>
      <c r="E70" s="38"/>
      <c r="F70" s="38"/>
      <c r="G70" s="38">
        <f t="shared" si="11"/>
        <v>43738</v>
      </c>
      <c r="H70" s="38">
        <f t="shared" si="11"/>
        <v>44104</v>
      </c>
      <c r="I70" s="38">
        <f t="shared" si="11"/>
        <v>44469</v>
      </c>
      <c r="J70" s="38">
        <f t="shared" si="11"/>
        <v>44834</v>
      </c>
      <c r="K70" s="38">
        <f t="shared" si="11"/>
        <v>45199</v>
      </c>
    </row>
    <row r="72" spans="3:13" ht="15" customHeight="1">
      <c r="C72" t="s">
        <v>24</v>
      </c>
      <c r="D72" s="40"/>
      <c r="E72" s="40"/>
      <c r="F72" s="40"/>
      <c r="G72" s="61">
        <f ca="1">G28</f>
        <v>52298.506097684833</v>
      </c>
      <c r="H72" s="61">
        <f ca="1">H28</f>
        <v>56209.901259754675</v>
      </c>
      <c r="I72" s="61">
        <f ca="1">I28</f>
        <v>59962.520344684504</v>
      </c>
      <c r="J72" s="61">
        <f ca="1">J28</f>
        <v>63778.752555839696</v>
      </c>
      <c r="K72" s="61">
        <f ca="1">K28</f>
        <v>67967.319173978191</v>
      </c>
      <c r="M72" s="27"/>
    </row>
    <row r="73" spans="3:13" ht="15" customHeight="1">
      <c r="C73" t="s">
        <v>97</v>
      </c>
      <c r="D73" s="40"/>
      <c r="E73" s="40"/>
      <c r="F73" s="40"/>
      <c r="G73" s="61">
        <f>G30</f>
        <v>11085.020171261172</v>
      </c>
      <c r="H73" s="61">
        <f>H30</f>
        <v>11711.890744865921</v>
      </c>
      <c r="I73" s="61">
        <f>I30</f>
        <v>12226.380531123083</v>
      </c>
      <c r="J73" s="61">
        <f>J30</f>
        <v>13365.451007770575</v>
      </c>
      <c r="K73" s="61">
        <f>K30</f>
        <v>14603.503412486743</v>
      </c>
      <c r="M73" t="s">
        <v>98</v>
      </c>
    </row>
    <row r="74" spans="3:13" ht="15" customHeight="1">
      <c r="C74" t="s">
        <v>27</v>
      </c>
      <c r="D74" s="40"/>
      <c r="E74" s="40"/>
      <c r="F74" s="40"/>
      <c r="G74" s="61">
        <f>G32</f>
        <v>5126.3999999999996</v>
      </c>
      <c r="H74" s="61">
        <f>H32</f>
        <v>5433.9839999999995</v>
      </c>
      <c r="I74" s="61">
        <f>I32</f>
        <v>5808.9288959999994</v>
      </c>
      <c r="J74" s="61">
        <f>J32</f>
        <v>6209.7449898239993</v>
      </c>
      <c r="K74" s="61">
        <f>K32</f>
        <v>6638.2173941218552</v>
      </c>
    </row>
    <row r="75" spans="3:13" ht="15" customHeight="1">
      <c r="C75" t="s">
        <v>99</v>
      </c>
      <c r="D75" s="42"/>
      <c r="E75" s="42"/>
      <c r="F75" s="42"/>
      <c r="G75" s="61">
        <f>-1*(SUM(G46:G48)-SUM(F46:F48))</f>
        <v>2568.0292745401748</v>
      </c>
      <c r="H75" s="61">
        <f>-1*(SUM(H46:H48)-SUM(G46:G48))</f>
        <v>-3728.6108202044925</v>
      </c>
      <c r="I75" s="61">
        <f>-1*(SUM(I46:I48)-SUM(H46:H48))</f>
        <v>-4560.7224748067092</v>
      </c>
      <c r="J75" s="61">
        <f>-1*(SUM(J46:J48)-SUM(I46:I48))</f>
        <v>-4882.3919774125097</v>
      </c>
      <c r="K75" s="61">
        <f>-1*(SUM(K46:K48)-SUM(J46:J48))</f>
        <v>-5219.277023853967</v>
      </c>
    </row>
    <row r="76" spans="3:13" ht="15" customHeight="1">
      <c r="C76" t="s">
        <v>100</v>
      </c>
      <c r="D76" s="42"/>
      <c r="E76" s="42"/>
      <c r="F76" s="42"/>
      <c r="G76" s="61">
        <f>SUM(G53:G55)-SUM(F53:F55)</f>
        <v>-3483.4630777302955</v>
      </c>
      <c r="H76" s="61">
        <f>SUM(H53:H55)-SUM(G53:G55)</f>
        <v>5449.1728233541653</v>
      </c>
      <c r="I76" s="61">
        <f>SUM(I53:I55)-SUM(H53:H55)</f>
        <v>6862.1646291051147</v>
      </c>
      <c r="J76" s="61">
        <f>SUM(J53:J55)-SUM(I53:I55)</f>
        <v>7434.2583318562974</v>
      </c>
      <c r="K76" s="61">
        <f>SUM(K53:K55)-SUM(J53:J55)</f>
        <v>7947.2221567544038</v>
      </c>
    </row>
    <row r="77" spans="3:13" ht="15" customHeight="1">
      <c r="C77" t="s">
        <v>43</v>
      </c>
      <c r="G77" s="61">
        <f>-(G111)</f>
        <v>-647.56000000000131</v>
      </c>
      <c r="H77" s="61">
        <f>-(H111)</f>
        <v>-2914.7136000000028</v>
      </c>
      <c r="I77" s="61">
        <f>-(I111)</f>
        <v>-3308.3539583999991</v>
      </c>
      <c r="J77" s="61">
        <f>-(J111)</f>
        <v>-3536.6303815296014</v>
      </c>
      <c r="K77" s="61">
        <f>-(K111)</f>
        <v>-3780.6578778551411</v>
      </c>
      <c r="M77" t="s">
        <v>101</v>
      </c>
    </row>
    <row r="78" spans="3:13" ht="15" customHeight="1">
      <c r="C78" t="s">
        <v>50</v>
      </c>
      <c r="G78" s="61">
        <f>G58-F58</f>
        <v>-1807.2000000000044</v>
      </c>
      <c r="H78" s="61">
        <f>H58-G58</f>
        <v>2602.3680000000022</v>
      </c>
      <c r="I78" s="61">
        <f>I58-H58</f>
        <v>3172.2865919999967</v>
      </c>
      <c r="J78" s="61">
        <f>J58-I58</f>
        <v>3391.1743668479976</v>
      </c>
      <c r="K78" s="61">
        <f>K58-J58</f>
        <v>3625.1653981605123</v>
      </c>
      <c r="M78" s="27"/>
    </row>
    <row r="79" spans="3:13" ht="15" customHeight="1">
      <c r="C79" s="27" t="s">
        <v>102</v>
      </c>
      <c r="G79" s="66">
        <f ca="1">SUM(G72:G78)</f>
        <v>65139.732465755871</v>
      </c>
      <c r="H79" s="66">
        <f ca="1">SUM(H72:H78)</f>
        <v>74763.992407770274</v>
      </c>
      <c r="I79" s="66">
        <f ca="1">SUM(I72:I78)</f>
        <v>80163.204559706006</v>
      </c>
      <c r="J79" s="66">
        <f ca="1">SUM(J72:J78)</f>
        <v>85760.358893196448</v>
      </c>
      <c r="K79" s="66">
        <f ca="1">SUM(K72:K78)</f>
        <v>91781.492633792601</v>
      </c>
    </row>
    <row r="80" spans="3:13" ht="15" customHeight="1">
      <c r="G80" s="42"/>
      <c r="H80" s="42"/>
      <c r="I80" s="42"/>
      <c r="J80" s="42"/>
      <c r="K80" s="42"/>
    </row>
    <row r="81" spans="3:13" ht="15" customHeight="1">
      <c r="C81" t="s">
        <v>103</v>
      </c>
      <c r="G81" s="61">
        <f>-(G97)</f>
        <v>-13285</v>
      </c>
      <c r="H81" s="61">
        <f>-(H97)</f>
        <v>-13649</v>
      </c>
      <c r="I81" s="61">
        <f>-(I97)</f>
        <v>-13819</v>
      </c>
      <c r="J81" s="61">
        <f>-(J97)</f>
        <v>-14772.510999999999</v>
      </c>
      <c r="K81" s="61">
        <f>-(K97)</f>
        <v>-15791.814258999997</v>
      </c>
      <c r="M81" t="s">
        <v>90</v>
      </c>
    </row>
    <row r="82" spans="3:13" ht="15" customHeight="1">
      <c r="C82" s="27" t="s">
        <v>104</v>
      </c>
      <c r="G82" s="66">
        <f>IFERROR(G81,"NA")</f>
        <v>-13285</v>
      </c>
      <c r="H82" s="66">
        <f>IFERROR(H81,"NA")</f>
        <v>-13649</v>
      </c>
      <c r="I82" s="66">
        <f>IFERROR(I81,"NA")</f>
        <v>-13819</v>
      </c>
      <c r="J82" s="66">
        <f>IFERROR(J81,"NA")</f>
        <v>-14772.510999999999</v>
      </c>
      <c r="K82" s="66">
        <f>IFERROR(K81,"NA")</f>
        <v>-15791.814258999997</v>
      </c>
    </row>
    <row r="83" spans="3:13" ht="15" customHeight="1">
      <c r="G83" s="42"/>
      <c r="H83" s="42"/>
      <c r="I83" s="42"/>
      <c r="J83" s="42"/>
      <c r="K83" s="42"/>
    </row>
    <row r="84" spans="3:13" ht="15" customHeight="1">
      <c r="C84" t="s">
        <v>105</v>
      </c>
      <c r="G84" s="61">
        <f>G57-F57</f>
        <v>0</v>
      </c>
      <c r="H84" s="61">
        <f>H57-G57</f>
        <v>0</v>
      </c>
      <c r="I84" s="61">
        <f>I57-H57</f>
        <v>0</v>
      </c>
      <c r="J84" s="61">
        <f>J57-I57</f>
        <v>0</v>
      </c>
      <c r="K84" s="61">
        <f>K57-J57</f>
        <v>0</v>
      </c>
    </row>
    <row r="85" spans="3:13" ht="15" customHeight="1">
      <c r="C85" t="s">
        <v>106</v>
      </c>
      <c r="G85" s="60">
        <f ca="1">G56-F56</f>
        <v>36</v>
      </c>
      <c r="H85" s="60">
        <f ca="1">H56-G56</f>
        <v>0</v>
      </c>
      <c r="I85" s="60">
        <f ca="1">I56-H56</f>
        <v>0</v>
      </c>
      <c r="J85" s="60">
        <f ca="1">J56-I56</f>
        <v>0</v>
      </c>
      <c r="K85" s="60">
        <f ca="1">K56-J56</f>
        <v>0</v>
      </c>
      <c r="M85" t="s">
        <v>107</v>
      </c>
    </row>
    <row r="86" spans="3:13" ht="15" customHeight="1">
      <c r="C86" t="s">
        <v>108</v>
      </c>
      <c r="G86" s="61">
        <f>G118</f>
        <v>-73056</v>
      </c>
      <c r="H86" s="61">
        <f>H118</f>
        <v>-73056</v>
      </c>
      <c r="I86" s="61">
        <f>I118</f>
        <v>-73056</v>
      </c>
      <c r="J86" s="61">
        <f>J118</f>
        <v>-73056</v>
      </c>
      <c r="K86" s="61">
        <f>K118</f>
        <v>-73056</v>
      </c>
      <c r="M86" t="s">
        <v>95</v>
      </c>
    </row>
    <row r="87" spans="3:13" ht="15" customHeight="1">
      <c r="C87" t="s">
        <v>109</v>
      </c>
      <c r="G87" s="61">
        <f>G117</f>
        <v>-13735</v>
      </c>
      <c r="H87" s="61">
        <f>H117</f>
        <v>-13735</v>
      </c>
      <c r="I87" s="61">
        <f>I117</f>
        <v>-13735</v>
      </c>
      <c r="J87" s="61">
        <f>J117</f>
        <v>-13735</v>
      </c>
      <c r="K87" s="61">
        <f>K117</f>
        <v>-13735</v>
      </c>
      <c r="M87" t="s">
        <v>95</v>
      </c>
    </row>
    <row r="88" spans="3:13" ht="15" customHeight="1">
      <c r="C88" s="27" t="s">
        <v>110</v>
      </c>
      <c r="G88" s="66">
        <f ca="1">SUM(G84:G87)</f>
        <v>-86755</v>
      </c>
      <c r="H88" s="66">
        <f ca="1">SUM(H84:H87)</f>
        <v>-86791</v>
      </c>
      <c r="I88" s="66">
        <f ca="1">SUM(I84:I87)</f>
        <v>-86791</v>
      </c>
      <c r="J88" s="66">
        <f ca="1">SUM(J84:J87)</f>
        <v>-86791</v>
      </c>
      <c r="K88" s="66">
        <f ca="1">SUM(K84:K87)</f>
        <v>-86791</v>
      </c>
    </row>
    <row r="89" spans="3:13" ht="15" customHeight="1">
      <c r="G89" s="42"/>
      <c r="H89" s="42"/>
      <c r="I89" s="42"/>
      <c r="J89" s="42"/>
      <c r="K89" s="42"/>
    </row>
    <row r="90" spans="3:13" ht="15" customHeight="1">
      <c r="C90" s="27" t="s">
        <v>111</v>
      </c>
      <c r="G90" s="66">
        <f ca="1">G79+G82+G88</f>
        <v>-34900.267534244129</v>
      </c>
      <c r="H90" s="66">
        <f ca="1">H79+H82+H88</f>
        <v>-25676.007592229726</v>
      </c>
      <c r="I90" s="66">
        <f ca="1">I79+I82+I88</f>
        <v>-20446.795440293994</v>
      </c>
      <c r="J90" s="66">
        <f ca="1">J79+J82+J88</f>
        <v>-15803.152106803551</v>
      </c>
      <c r="K90" s="66">
        <f ca="1">K79+K82+K88</f>
        <v>-10801.321625207391</v>
      </c>
    </row>
    <row r="92" spans="3:13" ht="15" customHeight="1">
      <c r="C92" s="16" t="s">
        <v>112</v>
      </c>
      <c r="D92" s="17"/>
      <c r="E92" s="17"/>
      <c r="F92" s="17"/>
      <c r="G92" s="17"/>
      <c r="H92" s="17"/>
      <c r="I92" s="17"/>
      <c r="J92" s="17"/>
      <c r="K92" s="17"/>
    </row>
    <row r="93" spans="3:13" ht="15" customHeight="1">
      <c r="C93" s="36" t="str">
        <f t="shared" ref="C93:K93" si="12">C14</f>
        <v xml:space="preserve">Fiscal year  </v>
      </c>
      <c r="D93" s="37">
        <f t="shared" si="12"/>
        <v>2016</v>
      </c>
      <c r="E93" s="37">
        <f t="shared" si="12"/>
        <v>2017</v>
      </c>
      <c r="F93" s="37">
        <f t="shared" si="12"/>
        <v>2018</v>
      </c>
      <c r="G93" s="65">
        <f t="shared" si="12"/>
        <v>2019</v>
      </c>
      <c r="H93" s="65">
        <f t="shared" si="12"/>
        <v>2020</v>
      </c>
      <c r="I93" s="65">
        <f t="shared" si="12"/>
        <v>2021</v>
      </c>
      <c r="J93" s="65">
        <f t="shared" si="12"/>
        <v>2022</v>
      </c>
      <c r="K93" s="65">
        <f t="shared" si="12"/>
        <v>2023</v>
      </c>
    </row>
    <row r="94" spans="3:13" ht="15" customHeight="1">
      <c r="C94" s="17" t="str">
        <f t="shared" ref="C94:K94" si="13">C15</f>
        <v>Fiscal year end date</v>
      </c>
      <c r="D94" s="38">
        <f t="shared" si="13"/>
        <v>42643</v>
      </c>
      <c r="E94" s="38">
        <f t="shared" si="13"/>
        <v>43008</v>
      </c>
      <c r="F94" s="38">
        <f t="shared" si="13"/>
        <v>43372</v>
      </c>
      <c r="G94" s="38">
        <f t="shared" si="13"/>
        <v>43738</v>
      </c>
      <c r="H94" s="38">
        <f t="shared" si="13"/>
        <v>44104</v>
      </c>
      <c r="I94" s="38">
        <f t="shared" si="13"/>
        <v>44469</v>
      </c>
      <c r="J94" s="38">
        <f t="shared" si="13"/>
        <v>44834</v>
      </c>
      <c r="K94" s="38">
        <f t="shared" si="13"/>
        <v>45199</v>
      </c>
    </row>
    <row r="95" spans="3:13" ht="15" customHeight="1">
      <c r="C95" s="27"/>
      <c r="G95" s="3" t="s">
        <v>113</v>
      </c>
      <c r="H95" s="3"/>
      <c r="I95" s="3"/>
      <c r="J95" s="3"/>
      <c r="K95" s="3"/>
    </row>
    <row r="96" spans="3:13" ht="15" customHeight="1">
      <c r="C96" s="30" t="s">
        <v>114</v>
      </c>
      <c r="G96" s="61">
        <f>F99</f>
        <v>41304</v>
      </c>
      <c r="H96" s="61">
        <f>G99</f>
        <v>45042.85982873883</v>
      </c>
      <c r="I96" s="61">
        <f>H99</f>
        <v>48611.181883872909</v>
      </c>
      <c r="J96" s="61">
        <f>I99</f>
        <v>51947.567835949827</v>
      </c>
      <c r="K96" s="61">
        <f>J99</f>
        <v>55218.714198720052</v>
      </c>
      <c r="M96" t="s">
        <v>115</v>
      </c>
    </row>
    <row r="97" spans="3:17" ht="15" customHeight="1">
      <c r="C97" s="29" t="s">
        <v>116</v>
      </c>
      <c r="D97" s="39">
        <v>12734</v>
      </c>
      <c r="E97" s="39">
        <v>12451</v>
      </c>
      <c r="F97" s="39">
        <v>13313</v>
      </c>
      <c r="G97" s="39">
        <v>13285</v>
      </c>
      <c r="H97" s="39">
        <v>13649</v>
      </c>
      <c r="I97" s="39">
        <v>13819</v>
      </c>
      <c r="J97" s="39">
        <f>I97*(1+J36)</f>
        <v>14772.510999999999</v>
      </c>
      <c r="K97" s="39">
        <f>J97*(1+K36)</f>
        <v>15791.814258999997</v>
      </c>
      <c r="M97" t="s">
        <v>117</v>
      </c>
    </row>
    <row r="98" spans="3:17" ht="15" customHeight="1">
      <c r="C98" s="67" t="s">
        <v>118</v>
      </c>
      <c r="D98" s="68">
        <v>-8300</v>
      </c>
      <c r="E98" s="68">
        <v>-8200</v>
      </c>
      <c r="F98" s="68">
        <v>-9300</v>
      </c>
      <c r="G98" s="69">
        <f>-(G101*G97)</f>
        <v>-9546.1401712611732</v>
      </c>
      <c r="H98" s="69">
        <f>-(H101*H97)</f>
        <v>-10080.677944865922</v>
      </c>
      <c r="I98" s="69">
        <f>-(I101*I97)</f>
        <v>-10482.614047923083</v>
      </c>
      <c r="J98" s="69">
        <f>-(J101*J97)</f>
        <v>-11501.364637229775</v>
      </c>
      <c r="K98" s="69">
        <f>-(K101*K97)</f>
        <v>-12610.795082378629</v>
      </c>
      <c r="M98" t="s">
        <v>119</v>
      </c>
    </row>
    <row r="99" spans="3:17" ht="15" customHeight="1">
      <c r="C99" s="70" t="s">
        <v>120</v>
      </c>
      <c r="D99" s="45"/>
      <c r="E99" s="45">
        <f>E49</f>
        <v>33783</v>
      </c>
      <c r="F99" s="45">
        <f>F49</f>
        <v>41304</v>
      </c>
      <c r="G99" s="66">
        <f>SUM(G96:G98)</f>
        <v>45042.85982873883</v>
      </c>
      <c r="H99" s="66">
        <f>SUM(H96:H98)</f>
        <v>48611.181883872909</v>
      </c>
      <c r="I99" s="66">
        <f>SUM(I96:I98)</f>
        <v>51947.567835949827</v>
      </c>
      <c r="J99" s="66">
        <f>SUM(J96:J98)</f>
        <v>55218.714198720052</v>
      </c>
      <c r="K99" s="66">
        <f>SUM(K96:K98)</f>
        <v>58399.73337534142</v>
      </c>
      <c r="M99" t="s">
        <v>121</v>
      </c>
    </row>
    <row r="100" spans="3:17" ht="15" customHeight="1">
      <c r="C100" s="30"/>
      <c r="M100" s="32" t="s">
        <v>122</v>
      </c>
    </row>
    <row r="101" spans="3:17" ht="15" customHeight="1">
      <c r="C101" s="30" t="s">
        <v>123</v>
      </c>
      <c r="D101" s="71">
        <f>-(D98/D97)</f>
        <v>0.65179833516569818</v>
      </c>
      <c r="E101" s="71">
        <f>-(E98/E97)</f>
        <v>0.6585816400289134</v>
      </c>
      <c r="F101" s="71">
        <f>-(F98/F97)</f>
        <v>0.69856531210095396</v>
      </c>
      <c r="G101" s="72">
        <f>F101+$M$101</f>
        <v>0.71856531210095398</v>
      </c>
      <c r="H101" s="72">
        <f>G101+$M$101</f>
        <v>0.738565312100954</v>
      </c>
      <c r="I101" s="72">
        <f>H101+$M$101</f>
        <v>0.75856531210095401</v>
      </c>
      <c r="J101" s="72">
        <f>I101+$M$101</f>
        <v>0.77856531210095403</v>
      </c>
      <c r="K101" s="72">
        <f>J101+$M$101</f>
        <v>0.79856531210095405</v>
      </c>
      <c r="M101" s="73">
        <v>0.02</v>
      </c>
      <c r="O101" s="74"/>
      <c r="P101" s="74"/>
      <c r="Q101" s="74"/>
    </row>
    <row r="102" spans="3:17" ht="15" customHeight="1">
      <c r="C102" s="30"/>
      <c r="D102" s="71"/>
      <c r="E102" s="71"/>
      <c r="F102" s="71"/>
      <c r="G102" s="63"/>
      <c r="H102" s="63"/>
      <c r="I102" s="63"/>
      <c r="J102" s="63"/>
      <c r="K102" s="63"/>
      <c r="O102" s="74"/>
      <c r="P102" s="74"/>
      <c r="Q102" s="74"/>
    </row>
    <row r="103" spans="3:17" ht="15" customHeight="1">
      <c r="C103" s="75" t="s">
        <v>124</v>
      </c>
      <c r="D103" s="76"/>
      <c r="E103" s="76"/>
      <c r="F103" s="76"/>
      <c r="G103" s="77"/>
      <c r="H103" s="77"/>
      <c r="I103" s="77"/>
      <c r="J103" s="77"/>
      <c r="K103" s="77"/>
      <c r="O103" s="74"/>
      <c r="P103" s="74"/>
      <c r="Q103" s="74"/>
    </row>
    <row r="104" spans="3:17" ht="15" customHeight="1">
      <c r="C104" s="30" t="s">
        <v>125</v>
      </c>
      <c r="D104" s="42">
        <f>D106+D98</f>
        <v>2205</v>
      </c>
      <c r="E104" s="42">
        <f>E106+E98</f>
        <v>1957</v>
      </c>
      <c r="F104" s="42">
        <f>F106+F98</f>
        <v>1603</v>
      </c>
      <c r="G104" s="58">
        <f>G105*G17</f>
        <v>1538.8799999999999</v>
      </c>
      <c r="H104" s="58">
        <f>H105*H17</f>
        <v>1631.2128</v>
      </c>
      <c r="I104" s="58">
        <f>I105*I17</f>
        <v>1743.7664832</v>
      </c>
      <c r="J104" s="58">
        <f>J105*J17</f>
        <v>1864.0863705407999</v>
      </c>
      <c r="K104" s="58">
        <f>K105*K17</f>
        <v>1992.708330108115</v>
      </c>
      <c r="M104" t="s">
        <v>126</v>
      </c>
      <c r="O104" s="74"/>
      <c r="P104" s="74"/>
      <c r="Q104" s="74"/>
    </row>
    <row r="105" spans="3:17" ht="15" customHeight="1">
      <c r="C105" s="29" t="s">
        <v>127</v>
      </c>
      <c r="D105" s="51">
        <f>D104/D17</f>
        <v>1.0225423044996499E-2</v>
      </c>
      <c r="E105" s="51">
        <f>E104/E17</f>
        <v>8.537128000209393E-3</v>
      </c>
      <c r="F105" s="51">
        <f>F104/F17</f>
        <v>6.0355051864681188E-3</v>
      </c>
      <c r="G105" s="72">
        <f>F105</f>
        <v>6.0355051864681188E-3</v>
      </c>
      <c r="H105" s="72">
        <f>G105</f>
        <v>6.0355051864681188E-3</v>
      </c>
      <c r="I105" s="72">
        <f>H105</f>
        <v>6.0355051864681188E-3</v>
      </c>
      <c r="J105" s="72">
        <f>I105</f>
        <v>6.0355051864681188E-3</v>
      </c>
      <c r="K105" s="72">
        <f>J105</f>
        <v>6.0355051864681188E-3</v>
      </c>
      <c r="M105" t="s">
        <v>128</v>
      </c>
    </row>
    <row r="106" spans="3:17" ht="15" customHeight="1">
      <c r="C106" s="31" t="s">
        <v>129</v>
      </c>
      <c r="D106" s="45">
        <f>D30</f>
        <v>10505</v>
      </c>
      <c r="E106" s="45">
        <f>E30</f>
        <v>10157</v>
      </c>
      <c r="F106" s="45">
        <f>F30</f>
        <v>10903</v>
      </c>
      <c r="G106" s="28">
        <f>-G98+G104</f>
        <v>11085.020171261172</v>
      </c>
      <c r="H106" s="28">
        <f>-H98+H104</f>
        <v>11711.890744865921</v>
      </c>
      <c r="I106" s="28">
        <f>-I98+I104</f>
        <v>12226.380531123083</v>
      </c>
      <c r="J106" s="28">
        <f>-J98+J104</f>
        <v>13365.451007770575</v>
      </c>
      <c r="K106" s="28">
        <f>-K98+K104</f>
        <v>14603.503412486743</v>
      </c>
      <c r="M106" t="s">
        <v>130</v>
      </c>
    </row>
    <row r="107" spans="3:17" ht="15" customHeight="1">
      <c r="C107" s="30"/>
      <c r="D107" s="42"/>
      <c r="E107" s="42"/>
      <c r="F107" s="42"/>
      <c r="H107" s="42"/>
      <c r="I107" s="42"/>
      <c r="J107" s="42"/>
      <c r="K107" s="42"/>
    </row>
    <row r="108" spans="3:17" ht="15" customHeight="1">
      <c r="C108" s="78" t="s">
        <v>131</v>
      </c>
      <c r="D108" s="17"/>
      <c r="E108" s="17"/>
      <c r="F108" s="17"/>
      <c r="H108" s="42"/>
      <c r="I108" s="42"/>
      <c r="J108" s="42"/>
      <c r="K108" s="42"/>
    </row>
    <row r="109" spans="3:17" ht="15" customHeight="1">
      <c r="C109" s="30" t="s">
        <v>114</v>
      </c>
      <c r="D109" s="42"/>
      <c r="G109" s="79">
        <f>F112</f>
        <v>22283</v>
      </c>
      <c r="H109" s="79">
        <f>G112</f>
        <v>21391.68</v>
      </c>
      <c r="I109" s="79">
        <f>H112</f>
        <v>22675.180800000002</v>
      </c>
      <c r="J109" s="79">
        <f>I112</f>
        <v>24239.7682752</v>
      </c>
      <c r="K109" s="79">
        <f>J112</f>
        <v>25912.3122861888</v>
      </c>
      <c r="M109" t="s">
        <v>115</v>
      </c>
    </row>
    <row r="110" spans="3:17" ht="15" customHeight="1">
      <c r="C110" s="29" t="s">
        <v>132</v>
      </c>
      <c r="G110" s="42">
        <f>-(G104)</f>
        <v>-1538.8799999999999</v>
      </c>
      <c r="H110" s="42">
        <f>-(H104)</f>
        <v>-1631.2128</v>
      </c>
      <c r="I110" s="42">
        <f>-(I104)</f>
        <v>-1743.7664832</v>
      </c>
      <c r="J110" s="42">
        <f>-(J104)</f>
        <v>-1864.0863705407999</v>
      </c>
      <c r="K110" s="42">
        <f>-(K104)</f>
        <v>-1992.708330108115</v>
      </c>
      <c r="M110" t="s">
        <v>133</v>
      </c>
    </row>
    <row r="111" spans="3:17" ht="15" customHeight="1">
      <c r="C111" s="67" t="s">
        <v>134</v>
      </c>
      <c r="D111" s="80"/>
      <c r="E111" s="80"/>
      <c r="F111" s="80"/>
      <c r="G111" s="81">
        <f>G112-G110-G109</f>
        <v>647.56000000000131</v>
      </c>
      <c r="H111" s="81">
        <f>H112-H110-H109</f>
        <v>2914.7136000000028</v>
      </c>
      <c r="I111" s="81">
        <f>I112-I110-I109</f>
        <v>3308.3539583999991</v>
      </c>
      <c r="J111" s="81">
        <f>J112-J110-J109</f>
        <v>3536.6303815296014</v>
      </c>
      <c r="K111" s="81">
        <f>K112-K110-K109</f>
        <v>3780.6578778551411</v>
      </c>
      <c r="M111" t="s">
        <v>135</v>
      </c>
    </row>
    <row r="112" spans="3:17" ht="15" customHeight="1">
      <c r="C112" s="70" t="s">
        <v>120</v>
      </c>
      <c r="E112" s="45">
        <f t="shared" ref="E112:K112" si="14">E50</f>
        <v>18177</v>
      </c>
      <c r="F112" s="45">
        <f t="shared" si="14"/>
        <v>22283</v>
      </c>
      <c r="G112" s="45">
        <f t="shared" si="14"/>
        <v>21391.68</v>
      </c>
      <c r="H112" s="45">
        <f t="shared" si="14"/>
        <v>22675.180800000002</v>
      </c>
      <c r="I112" s="45">
        <f t="shared" si="14"/>
        <v>24239.7682752</v>
      </c>
      <c r="J112" s="45">
        <f t="shared" si="14"/>
        <v>25912.3122861888</v>
      </c>
      <c r="K112" s="45">
        <f t="shared" si="14"/>
        <v>27700.261833935827</v>
      </c>
      <c r="M112" t="s">
        <v>136</v>
      </c>
    </row>
    <row r="113" spans="3:17" ht="15" customHeight="1">
      <c r="C113" s="29"/>
      <c r="E113" s="42"/>
      <c r="F113" s="42"/>
      <c r="H113" s="42"/>
      <c r="I113" s="42"/>
      <c r="J113" s="42"/>
      <c r="K113" s="42"/>
    </row>
    <row r="114" spans="3:17" ht="15" customHeight="1">
      <c r="C114" s="82" t="s">
        <v>137</v>
      </c>
      <c r="D114" s="78"/>
      <c r="E114" s="78"/>
      <c r="F114" s="78"/>
      <c r="G114" s="17"/>
      <c r="H114" s="17"/>
      <c r="I114" s="17"/>
      <c r="J114" s="17"/>
      <c r="K114" s="17"/>
    </row>
    <row r="115" spans="3:17" ht="15" customHeight="1">
      <c r="C115" s="30" t="s">
        <v>114</v>
      </c>
      <c r="G115" s="61">
        <f>F119</f>
        <v>70400</v>
      </c>
      <c r="H115" s="61">
        <f ca="1">G119</f>
        <v>35907.506097684833</v>
      </c>
      <c r="I115" s="61">
        <f ca="1">H119</f>
        <v>5326.4073574395152</v>
      </c>
      <c r="J115" s="61">
        <f ca="1">I119</f>
        <v>-21502.07229787598</v>
      </c>
      <c r="K115" s="61">
        <f ca="1">J119</f>
        <v>-44514.319742036285</v>
      </c>
      <c r="M115" t="s">
        <v>115</v>
      </c>
    </row>
    <row r="116" spans="3:17" ht="15" customHeight="1">
      <c r="C116" s="29" t="s">
        <v>138</v>
      </c>
      <c r="D116" s="44">
        <f t="shared" ref="D116:K116" si="15">D28</f>
        <v>45687</v>
      </c>
      <c r="E116" s="44">
        <f t="shared" si="15"/>
        <v>48351</v>
      </c>
      <c r="F116" s="44">
        <f t="shared" si="15"/>
        <v>59531</v>
      </c>
      <c r="G116" s="61">
        <f t="shared" ca="1" si="15"/>
        <v>52298.506097684833</v>
      </c>
      <c r="H116" s="61">
        <f t="shared" ca="1" si="15"/>
        <v>56209.901259754675</v>
      </c>
      <c r="I116" s="61">
        <f t="shared" ca="1" si="15"/>
        <v>59962.520344684504</v>
      </c>
      <c r="J116" s="61">
        <f t="shared" ca="1" si="15"/>
        <v>63778.752555839696</v>
      </c>
      <c r="K116" s="61">
        <f t="shared" ca="1" si="15"/>
        <v>67967.319173978191</v>
      </c>
      <c r="M116" t="s">
        <v>139</v>
      </c>
    </row>
    <row r="117" spans="3:17" ht="15" customHeight="1">
      <c r="C117" s="29" t="s">
        <v>140</v>
      </c>
      <c r="D117" s="39">
        <v>-12188</v>
      </c>
      <c r="E117" s="39">
        <v>-12803</v>
      </c>
      <c r="F117" s="39">
        <v>-13735</v>
      </c>
      <c r="G117" s="61">
        <f t="shared" ref="G117:K118" si="16">F117</f>
        <v>-13735</v>
      </c>
      <c r="H117" s="61">
        <f t="shared" si="16"/>
        <v>-13735</v>
      </c>
      <c r="I117" s="61">
        <f t="shared" si="16"/>
        <v>-13735</v>
      </c>
      <c r="J117" s="61">
        <f t="shared" si="16"/>
        <v>-13735</v>
      </c>
      <c r="K117" s="61">
        <f t="shared" si="16"/>
        <v>-13735</v>
      </c>
      <c r="M117" t="s">
        <v>141</v>
      </c>
    </row>
    <row r="118" spans="3:17" ht="15" customHeight="1">
      <c r="C118" s="67" t="s">
        <v>142</v>
      </c>
      <c r="D118" s="68">
        <v>-29000</v>
      </c>
      <c r="E118" s="68">
        <v>-33001</v>
      </c>
      <c r="F118" s="68">
        <v>-73056</v>
      </c>
      <c r="G118" s="69">
        <f t="shared" si="16"/>
        <v>-73056</v>
      </c>
      <c r="H118" s="69">
        <f t="shared" si="16"/>
        <v>-73056</v>
      </c>
      <c r="I118" s="69">
        <f t="shared" si="16"/>
        <v>-73056</v>
      </c>
      <c r="J118" s="69">
        <f t="shared" si="16"/>
        <v>-73056</v>
      </c>
      <c r="K118" s="69">
        <f t="shared" si="16"/>
        <v>-73056</v>
      </c>
      <c r="M118" t="s">
        <v>143</v>
      </c>
    </row>
    <row r="119" spans="3:17" ht="15" customHeight="1">
      <c r="C119" s="70" t="s">
        <v>120</v>
      </c>
      <c r="D119" s="41">
        <f>D62</f>
        <v>0</v>
      </c>
      <c r="E119" s="41">
        <f>E62</f>
        <v>98330</v>
      </c>
      <c r="F119" s="41">
        <f>F62</f>
        <v>70400</v>
      </c>
      <c r="G119" s="66">
        <f ca="1">SUM(G115:G118)</f>
        <v>35907.506097684833</v>
      </c>
      <c r="H119" s="66">
        <f ca="1">SUM(H115:H118)</f>
        <v>5326.4073574395152</v>
      </c>
      <c r="I119" s="66">
        <f ca="1">SUM(I115:I118)</f>
        <v>-21502.07229787598</v>
      </c>
      <c r="J119" s="66">
        <f ca="1">SUM(J115:J118)</f>
        <v>-44514.319742036285</v>
      </c>
      <c r="K119" s="66">
        <f ca="1">SUM(K115:K118)</f>
        <v>-63338.000568058094</v>
      </c>
      <c r="M119" t="s">
        <v>144</v>
      </c>
    </row>
    <row r="120" spans="3:17" ht="15" customHeight="1">
      <c r="E120" s="40"/>
      <c r="F120" s="40"/>
    </row>
    <row r="121" spans="3:17" ht="15" customHeight="1">
      <c r="C121" s="16" t="s">
        <v>145</v>
      </c>
      <c r="D121" s="17"/>
      <c r="E121" s="17"/>
      <c r="F121" s="17"/>
      <c r="G121" s="17"/>
      <c r="H121" s="17"/>
      <c r="I121" s="17"/>
      <c r="J121" s="17"/>
      <c r="K121" s="17"/>
      <c r="O121" s="74"/>
      <c r="P121" s="74"/>
    </row>
    <row r="122" spans="3:17" ht="15" customHeight="1">
      <c r="C122" s="36" t="str">
        <f t="shared" ref="C122:K122" si="17">C14</f>
        <v xml:space="preserve">Fiscal year  </v>
      </c>
      <c r="D122" s="37">
        <f t="shared" si="17"/>
        <v>2016</v>
      </c>
      <c r="E122" s="37">
        <f t="shared" si="17"/>
        <v>2017</v>
      </c>
      <c r="F122" s="37">
        <f t="shared" si="17"/>
        <v>2018</v>
      </c>
      <c r="G122" s="65">
        <f t="shared" si="17"/>
        <v>2019</v>
      </c>
      <c r="H122" s="65">
        <f t="shared" si="17"/>
        <v>2020</v>
      </c>
      <c r="I122" s="65">
        <f t="shared" si="17"/>
        <v>2021</v>
      </c>
      <c r="J122" s="65">
        <f t="shared" si="17"/>
        <v>2022</v>
      </c>
      <c r="K122" s="65">
        <f t="shared" si="17"/>
        <v>2023</v>
      </c>
      <c r="O122" s="74"/>
      <c r="P122" s="74"/>
    </row>
    <row r="123" spans="3:17" ht="15" customHeight="1">
      <c r="C123" s="17" t="str">
        <f t="shared" ref="C123:K123" si="18">C15</f>
        <v>Fiscal year end date</v>
      </c>
      <c r="D123" s="38">
        <f t="shared" si="18"/>
        <v>42643</v>
      </c>
      <c r="E123" s="38">
        <f t="shared" si="18"/>
        <v>43008</v>
      </c>
      <c r="F123" s="38">
        <f t="shared" si="18"/>
        <v>43372</v>
      </c>
      <c r="G123" s="38">
        <f t="shared" si="18"/>
        <v>43738</v>
      </c>
      <c r="H123" s="38">
        <f t="shared" si="18"/>
        <v>44104</v>
      </c>
      <c r="I123" s="38">
        <f t="shared" si="18"/>
        <v>44469</v>
      </c>
      <c r="J123" s="38">
        <f t="shared" si="18"/>
        <v>44834</v>
      </c>
      <c r="K123" s="38">
        <f t="shared" si="18"/>
        <v>45199</v>
      </c>
      <c r="O123" s="74"/>
      <c r="P123" s="74"/>
    </row>
    <row r="124" spans="3:17" ht="15" customHeight="1">
      <c r="C124" s="27"/>
      <c r="O124" s="74"/>
      <c r="P124" s="74"/>
    </row>
    <row r="125" spans="3:17" ht="15" customHeight="1">
      <c r="C125" s="32" t="s">
        <v>146</v>
      </c>
      <c r="O125" s="74"/>
      <c r="P125" s="74"/>
      <c r="Q125" s="74"/>
    </row>
    <row r="126" spans="3:17" ht="15" customHeight="1">
      <c r="C126" s="29" t="s">
        <v>147</v>
      </c>
      <c r="G126" s="60">
        <f>F45</f>
        <v>237100</v>
      </c>
      <c r="H126" s="60">
        <f ca="1">G45</f>
        <v>202199.73246575586</v>
      </c>
      <c r="I126" s="60">
        <f ca="1">H45</f>
        <v>176523.72487352614</v>
      </c>
      <c r="J126" s="60">
        <f ca="1">I45</f>
        <v>156076.92943323214</v>
      </c>
      <c r="K126" s="60">
        <f ca="1">J45</f>
        <v>140273.77732642859</v>
      </c>
      <c r="M126" t="s">
        <v>148</v>
      </c>
      <c r="O126" s="74"/>
      <c r="P126" s="74"/>
    </row>
    <row r="127" spans="3:17" ht="15" customHeight="1">
      <c r="C127" s="29" t="s">
        <v>149</v>
      </c>
      <c r="G127" s="39">
        <v>-50000</v>
      </c>
      <c r="H127" s="39">
        <v>-50000</v>
      </c>
      <c r="I127" s="39">
        <v>-50000</v>
      </c>
      <c r="J127" s="39">
        <v>-50000</v>
      </c>
      <c r="K127" s="39">
        <v>-50000</v>
      </c>
      <c r="M127" t="s">
        <v>150</v>
      </c>
      <c r="O127" s="74"/>
      <c r="P127" s="74"/>
    </row>
    <row r="128" spans="3:17" ht="15" customHeight="1">
      <c r="C128" s="67" t="s">
        <v>151</v>
      </c>
      <c r="D128" s="80"/>
      <c r="E128" s="80"/>
      <c r="F128" s="80"/>
      <c r="G128" s="83">
        <f ca="1">SUM(G79,G82,G84,G86,G87)</f>
        <v>-34936.267534244129</v>
      </c>
      <c r="H128" s="83">
        <f ca="1">SUM(H79,H82,H84,H86,H87)</f>
        <v>-25676.007592229726</v>
      </c>
      <c r="I128" s="83">
        <f ca="1">SUM(I79,I82,I84,I86,I87)</f>
        <v>-20446.795440293994</v>
      </c>
      <c r="J128" s="83">
        <f ca="1">SUM(J79,J82,J84,J86,J87)</f>
        <v>-15803.152106803551</v>
      </c>
      <c r="K128" s="83">
        <f ca="1">SUM(K79,K82,K84,K86,K87)</f>
        <v>-10801.321625207391</v>
      </c>
      <c r="M128" t="s">
        <v>152</v>
      </c>
    </row>
    <row r="129" spans="3:19" ht="15" customHeight="1">
      <c r="C129" s="70" t="s">
        <v>153</v>
      </c>
      <c r="G129" s="84">
        <f ca="1">SUM(G126:G128)</f>
        <v>152163.73246575586</v>
      </c>
      <c r="H129" s="84">
        <f ca="1">SUM(H126:H128)</f>
        <v>126523.72487352614</v>
      </c>
      <c r="I129" s="84">
        <f ca="1">SUM(I126:I128)</f>
        <v>106076.92943323214</v>
      </c>
      <c r="J129" s="84">
        <f ca="1">SUM(J126:J128)</f>
        <v>90273.777326428593</v>
      </c>
      <c r="K129" s="84">
        <f ca="1">SUM(K126:K128)</f>
        <v>79472.455701221203</v>
      </c>
    </row>
    <row r="131" spans="3:19" ht="15" customHeight="1">
      <c r="C131" s="27" t="s">
        <v>154</v>
      </c>
    </row>
    <row r="132" spans="3:19" ht="15" customHeight="1">
      <c r="C132" s="29" t="s">
        <v>114</v>
      </c>
      <c r="G132" s="60">
        <f>F135</f>
        <v>11964</v>
      </c>
      <c r="H132" s="60">
        <f ca="1">G135</f>
        <v>12000</v>
      </c>
      <c r="I132" s="60">
        <f ca="1">H135</f>
        <v>12000</v>
      </c>
      <c r="J132" s="60">
        <f ca="1">I135</f>
        <v>12000</v>
      </c>
      <c r="K132" s="60">
        <f ca="1">J135</f>
        <v>12000</v>
      </c>
      <c r="M132" t="s">
        <v>115</v>
      </c>
    </row>
    <row r="133" spans="3:19" ht="15" customHeight="1">
      <c r="C133" s="29" t="s">
        <v>155</v>
      </c>
      <c r="G133" s="60">
        <f ca="1">-MIN(G129,G132)</f>
        <v>-11964</v>
      </c>
      <c r="H133" s="60">
        <f ca="1">-MIN(H129,H132)</f>
        <v>-12000</v>
      </c>
      <c r="I133" s="60">
        <f ca="1">-MIN(I129,I132)</f>
        <v>-12000</v>
      </c>
      <c r="J133" s="60">
        <f ca="1">-MIN(J129,J132)</f>
        <v>-12000</v>
      </c>
      <c r="K133" s="60">
        <f ca="1">-MIN(K129,K132)</f>
        <v>-12000</v>
      </c>
      <c r="M133" t="s">
        <v>156</v>
      </c>
    </row>
    <row r="134" spans="3:19" ht="15" customHeight="1">
      <c r="C134" s="67" t="s">
        <v>157</v>
      </c>
      <c r="D134" s="80"/>
      <c r="E134" s="80"/>
      <c r="F134" s="80"/>
      <c r="G134" s="68">
        <v>12000</v>
      </c>
      <c r="H134" s="68">
        <v>12000</v>
      </c>
      <c r="I134" s="68">
        <v>12000</v>
      </c>
      <c r="J134" s="68">
        <v>12000</v>
      </c>
      <c r="K134" s="68">
        <v>12000</v>
      </c>
      <c r="M134" t="s">
        <v>150</v>
      </c>
    </row>
    <row r="135" spans="3:19" ht="15" customHeight="1">
      <c r="C135" s="29" t="s">
        <v>120</v>
      </c>
      <c r="D135" s="85">
        <f>D56</f>
        <v>0</v>
      </c>
      <c r="E135" s="85">
        <f>E56</f>
        <v>11977</v>
      </c>
      <c r="F135" s="85">
        <f>F56</f>
        <v>11964</v>
      </c>
      <c r="G135" s="86">
        <f ca="1">SUM(G132:G134)</f>
        <v>12000</v>
      </c>
      <c r="H135" s="86">
        <f ca="1">SUM(H132:H134)</f>
        <v>12000</v>
      </c>
      <c r="I135" s="86">
        <f ca="1">SUM(I132:I134)</f>
        <v>12000</v>
      </c>
      <c r="J135" s="86">
        <f ca="1">SUM(J132:J134)</f>
        <v>12000</v>
      </c>
      <c r="K135" s="86">
        <f ca="1">SUM(K132:K134)</f>
        <v>12000</v>
      </c>
    </row>
    <row r="136" spans="3:19" ht="15" customHeight="1">
      <c r="C136" s="87" t="s">
        <v>158</v>
      </c>
      <c r="D136" s="88"/>
      <c r="E136" s="88"/>
      <c r="F136" s="89"/>
      <c r="G136" s="90" t="str">
        <f ca="1">IF(G135&lt;0,"Negative Debt","OK")</f>
        <v>OK</v>
      </c>
      <c r="H136" s="90" t="str">
        <f ca="1">IF(H135&lt;0,"Negative Debt","OK")</f>
        <v>OK</v>
      </c>
      <c r="I136" s="90" t="str">
        <f ca="1">IF(I135&lt;0,"Negative Debt","OK")</f>
        <v>OK</v>
      </c>
      <c r="J136" s="90" t="str">
        <f ca="1">IF(J135&lt;0,"Negative Debt","OK")</f>
        <v>OK</v>
      </c>
      <c r="K136" s="91" t="str">
        <f ca="1">IF(K135&lt;0,"Negative Debt","OK")</f>
        <v>OK</v>
      </c>
      <c r="S136" s="40"/>
    </row>
    <row r="137" spans="3:19" ht="15" customHeight="1">
      <c r="D137" s="42"/>
      <c r="E137" s="42"/>
      <c r="F137" s="92"/>
      <c r="G137" s="93"/>
      <c r="H137" s="93"/>
      <c r="I137" s="93"/>
      <c r="J137" s="93"/>
      <c r="K137" s="93"/>
      <c r="S137" s="40"/>
    </row>
    <row r="138" spans="3:19" ht="15" customHeight="1">
      <c r="C138" s="16" t="s">
        <v>159</v>
      </c>
      <c r="D138" s="76"/>
      <c r="E138" s="76"/>
      <c r="F138" s="76"/>
      <c r="G138" s="94"/>
      <c r="H138" s="94"/>
      <c r="I138" s="94"/>
      <c r="J138" s="94"/>
      <c r="K138" s="94"/>
      <c r="R138" s="95"/>
    </row>
    <row r="139" spans="3:19" ht="15" customHeight="1">
      <c r="C139" s="36" t="str">
        <f t="shared" ref="C139:K139" si="19">C14</f>
        <v xml:space="preserve">Fiscal year  </v>
      </c>
      <c r="D139" s="37">
        <f t="shared" si="19"/>
        <v>2016</v>
      </c>
      <c r="E139" s="37">
        <f t="shared" si="19"/>
        <v>2017</v>
      </c>
      <c r="F139" s="37">
        <f t="shared" si="19"/>
        <v>2018</v>
      </c>
      <c r="G139" s="65">
        <f t="shared" si="19"/>
        <v>2019</v>
      </c>
      <c r="H139" s="65">
        <f t="shared" si="19"/>
        <v>2020</v>
      </c>
      <c r="I139" s="65">
        <f t="shared" si="19"/>
        <v>2021</v>
      </c>
      <c r="J139" s="65">
        <f t="shared" si="19"/>
        <v>2022</v>
      </c>
      <c r="K139" s="65">
        <f t="shared" si="19"/>
        <v>2023</v>
      </c>
      <c r="R139" s="95"/>
      <c r="S139" s="40"/>
    </row>
    <row r="140" spans="3:19" ht="15" customHeight="1">
      <c r="C140" s="17" t="str">
        <f t="shared" ref="C140:K140" si="20">C15</f>
        <v>Fiscal year end date</v>
      </c>
      <c r="D140" s="38">
        <f t="shared" si="20"/>
        <v>42643</v>
      </c>
      <c r="E140" s="38">
        <f t="shared" si="20"/>
        <v>43008</v>
      </c>
      <c r="F140" s="38">
        <f t="shared" si="20"/>
        <v>43372</v>
      </c>
      <c r="G140" s="38">
        <f t="shared" si="20"/>
        <v>43738</v>
      </c>
      <c r="H140" s="38">
        <f t="shared" si="20"/>
        <v>44104</v>
      </c>
      <c r="I140" s="38">
        <f t="shared" si="20"/>
        <v>44469</v>
      </c>
      <c r="J140" s="38">
        <f t="shared" si="20"/>
        <v>44834</v>
      </c>
      <c r="K140" s="38">
        <f t="shared" si="20"/>
        <v>45199</v>
      </c>
      <c r="R140" s="95"/>
    </row>
    <row r="141" spans="3:19" ht="15" customHeight="1">
      <c r="C141" s="29"/>
      <c r="D141" s="42"/>
      <c r="E141" s="42"/>
      <c r="F141" s="42"/>
      <c r="G141" s="96"/>
      <c r="H141" s="96"/>
      <c r="I141" s="96"/>
      <c r="J141" s="96"/>
      <c r="K141" s="96"/>
      <c r="R141" s="95"/>
    </row>
    <row r="142" spans="3:19" ht="15" customHeight="1">
      <c r="C142" s="30" t="s">
        <v>160</v>
      </c>
      <c r="D142" s="42">
        <f>-(D24)</f>
        <v>1456</v>
      </c>
      <c r="E142" s="42">
        <f>-(E24)</f>
        <v>2323</v>
      </c>
      <c r="F142" s="42">
        <f>-(F24)</f>
        <v>3240</v>
      </c>
      <c r="G142" s="60">
        <f ca="1">G147+G152</f>
        <v>3223.1468651501777</v>
      </c>
      <c r="H142" s="60">
        <f ca="1">H147+H152</f>
        <v>3223.5392651501775</v>
      </c>
      <c r="I142" s="60">
        <f ca="1">I147+I152</f>
        <v>3223.5392651501775</v>
      </c>
      <c r="J142" s="60">
        <f ca="1">J147+J152</f>
        <v>3223.5392651501775</v>
      </c>
      <c r="K142" s="60">
        <f ca="1">K147+K152</f>
        <v>3223.5392651501775</v>
      </c>
      <c r="M142" t="s">
        <v>161</v>
      </c>
      <c r="R142" s="40"/>
    </row>
    <row r="143" spans="3:19" ht="15" customHeight="1">
      <c r="C143" s="97"/>
      <c r="R143" s="40"/>
    </row>
    <row r="144" spans="3:19" ht="15" customHeight="1">
      <c r="C144" s="98" t="s">
        <v>162</v>
      </c>
      <c r="R144" s="40"/>
    </row>
    <row r="145" spans="3:18" ht="15" customHeight="1">
      <c r="C145" s="29" t="s">
        <v>163</v>
      </c>
      <c r="E145" s="99">
        <v>1.2E-2</v>
      </c>
      <c r="F145" s="99">
        <v>2.18E-2</v>
      </c>
      <c r="G145" s="100">
        <f>F145</f>
        <v>2.18E-2</v>
      </c>
      <c r="H145" s="100">
        <f>G145</f>
        <v>2.18E-2</v>
      </c>
      <c r="I145" s="100">
        <f>H145</f>
        <v>2.18E-2</v>
      </c>
      <c r="J145" s="100">
        <f>I145</f>
        <v>2.18E-2</v>
      </c>
      <c r="K145" s="100">
        <f>J145</f>
        <v>2.18E-2</v>
      </c>
      <c r="M145" t="s">
        <v>164</v>
      </c>
    </row>
    <row r="146" spans="3:18" ht="15" customHeight="1">
      <c r="C146" s="29" t="s">
        <v>165</v>
      </c>
      <c r="D146" s="85"/>
      <c r="E146" s="85">
        <f t="shared" ref="E146:K146" si="21">E56</f>
        <v>11977</v>
      </c>
      <c r="F146" s="85">
        <f t="shared" si="21"/>
        <v>11964</v>
      </c>
      <c r="G146" s="60">
        <f t="shared" ca="1" si="21"/>
        <v>12000</v>
      </c>
      <c r="H146" s="60">
        <f t="shared" ca="1" si="21"/>
        <v>12000</v>
      </c>
      <c r="I146" s="60">
        <f t="shared" ca="1" si="21"/>
        <v>12000</v>
      </c>
      <c r="J146" s="60">
        <f t="shared" ca="1" si="21"/>
        <v>12000</v>
      </c>
      <c r="K146" s="60">
        <f t="shared" ca="1" si="21"/>
        <v>12000</v>
      </c>
      <c r="M146" t="s">
        <v>166</v>
      </c>
    </row>
    <row r="147" spans="3:18" ht="15" customHeight="1">
      <c r="C147" s="101" t="s">
        <v>167</v>
      </c>
      <c r="D147" s="42"/>
      <c r="E147" s="45">
        <f>AVERAGE(D146:E146)*E145</f>
        <v>143.72399999999999</v>
      </c>
      <c r="F147" s="45">
        <f>AVERAGE(E146:F146)*F145</f>
        <v>260.95690000000002</v>
      </c>
      <c r="G147" s="102">
        <f ca="1">IF($D$7=1,AVERAGE(F146,G146)*G145,0)</f>
        <v>261.20760000000001</v>
      </c>
      <c r="H147" s="102">
        <f ca="1">IF($D$7=1,AVERAGE(G146,H146)*H145,0)</f>
        <v>261.60000000000002</v>
      </c>
      <c r="I147" s="102">
        <f ca="1">IF($D$7=1,AVERAGE(H146,I146)*I145,0)</f>
        <v>261.60000000000002</v>
      </c>
      <c r="J147" s="102">
        <f ca="1">IF($D$7=1,AVERAGE(I146,J146)*J145,0)</f>
        <v>261.60000000000002</v>
      </c>
      <c r="K147" s="102">
        <f ca="1">IF($D$7=1,AVERAGE(J146,K146)*K145,0)</f>
        <v>261.60000000000002</v>
      </c>
      <c r="M147" t="s">
        <v>168</v>
      </c>
    </row>
    <row r="148" spans="3:18" ht="15" customHeight="1">
      <c r="C148" s="103"/>
      <c r="D148" s="42"/>
      <c r="E148" s="42"/>
      <c r="F148" s="42"/>
    </row>
    <row r="149" spans="3:18" ht="15" customHeight="1">
      <c r="C149" s="98" t="s">
        <v>105</v>
      </c>
      <c r="D149" s="42"/>
      <c r="E149" s="42"/>
      <c r="F149" s="42"/>
    </row>
    <row r="150" spans="3:18" ht="15" customHeight="1">
      <c r="C150" s="29" t="s">
        <v>165</v>
      </c>
      <c r="D150" s="42"/>
      <c r="E150" s="42">
        <f t="shared" ref="E150:K150" si="22">E57</f>
        <v>103703</v>
      </c>
      <c r="F150" s="42">
        <f t="shared" si="22"/>
        <v>102519</v>
      </c>
      <c r="G150" s="60">
        <f t="shared" si="22"/>
        <v>102519</v>
      </c>
      <c r="H150" s="60">
        <f t="shared" si="22"/>
        <v>102519</v>
      </c>
      <c r="I150" s="60">
        <f t="shared" si="22"/>
        <v>102519</v>
      </c>
      <c r="J150" s="60">
        <f t="shared" si="22"/>
        <v>102519</v>
      </c>
      <c r="K150" s="60">
        <f t="shared" si="22"/>
        <v>102519</v>
      </c>
      <c r="M150" t="s">
        <v>107</v>
      </c>
    </row>
    <row r="151" spans="3:18" ht="15" customHeight="1">
      <c r="C151" s="29" t="s">
        <v>163</v>
      </c>
      <c r="E151" s="51">
        <f>E152/AVERAGE(D150:E150)</f>
        <v>2.101458974185896E-2</v>
      </c>
      <c r="F151" s="51">
        <f>F152/AVERAGE(E150:F150)</f>
        <v>2.8891612921996681E-2</v>
      </c>
      <c r="G151" s="105">
        <f>F151</f>
        <v>2.8891612921996681E-2</v>
      </c>
      <c r="H151" s="105">
        <f>G151</f>
        <v>2.8891612921996681E-2</v>
      </c>
      <c r="I151" s="105">
        <f>H151</f>
        <v>2.8891612921996681E-2</v>
      </c>
      <c r="J151" s="105">
        <f>I151</f>
        <v>2.8891612921996681E-2</v>
      </c>
      <c r="K151" s="105">
        <f>J151</f>
        <v>2.8891612921996681E-2</v>
      </c>
      <c r="M151" t="s">
        <v>164</v>
      </c>
      <c r="R151" s="95"/>
    </row>
    <row r="152" spans="3:18" ht="15" customHeight="1">
      <c r="C152" s="70" t="s">
        <v>169</v>
      </c>
      <c r="D152" s="45"/>
      <c r="E152" s="45">
        <f>E142-E147</f>
        <v>2179.2759999999998</v>
      </c>
      <c r="F152" s="45">
        <f>F142-F147</f>
        <v>2979.0430999999999</v>
      </c>
      <c r="G152" s="106">
        <f>G151*AVERAGE(F150:G150)</f>
        <v>2961.9392651501776</v>
      </c>
      <c r="H152" s="106">
        <f>H151*AVERAGE(G150:H150)</f>
        <v>2961.9392651501776</v>
      </c>
      <c r="I152" s="106">
        <f>I151*AVERAGE(H150:I150)</f>
        <v>2961.9392651501776</v>
      </c>
      <c r="J152" s="106">
        <f>J151*AVERAGE(I150:J150)</f>
        <v>2961.9392651501776</v>
      </c>
      <c r="K152" s="106">
        <f>K151*AVERAGE(J150:K150)</f>
        <v>2961.9392651501776</v>
      </c>
      <c r="M152" t="s">
        <v>170</v>
      </c>
    </row>
    <row r="153" spans="3:18" ht="15" customHeight="1">
      <c r="E153" s="42"/>
    </row>
    <row r="154" spans="3:18" ht="15" customHeight="1">
      <c r="C154" s="97" t="s">
        <v>171</v>
      </c>
      <c r="E154" s="42"/>
      <c r="F154" s="42"/>
    </row>
    <row r="155" spans="3:18" ht="15" customHeight="1">
      <c r="C155" s="29" t="s">
        <v>172</v>
      </c>
      <c r="D155" s="49">
        <v>1.7299999999999999E-2</v>
      </c>
      <c r="E155" s="99">
        <v>1.9900000000000001E-2</v>
      </c>
      <c r="F155" s="99">
        <v>2.1600000000000001E-2</v>
      </c>
      <c r="G155" s="109">
        <f>F155</f>
        <v>2.1600000000000001E-2</v>
      </c>
      <c r="H155" s="109">
        <f>G155</f>
        <v>2.1600000000000001E-2</v>
      </c>
      <c r="I155" s="109">
        <f>H155</f>
        <v>2.1600000000000001E-2</v>
      </c>
      <c r="J155" s="109">
        <f>I155</f>
        <v>2.1600000000000001E-2</v>
      </c>
      <c r="K155" s="109">
        <f>J155</f>
        <v>2.1600000000000001E-2</v>
      </c>
      <c r="M155" t="s">
        <v>164</v>
      </c>
    </row>
    <row r="156" spans="3:18" ht="15" customHeight="1">
      <c r="C156" s="29" t="s">
        <v>19</v>
      </c>
      <c r="D156" s="42">
        <f>D23</f>
        <v>3999</v>
      </c>
      <c r="E156" s="42">
        <f>E23</f>
        <v>5201</v>
      </c>
      <c r="F156" s="42">
        <f>F23</f>
        <v>5686</v>
      </c>
      <c r="G156" s="110">
        <f ca="1">IF($D$7=1,AVERAGE(F45,G45)*G155,0)</f>
        <v>4744.4371106301642</v>
      </c>
      <c r="H156" s="110">
        <f ca="1">IF($D$7=1,AVERAGE(G45,H45)*H155,0)</f>
        <v>4090.2133392642463</v>
      </c>
      <c r="I156" s="110">
        <f ca="1">IF($D$7=1,AVERAGE(H45,I45)*I155,0)</f>
        <v>3592.0870665129901</v>
      </c>
      <c r="J156" s="110">
        <f ca="1">IF($D$7=1,AVERAGE(I45,J45)*J155,0)</f>
        <v>3200.5876330043361</v>
      </c>
      <c r="K156" s="110">
        <f ca="1">IF($D$7=1,AVERAGE(J45,K45)*K155,0)</f>
        <v>2913.259316698618</v>
      </c>
      <c r="M156" t="s">
        <v>173</v>
      </c>
    </row>
    <row r="157" spans="3:18" ht="15" customHeight="1">
      <c r="C157" s="50"/>
      <c r="D157" s="51"/>
      <c r="E157" s="51"/>
      <c r="F157" s="51"/>
      <c r="G157" s="51"/>
      <c r="H157" s="51"/>
    </row>
  </sheetData>
  <mergeCells count="1">
    <mergeCell ref="G95:K95"/>
  </mergeCells>
  <conditionalFormatting sqref="C39">
    <cfRule type="expression" dxfId="21" priority="2">
      <formula>#REF!=$C39</formula>
    </cfRule>
  </conditionalFormatting>
  <dataValidations count="2">
    <dataValidation type="list" allowBlank="1" showInputMessage="1" showErrorMessage="1" sqref="C3" xr:uid="{00000000-0002-0000-0500-000000000000}">
      <formula1>"$ bns except per share,$ mm except per share,$ in thousands except per share"</formula1>
      <formula2>0</formula2>
    </dataValidation>
    <dataValidation type="list" allowBlank="1" showInputMessage="1" showErrorMessage="1" sqref="D7" xr:uid="{00000000-0002-0000-0500-000001000000}">
      <formula1>"0,1"</formula1>
      <formula2>0</formula2>
    </dataValidation>
  </dataValidations>
  <pageMargins left="0.7" right="0.7" top="0.75" bottom="0.75" header="0.511811023622047" footer="0.511811023622047"/>
  <pageSetup orientation="portrait" horizontalDpi="300" verticalDpi="300"/>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C1:T157"/>
  <sheetViews>
    <sheetView zoomScaleNormal="100" workbookViewId="0"/>
  </sheetViews>
  <sheetFormatPr baseColWidth="10" defaultColWidth="8.83203125" defaultRowHeight="15"/>
  <cols>
    <col min="1" max="2" width="1.6640625" customWidth="1"/>
    <col min="3" max="3" width="46.6640625" customWidth="1"/>
    <col min="4" max="11" width="11.5" customWidth="1"/>
    <col min="12" max="12" width="2.33203125" customWidth="1"/>
    <col min="13" max="13" width="11.5" customWidth="1"/>
    <col min="14" max="14" width="11.83203125" customWidth="1"/>
    <col min="15" max="17" width="10.33203125" customWidth="1"/>
    <col min="18" max="19" width="9.5" customWidth="1"/>
  </cols>
  <sheetData>
    <row r="1" spans="3:19" ht="15.75" customHeight="1"/>
    <row r="2" spans="3:19" ht="15.75" customHeight="1">
      <c r="C2" s="4" t="str">
        <f>"Financial Statement Model for "&amp;D5</f>
        <v>Financial Statement Model for Apple</v>
      </c>
      <c r="D2" s="5"/>
      <c r="E2" s="5"/>
      <c r="F2" s="5"/>
      <c r="G2" s="5"/>
      <c r="H2" s="5"/>
      <c r="I2" s="5"/>
      <c r="J2" s="5"/>
      <c r="K2" s="5"/>
    </row>
    <row r="3" spans="3:19" ht="15" customHeight="1">
      <c r="C3" s="6" t="s">
        <v>0</v>
      </c>
      <c r="D3" s="7"/>
      <c r="E3" s="7"/>
      <c r="F3" s="7"/>
      <c r="G3" s="7"/>
      <c r="H3" s="7"/>
    </row>
    <row r="5" spans="3:19" ht="15" customHeight="1">
      <c r="C5" s="8" t="s">
        <v>1</v>
      </c>
      <c r="D5" s="9" t="s">
        <v>2</v>
      </c>
    </row>
    <row r="6" spans="3:19" ht="15" customHeight="1">
      <c r="C6" s="8" t="s">
        <v>3</v>
      </c>
      <c r="D6" s="9" t="s">
        <v>4</v>
      </c>
    </row>
    <row r="7" spans="3:19" ht="15" customHeight="1">
      <c r="C7" t="s">
        <v>5</v>
      </c>
      <c r="D7" s="10">
        <v>1</v>
      </c>
    </row>
    <row r="8" spans="3:19" ht="15" customHeight="1">
      <c r="C8" t="s">
        <v>6</v>
      </c>
      <c r="D8" s="52">
        <v>296.42</v>
      </c>
    </row>
    <row r="9" spans="3:19" ht="15" customHeight="1">
      <c r="C9" t="s">
        <v>7</v>
      </c>
      <c r="D9" s="12">
        <v>46189</v>
      </c>
    </row>
    <row r="10" spans="3:19" ht="15" customHeight="1">
      <c r="C10" s="8" t="s">
        <v>8</v>
      </c>
      <c r="D10" s="13">
        <v>45927</v>
      </c>
    </row>
    <row r="11" spans="3:19" ht="15" customHeight="1">
      <c r="C11" t="s">
        <v>9</v>
      </c>
      <c r="D11" s="54">
        <v>14776.352999999999</v>
      </c>
    </row>
    <row r="13" spans="3:19" ht="15" customHeight="1">
      <c r="C13" s="16" t="s">
        <v>10</v>
      </c>
      <c r="D13" s="17"/>
      <c r="E13" s="17"/>
      <c r="F13" s="17"/>
      <c r="G13" s="17"/>
      <c r="H13" s="17"/>
      <c r="I13" s="17"/>
      <c r="J13" s="17"/>
      <c r="K13" s="17"/>
    </row>
    <row r="14" spans="3:19" ht="15" customHeight="1">
      <c r="C14" t="s">
        <v>11</v>
      </c>
      <c r="D14" s="18">
        <f>E14-1</f>
        <v>2023</v>
      </c>
      <c r="E14" s="18">
        <f>F14-1</f>
        <v>2024</v>
      </c>
      <c r="F14" s="18">
        <f>YEAR(D10)</f>
        <v>2025</v>
      </c>
      <c r="G14" s="55">
        <f>F14+1</f>
        <v>2026</v>
      </c>
      <c r="H14" s="55">
        <f>G14+1</f>
        <v>2027</v>
      </c>
      <c r="I14" s="55">
        <f>H14+1</f>
        <v>2028</v>
      </c>
      <c r="J14" s="55">
        <f>I14+1</f>
        <v>2029</v>
      </c>
      <c r="K14" s="55">
        <f>J14+1</f>
        <v>2030</v>
      </c>
    </row>
    <row r="15" spans="3:19" ht="15" customHeight="1">
      <c r="C15" s="19" t="s">
        <v>12</v>
      </c>
      <c r="D15" s="20">
        <f>EOMONTH(E15,-12)</f>
        <v>45199</v>
      </c>
      <c r="E15" s="20">
        <f>EOMONTH(F15,-12)</f>
        <v>45565</v>
      </c>
      <c r="F15" s="20">
        <f>D10</f>
        <v>45927</v>
      </c>
      <c r="G15" s="20">
        <f>EOMONTH(F15,12)</f>
        <v>46295</v>
      </c>
      <c r="H15" s="20">
        <f>EOMONTH(G15,12)</f>
        <v>46660</v>
      </c>
      <c r="I15" s="20">
        <f>EOMONTH(H15,12)</f>
        <v>47026</v>
      </c>
      <c r="J15" s="20">
        <f>EOMONTH(I15,12)</f>
        <v>47391</v>
      </c>
      <c r="K15" s="20">
        <f>EOMONTH(J15,12)</f>
        <v>47756</v>
      </c>
      <c r="M15" s="16" t="s">
        <v>66</v>
      </c>
      <c r="N15" s="17"/>
      <c r="O15" s="17"/>
      <c r="P15" s="17"/>
      <c r="Q15" s="17"/>
      <c r="R15" s="17"/>
      <c r="S15" s="17"/>
    </row>
    <row r="16" spans="3:19" ht="15" customHeight="1">
      <c r="C16" s="23"/>
      <c r="D16" s="24"/>
      <c r="E16" s="25"/>
      <c r="F16" s="25"/>
      <c r="G16" s="56"/>
      <c r="H16" s="57"/>
      <c r="I16" s="57"/>
      <c r="J16" s="25"/>
      <c r="K16" s="25"/>
    </row>
    <row r="17" spans="3:14" ht="15" customHeight="1">
      <c r="C17" t="s">
        <v>13</v>
      </c>
      <c r="D17" s="39">
        <v>383285</v>
      </c>
      <c r="E17" s="39">
        <v>391035</v>
      </c>
      <c r="F17" s="39">
        <v>416161</v>
      </c>
      <c r="G17" s="58">
        <f>F17*(1+G36)</f>
        <v>436969.05000000005</v>
      </c>
      <c r="H17" s="58">
        <f>G17*(1+H36)</f>
        <v>458817.50250000006</v>
      </c>
      <c r="I17" s="58">
        <f>H17*(1+I36)</f>
        <v>481758.37762500008</v>
      </c>
      <c r="J17" s="58">
        <f>I17*(1+J36)</f>
        <v>505846.2965062501</v>
      </c>
      <c r="K17" s="58">
        <f>J17*(1+K36)</f>
        <v>531138.61133156263</v>
      </c>
      <c r="M17" t="s">
        <v>67</v>
      </c>
    </row>
    <row r="18" spans="3:14" ht="15" customHeight="1">
      <c r="C18" t="s">
        <v>14</v>
      </c>
      <c r="D18" s="39">
        <v>-214137</v>
      </c>
      <c r="E18" s="39">
        <v>-210352</v>
      </c>
      <c r="F18" s="39">
        <v>-220960</v>
      </c>
      <c r="G18" s="58">
        <f>G19-G17</f>
        <v>-232008.00000000003</v>
      </c>
      <c r="H18" s="58">
        <f>H19-H17</f>
        <v>-243608.40000000002</v>
      </c>
      <c r="I18" s="58">
        <f>I19-I17</f>
        <v>-255788.82000000004</v>
      </c>
      <c r="J18" s="58">
        <f>J19-J17</f>
        <v>-268578.26100000006</v>
      </c>
      <c r="K18" s="58">
        <f>K19-K17</f>
        <v>-282007.17405000003</v>
      </c>
      <c r="M18" t="s">
        <v>68</v>
      </c>
    </row>
    <row r="19" spans="3:14" ht="15" customHeight="1">
      <c r="C19" s="27" t="s">
        <v>15</v>
      </c>
      <c r="D19" s="41">
        <f>SUM(D17:D18)</f>
        <v>169148</v>
      </c>
      <c r="E19" s="41">
        <f>SUM(E17:E18)</f>
        <v>180683</v>
      </c>
      <c r="F19" s="41">
        <f>SUM(F17:F18)</f>
        <v>195201</v>
      </c>
      <c r="G19" s="28">
        <f>G17*G37</f>
        <v>204961.05000000002</v>
      </c>
      <c r="H19" s="28">
        <f>H17*H37</f>
        <v>215209.10250000004</v>
      </c>
      <c r="I19" s="28">
        <f>I17*I37</f>
        <v>225969.55762500004</v>
      </c>
      <c r="J19" s="28">
        <f>J17*J37</f>
        <v>237268.03550625005</v>
      </c>
      <c r="K19" s="28">
        <f>K17*K37</f>
        <v>249131.43728156257</v>
      </c>
      <c r="M19" t="s">
        <v>69</v>
      </c>
    </row>
    <row r="20" spans="3:14" ht="15" customHeight="1">
      <c r="C20" t="s">
        <v>16</v>
      </c>
      <c r="D20" s="39">
        <v>-29915</v>
      </c>
      <c r="E20" s="39">
        <v>-31370</v>
      </c>
      <c r="F20" s="39">
        <v>-34550</v>
      </c>
      <c r="G20" s="58">
        <f>-G38*G17</f>
        <v>-36277.500000000007</v>
      </c>
      <c r="H20" s="58">
        <f>-H38*H17</f>
        <v>-38091.375000000007</v>
      </c>
      <c r="I20" s="58">
        <f>-I38*I17</f>
        <v>-39995.943750000006</v>
      </c>
      <c r="J20" s="58">
        <f>-J38*J17</f>
        <v>-41995.740937500013</v>
      </c>
      <c r="K20" s="58">
        <f>-K38*K17</f>
        <v>-44095.52798437501</v>
      </c>
      <c r="M20" t="s">
        <v>70</v>
      </c>
    </row>
    <row r="21" spans="3:14" ht="15" customHeight="1">
      <c r="C21" t="s">
        <v>17</v>
      </c>
      <c r="D21" s="39">
        <v>-24932</v>
      </c>
      <c r="E21" s="39">
        <v>-26097</v>
      </c>
      <c r="F21" s="39">
        <v>-27601</v>
      </c>
      <c r="G21" s="58">
        <f>-G17*G39</f>
        <v>-28981.050000000007</v>
      </c>
      <c r="H21" s="58">
        <f>-H17*H39</f>
        <v>-30430.102500000008</v>
      </c>
      <c r="I21" s="58">
        <f>-I17*I39</f>
        <v>-31951.607625000008</v>
      </c>
      <c r="J21" s="58">
        <f>-J17*J39</f>
        <v>-33549.188006250006</v>
      </c>
      <c r="K21" s="58">
        <f>-K17*K39</f>
        <v>-35226.647406562508</v>
      </c>
      <c r="M21" t="s">
        <v>71</v>
      </c>
    </row>
    <row r="22" spans="3:14" ht="15" customHeight="1">
      <c r="C22" s="27" t="s">
        <v>18</v>
      </c>
      <c r="D22" s="41">
        <f t="shared" ref="D22:K22" si="0">D19+D20+D21</f>
        <v>114301</v>
      </c>
      <c r="E22" s="41">
        <f t="shared" si="0"/>
        <v>123216</v>
      </c>
      <c r="F22" s="41">
        <f t="shared" si="0"/>
        <v>133050</v>
      </c>
      <c r="G22" s="28">
        <f t="shared" si="0"/>
        <v>139702.5</v>
      </c>
      <c r="H22" s="28">
        <f t="shared" si="0"/>
        <v>146687.62500000003</v>
      </c>
      <c r="I22" s="28">
        <f t="shared" si="0"/>
        <v>154022.00625000003</v>
      </c>
      <c r="J22" s="28">
        <f t="shared" si="0"/>
        <v>161723.1065625</v>
      </c>
      <c r="K22" s="28">
        <f t="shared" si="0"/>
        <v>169809.26189062506</v>
      </c>
      <c r="M22" s="27" t="s">
        <v>72</v>
      </c>
    </row>
    <row r="23" spans="3:14" ht="15" customHeight="1">
      <c r="C23" t="s">
        <v>19</v>
      </c>
      <c r="D23" s="59">
        <v>0</v>
      </c>
      <c r="E23" s="59">
        <v>0</v>
      </c>
      <c r="F23" s="59">
        <v>0</v>
      </c>
      <c r="G23" s="60">
        <f ca="1">G156</f>
        <v>5112.0223383388884</v>
      </c>
      <c r="H23" s="60">
        <f ca="1">H156</f>
        <v>6126.2494304238862</v>
      </c>
      <c r="I23" s="60">
        <f ca="1">I156</f>
        <v>7340.2594761439104</v>
      </c>
      <c r="J23" s="60">
        <f ca="1">J156</f>
        <v>8845.3403781500492</v>
      </c>
      <c r="K23" s="60">
        <f ca="1">K156</f>
        <v>10663.487974063724</v>
      </c>
      <c r="M23" t="s">
        <v>73</v>
      </c>
    </row>
    <row r="24" spans="3:14" ht="15" customHeight="1">
      <c r="C24" t="s">
        <v>20</v>
      </c>
      <c r="D24" s="59">
        <v>0</v>
      </c>
      <c r="E24" s="59">
        <v>0</v>
      </c>
      <c r="F24" s="59">
        <v>0</v>
      </c>
      <c r="G24" s="60">
        <f ca="1">-G142</f>
        <v>-3002.8830500000004</v>
      </c>
      <c r="H24" s="60">
        <f ca="1">-H142</f>
        <v>-3087.1230000000005</v>
      </c>
      <c r="I24" s="60">
        <f ca="1">-I142</f>
        <v>-3087.1230000000005</v>
      </c>
      <c r="J24" s="60">
        <f ca="1">-J142</f>
        <v>-3087.1230000000005</v>
      </c>
      <c r="K24" s="60">
        <f ca="1">-K142</f>
        <v>-3087.1230000000005</v>
      </c>
      <c r="M24" t="s">
        <v>74</v>
      </c>
    </row>
    <row r="25" spans="3:14" ht="15" customHeight="1">
      <c r="C25" t="s">
        <v>21</v>
      </c>
      <c r="D25" s="39">
        <v>-565</v>
      </c>
      <c r="E25" s="39">
        <v>269</v>
      </c>
      <c r="F25" s="39">
        <v>-321</v>
      </c>
      <c r="G25" s="61">
        <f>F25</f>
        <v>-321</v>
      </c>
      <c r="H25" s="61">
        <f>G25</f>
        <v>-321</v>
      </c>
      <c r="I25" s="61">
        <f>H25</f>
        <v>-321</v>
      </c>
      <c r="J25" s="61">
        <f>I25</f>
        <v>-321</v>
      </c>
      <c r="K25" s="61">
        <f>J25</f>
        <v>-321</v>
      </c>
      <c r="M25" t="s">
        <v>75</v>
      </c>
    </row>
    <row r="26" spans="3:14" ht="15" customHeight="1">
      <c r="C26" s="27" t="s">
        <v>22</v>
      </c>
      <c r="D26" s="41">
        <f t="shared" ref="D26:K26" si="1">SUM(D22:D25)</f>
        <v>113736</v>
      </c>
      <c r="E26" s="41">
        <f t="shared" si="1"/>
        <v>123485</v>
      </c>
      <c r="F26" s="41">
        <f t="shared" si="1"/>
        <v>132729</v>
      </c>
      <c r="G26" s="28">
        <f t="shared" ca="1" si="1"/>
        <v>141490.63928833889</v>
      </c>
      <c r="H26" s="28">
        <f t="shared" ca="1" si="1"/>
        <v>149405.75143042393</v>
      </c>
      <c r="I26" s="28">
        <f t="shared" ca="1" si="1"/>
        <v>157954.14272614397</v>
      </c>
      <c r="J26" s="28">
        <f t="shared" ca="1" si="1"/>
        <v>167160.32394065007</v>
      </c>
      <c r="K26" s="28">
        <f t="shared" ca="1" si="1"/>
        <v>177064.62686468879</v>
      </c>
      <c r="M26" s="27" t="s">
        <v>76</v>
      </c>
      <c r="N26" s="27"/>
    </row>
    <row r="27" spans="3:14" ht="15" customHeight="1">
      <c r="C27" t="s">
        <v>23</v>
      </c>
      <c r="D27" s="39">
        <v>-16741</v>
      </c>
      <c r="E27" s="39">
        <v>-29749</v>
      </c>
      <c r="F27" s="39">
        <v>-20719</v>
      </c>
      <c r="G27" s="58">
        <f ca="1">-G40*G26</f>
        <v>-22086.692097545325</v>
      </c>
      <c r="H27" s="58">
        <f ca="1">-H40*H26</f>
        <v>-23322.241287789053</v>
      </c>
      <c r="I27" s="58">
        <f ca="1">-I40*I26</f>
        <v>-24656.645368705984</v>
      </c>
      <c r="J27" s="58">
        <f ca="1">-J40*J26</f>
        <v>-26093.730471308671</v>
      </c>
      <c r="K27" s="58">
        <f ca="1">-K40*K26</f>
        <v>-27639.792389074632</v>
      </c>
      <c r="M27" t="s">
        <v>77</v>
      </c>
    </row>
    <row r="28" spans="3:14" ht="15" customHeight="1">
      <c r="C28" s="27" t="s">
        <v>24</v>
      </c>
      <c r="D28" s="41">
        <f t="shared" ref="D28:K28" si="2">SUM(D26:D27)</f>
        <v>96995</v>
      </c>
      <c r="E28" s="41">
        <f t="shared" si="2"/>
        <v>93736</v>
      </c>
      <c r="F28" s="41">
        <f t="shared" si="2"/>
        <v>112010</v>
      </c>
      <c r="G28" s="28">
        <f t="shared" ca="1" si="2"/>
        <v>119403.94719079357</v>
      </c>
      <c r="H28" s="28">
        <f t="shared" ca="1" si="2"/>
        <v>126083.51014263488</v>
      </c>
      <c r="I28" s="28">
        <f t="shared" ca="1" si="2"/>
        <v>133297.49735743797</v>
      </c>
      <c r="J28" s="28">
        <f t="shared" ca="1" si="2"/>
        <v>141066.5934693414</v>
      </c>
      <c r="K28" s="28">
        <f t="shared" ca="1" si="2"/>
        <v>149424.83447561416</v>
      </c>
      <c r="M28" s="27" t="s">
        <v>78</v>
      </c>
    </row>
    <row r="29" spans="3:14" ht="15" customHeight="1">
      <c r="C29" s="29"/>
      <c r="D29" s="42"/>
      <c r="E29" s="42"/>
      <c r="F29" s="42"/>
      <c r="G29" s="42"/>
      <c r="H29" s="42"/>
      <c r="I29" s="42"/>
      <c r="J29" s="42"/>
      <c r="K29" s="42"/>
    </row>
    <row r="30" spans="3:14" ht="15" customHeight="1">
      <c r="C30" s="30" t="s">
        <v>25</v>
      </c>
      <c r="D30" s="39">
        <v>11519</v>
      </c>
      <c r="E30" s="39">
        <v>11445</v>
      </c>
      <c r="F30" s="39">
        <v>11698</v>
      </c>
      <c r="G30" s="61">
        <f>G106</f>
        <v>12549.914999999999</v>
      </c>
      <c r="H30" s="61">
        <f>H106</f>
        <v>13457.7765</v>
      </c>
      <c r="I30" s="61">
        <f>I106</f>
        <v>14425.049362500002</v>
      </c>
      <c r="J30" s="61">
        <f>J106</f>
        <v>15455.405070000003</v>
      </c>
      <c r="K30" s="61">
        <f>K106</f>
        <v>16552.733724843754</v>
      </c>
      <c r="M30" t="s">
        <v>79</v>
      </c>
    </row>
    <row r="31" spans="3:14" ht="15" customHeight="1">
      <c r="C31" s="31" t="s">
        <v>26</v>
      </c>
      <c r="D31" s="41">
        <f t="shared" ref="D31:K31" si="3">D22+D30</f>
        <v>125820</v>
      </c>
      <c r="E31" s="41">
        <f t="shared" si="3"/>
        <v>134661</v>
      </c>
      <c r="F31" s="41">
        <f t="shared" si="3"/>
        <v>144748</v>
      </c>
      <c r="G31" s="28">
        <f t="shared" si="3"/>
        <v>152252.41500000001</v>
      </c>
      <c r="H31" s="28">
        <f t="shared" si="3"/>
        <v>160145.40150000004</v>
      </c>
      <c r="I31" s="28">
        <f t="shared" si="3"/>
        <v>168447.05561250003</v>
      </c>
      <c r="J31" s="28">
        <f t="shared" si="3"/>
        <v>177178.51163250001</v>
      </c>
      <c r="K31" s="28">
        <f t="shared" si="3"/>
        <v>186361.99561546883</v>
      </c>
      <c r="M31" s="27" t="s">
        <v>80</v>
      </c>
    </row>
    <row r="32" spans="3:14" ht="15" customHeight="1">
      <c r="C32" s="30" t="s">
        <v>27</v>
      </c>
      <c r="D32" s="39">
        <v>10833</v>
      </c>
      <c r="E32" s="39">
        <v>11688</v>
      </c>
      <c r="F32" s="39">
        <v>12863</v>
      </c>
      <c r="G32" s="61">
        <f>F32*(1+G36)</f>
        <v>13506.150000000001</v>
      </c>
      <c r="H32" s="61">
        <f>G32*(1+H36)</f>
        <v>14181.457500000002</v>
      </c>
      <c r="I32" s="61">
        <f>H32*(1+I36)</f>
        <v>14890.530375000002</v>
      </c>
      <c r="J32" s="61">
        <f>I32*(1+J36)</f>
        <v>15635.056893750003</v>
      </c>
      <c r="K32" s="61">
        <f>J32*(1+K36)</f>
        <v>16416.809738437503</v>
      </c>
      <c r="M32" t="s">
        <v>81</v>
      </c>
    </row>
    <row r="33" spans="3:20" ht="15" customHeight="1">
      <c r="C33" s="31" t="s">
        <v>28</v>
      </c>
      <c r="D33" s="41">
        <f t="shared" ref="D33:K33" si="4">SUM(D31:D32)</f>
        <v>136653</v>
      </c>
      <c r="E33" s="41">
        <f t="shared" si="4"/>
        <v>146349</v>
      </c>
      <c r="F33" s="41">
        <f t="shared" si="4"/>
        <v>157611</v>
      </c>
      <c r="G33" s="28">
        <f t="shared" si="4"/>
        <v>165758.565</v>
      </c>
      <c r="H33" s="28">
        <f t="shared" si="4"/>
        <v>174326.85900000003</v>
      </c>
      <c r="I33" s="28">
        <f t="shared" si="4"/>
        <v>183337.58598750003</v>
      </c>
      <c r="J33" s="28">
        <f t="shared" si="4"/>
        <v>192813.56852625002</v>
      </c>
      <c r="K33" s="28">
        <f t="shared" si="4"/>
        <v>202778.80535390633</v>
      </c>
      <c r="M33" s="27" t="s">
        <v>82</v>
      </c>
    </row>
    <row r="34" spans="3:20" ht="15" customHeight="1">
      <c r="C34" s="29"/>
      <c r="G34" s="62"/>
    </row>
    <row r="35" spans="3:20" ht="15" customHeight="1">
      <c r="C35" s="32" t="s">
        <v>83</v>
      </c>
    </row>
    <row r="36" spans="3:20" ht="15" customHeight="1">
      <c r="C36" s="29" t="s">
        <v>30</v>
      </c>
      <c r="D36" s="63"/>
      <c r="E36" s="63">
        <f>E17/D17-1</f>
        <v>2.021994077514111E-2</v>
      </c>
      <c r="F36" s="63">
        <f>F17/E17-1</f>
        <v>6.425511782832749E-2</v>
      </c>
      <c r="G36" s="64">
        <v>0.05</v>
      </c>
      <c r="H36" s="64">
        <v>0.05</v>
      </c>
      <c r="I36" s="64">
        <v>0.05</v>
      </c>
      <c r="J36" s="63">
        <f t="shared" ref="J36:K40" si="5">I36</f>
        <v>0.05</v>
      </c>
      <c r="K36" s="63">
        <f t="shared" si="5"/>
        <v>0.05</v>
      </c>
      <c r="M36" t="s">
        <v>84</v>
      </c>
      <c r="O36" s="35"/>
      <c r="P36" s="35"/>
      <c r="Q36" s="35"/>
      <c r="R36" s="35"/>
      <c r="S36" s="35"/>
      <c r="T36" s="35"/>
    </row>
    <row r="37" spans="3:20" ht="15" customHeight="1">
      <c r="C37" s="29" t="s">
        <v>31</v>
      </c>
      <c r="D37" s="63">
        <f>D19/D17</f>
        <v>0.44131129577207562</v>
      </c>
      <c r="E37" s="63">
        <f>E19/E17</f>
        <v>0.46206349815233932</v>
      </c>
      <c r="F37" s="63">
        <f>F19/F17</f>
        <v>0.46905164107160452</v>
      </c>
      <c r="G37" s="64">
        <f t="shared" ref="G37:I40" si="6">F37</f>
        <v>0.46905164107160452</v>
      </c>
      <c r="H37" s="64">
        <f t="shared" si="6"/>
        <v>0.46905164107160452</v>
      </c>
      <c r="I37" s="64">
        <f t="shared" si="6"/>
        <v>0.46905164107160452</v>
      </c>
      <c r="J37" s="63">
        <f t="shared" si="5"/>
        <v>0.46905164107160452</v>
      </c>
      <c r="K37" s="63">
        <f t="shared" si="5"/>
        <v>0.46905164107160452</v>
      </c>
      <c r="M37" t="s">
        <v>85</v>
      </c>
      <c r="O37" s="35"/>
      <c r="P37" s="35"/>
      <c r="Q37" s="35"/>
      <c r="R37" s="35"/>
      <c r="S37" s="35"/>
      <c r="T37" s="35"/>
    </row>
    <row r="38" spans="3:20" ht="15" customHeight="1">
      <c r="C38" s="29" t="s">
        <v>32</v>
      </c>
      <c r="D38" s="63">
        <f>-D20/D17</f>
        <v>7.8048971392045086E-2</v>
      </c>
      <c r="E38" s="63">
        <f>-E20/E17</f>
        <v>8.0222997941360744E-2</v>
      </c>
      <c r="F38" s="63">
        <f>-F20/F17</f>
        <v>8.3020753987038676E-2</v>
      </c>
      <c r="G38" s="64">
        <f t="shared" si="6"/>
        <v>8.3020753987038676E-2</v>
      </c>
      <c r="H38" s="64">
        <f t="shared" si="6"/>
        <v>8.3020753987038676E-2</v>
      </c>
      <c r="I38" s="64">
        <f t="shared" si="6"/>
        <v>8.3020753987038676E-2</v>
      </c>
      <c r="J38" s="63">
        <f t="shared" si="5"/>
        <v>8.3020753987038676E-2</v>
      </c>
      <c r="K38" s="63">
        <f t="shared" si="5"/>
        <v>8.3020753987038676E-2</v>
      </c>
      <c r="M38" t="s">
        <v>86</v>
      </c>
      <c r="O38" s="35"/>
      <c r="P38" s="35"/>
      <c r="Q38" s="35"/>
      <c r="R38" s="35"/>
      <c r="S38" s="35"/>
      <c r="T38" s="35"/>
    </row>
    <row r="39" spans="3:20" ht="15" customHeight="1">
      <c r="C39" s="29" t="s">
        <v>33</v>
      </c>
      <c r="D39" s="63">
        <f>-D21/D17</f>
        <v>6.5048201729783317E-2</v>
      </c>
      <c r="E39" s="63">
        <f>-E21/E17</f>
        <v>6.6738271510222866E-2</v>
      </c>
      <c r="F39" s="63">
        <f>-F21/F17</f>
        <v>6.6322889458647019E-2</v>
      </c>
      <c r="G39" s="64">
        <f t="shared" si="6"/>
        <v>6.6322889458647019E-2</v>
      </c>
      <c r="H39" s="64">
        <f t="shared" si="6"/>
        <v>6.6322889458647019E-2</v>
      </c>
      <c r="I39" s="64">
        <f t="shared" si="6"/>
        <v>6.6322889458647019E-2</v>
      </c>
      <c r="J39" s="63">
        <f t="shared" si="5"/>
        <v>6.6322889458647019E-2</v>
      </c>
      <c r="K39" s="63">
        <f t="shared" si="5"/>
        <v>6.6322889458647019E-2</v>
      </c>
      <c r="M39" t="s">
        <v>86</v>
      </c>
      <c r="O39" s="35"/>
      <c r="P39" s="35"/>
      <c r="Q39" s="35"/>
      <c r="R39" s="35"/>
      <c r="S39" s="35"/>
      <c r="T39" s="35"/>
    </row>
    <row r="40" spans="3:20" ht="15" customHeight="1">
      <c r="C40" s="29" t="s">
        <v>34</v>
      </c>
      <c r="D40" s="63">
        <f>-(D27/D26)</f>
        <v>0.14719174228036858</v>
      </c>
      <c r="E40" s="63">
        <f>-(E27/E26)</f>
        <v>0.24091185164189982</v>
      </c>
      <c r="F40" s="63">
        <f>-(F27/F26)</f>
        <v>0.15610002335586043</v>
      </c>
      <c r="G40" s="64">
        <f t="shared" si="6"/>
        <v>0.15610002335586043</v>
      </c>
      <c r="H40" s="64">
        <f t="shared" si="6"/>
        <v>0.15610002335586043</v>
      </c>
      <c r="I40" s="64">
        <f t="shared" si="6"/>
        <v>0.15610002335586043</v>
      </c>
      <c r="J40" s="63">
        <f t="shared" si="5"/>
        <v>0.15610002335586043</v>
      </c>
      <c r="K40" s="63">
        <f t="shared" si="5"/>
        <v>0.15610002335586043</v>
      </c>
      <c r="M40" t="s">
        <v>86</v>
      </c>
      <c r="O40" s="35"/>
      <c r="P40" s="35"/>
      <c r="Q40" s="35"/>
      <c r="R40" s="35"/>
      <c r="S40" s="35"/>
      <c r="T40" s="35"/>
    </row>
    <row r="41" spans="3:20" ht="15" customHeight="1">
      <c r="C41" s="29"/>
      <c r="G41" s="62"/>
    </row>
    <row r="42" spans="3:20" ht="15" customHeight="1">
      <c r="C42" s="16" t="s">
        <v>35</v>
      </c>
      <c r="D42" s="20"/>
      <c r="E42" s="20"/>
      <c r="F42" s="20"/>
      <c r="G42" s="17"/>
      <c r="H42" s="17"/>
      <c r="I42" s="17"/>
      <c r="J42" s="17"/>
      <c r="K42" s="17"/>
    </row>
    <row r="43" spans="3:20" ht="15" customHeight="1">
      <c r="C43" s="36" t="str">
        <f>C14</f>
        <v xml:space="preserve">Fiscal year  </v>
      </c>
      <c r="D43" s="37"/>
      <c r="E43" s="37">
        <f t="shared" ref="E43:K44" si="7">E14</f>
        <v>2024</v>
      </c>
      <c r="F43" s="37">
        <f t="shared" si="7"/>
        <v>2025</v>
      </c>
      <c r="G43" s="65">
        <f t="shared" si="7"/>
        <v>2026</v>
      </c>
      <c r="H43" s="65">
        <f t="shared" si="7"/>
        <v>2027</v>
      </c>
      <c r="I43" s="65">
        <f t="shared" si="7"/>
        <v>2028</v>
      </c>
      <c r="J43" s="65">
        <f t="shared" si="7"/>
        <v>2029</v>
      </c>
      <c r="K43" s="65">
        <f t="shared" si="7"/>
        <v>2030</v>
      </c>
    </row>
    <row r="44" spans="3:20" ht="15" customHeight="1">
      <c r="C44" s="17" t="str">
        <f>C15</f>
        <v>Fiscal year end date</v>
      </c>
      <c r="D44" s="38"/>
      <c r="E44" s="38">
        <f t="shared" si="7"/>
        <v>45565</v>
      </c>
      <c r="F44" s="38">
        <f t="shared" si="7"/>
        <v>45927</v>
      </c>
      <c r="G44" s="38">
        <f t="shared" si="7"/>
        <v>46295</v>
      </c>
      <c r="H44" s="38">
        <f t="shared" si="7"/>
        <v>46660</v>
      </c>
      <c r="I44" s="38">
        <f t="shared" si="7"/>
        <v>47026</v>
      </c>
      <c r="J44" s="38">
        <f t="shared" si="7"/>
        <v>47391</v>
      </c>
      <c r="K44" s="38">
        <f t="shared" si="7"/>
        <v>47756</v>
      </c>
    </row>
    <row r="45" spans="3:20" ht="15" customHeight="1">
      <c r="C45" t="s">
        <v>38</v>
      </c>
      <c r="D45" s="39"/>
      <c r="E45" s="39">
        <f>29943+35228+91479</f>
        <v>156650</v>
      </c>
      <c r="F45" s="39">
        <f>35934+18763+77723</f>
        <v>132420</v>
      </c>
      <c r="G45" s="61">
        <f ca="1">G90+F45</f>
        <v>159695.5621907936</v>
      </c>
      <c r="H45" s="61">
        <f ca="1">H90+G45</f>
        <v>190375.83383342845</v>
      </c>
      <c r="I45" s="61">
        <f ca="1">I90+H45</f>
        <v>229067.56480336637</v>
      </c>
      <c r="J45" s="61">
        <f ca="1">J90+I45</f>
        <v>276380.45680520777</v>
      </c>
      <c r="K45" s="61">
        <f ca="1">K90+J45</f>
        <v>332961.71314129065</v>
      </c>
      <c r="M45" t="s">
        <v>87</v>
      </c>
    </row>
    <row r="46" spans="3:20" ht="15" customHeight="1">
      <c r="C46" t="s">
        <v>39</v>
      </c>
      <c r="D46" s="39"/>
      <c r="E46" s="39">
        <v>33410</v>
      </c>
      <c r="F46" s="39">
        <v>39777</v>
      </c>
      <c r="G46" s="61">
        <f>F46*(1+G36)</f>
        <v>41765.85</v>
      </c>
      <c r="H46" s="61">
        <f>G46*(1+H36)</f>
        <v>43854.142500000002</v>
      </c>
      <c r="I46" s="61">
        <f>H46*(1+I36)</f>
        <v>46046.849625000003</v>
      </c>
      <c r="J46" s="61">
        <f>I46*(1+J36)</f>
        <v>48349.192106250004</v>
      </c>
      <c r="K46" s="61">
        <f>J46*(1+K36)</f>
        <v>50766.651711562503</v>
      </c>
      <c r="M46" t="s">
        <v>88</v>
      </c>
    </row>
    <row r="47" spans="3:20" ht="15" customHeight="1">
      <c r="C47" t="s">
        <v>40</v>
      </c>
      <c r="D47" s="39"/>
      <c r="E47" s="39">
        <v>7286</v>
      </c>
      <c r="F47" s="39">
        <v>5718</v>
      </c>
      <c r="G47" s="61">
        <f>F47*G18/F18</f>
        <v>6003.9000000000015</v>
      </c>
      <c r="H47" s="61">
        <f>G47*H18/G18</f>
        <v>6304.0950000000012</v>
      </c>
      <c r="I47" s="61">
        <f>H47*I18/H18</f>
        <v>6619.299750000001</v>
      </c>
      <c r="J47" s="61">
        <f>I47*J18/I18</f>
        <v>6950.2647375000015</v>
      </c>
      <c r="K47" s="61">
        <f>J47*K18/J18</f>
        <v>7297.7779743750007</v>
      </c>
      <c r="M47" t="s">
        <v>89</v>
      </c>
    </row>
    <row r="48" spans="3:20" ht="15" customHeight="1">
      <c r="C48" t="s">
        <v>41</v>
      </c>
      <c r="D48" s="39"/>
      <c r="E48" s="39">
        <f>14287+32833</f>
        <v>47120</v>
      </c>
      <c r="F48" s="39">
        <f>14585+33180</f>
        <v>47765</v>
      </c>
      <c r="G48" s="61">
        <f>F48*(1+G36)</f>
        <v>50153.25</v>
      </c>
      <c r="H48" s="61">
        <f>G48*(1+H36)</f>
        <v>52660.912500000006</v>
      </c>
      <c r="I48" s="61">
        <f>H48*(1+I36)</f>
        <v>55293.958125000012</v>
      </c>
      <c r="J48" s="61">
        <f>I48*(1+J36)</f>
        <v>58058.656031250015</v>
      </c>
      <c r="K48" s="61">
        <f>J48*(1+K36)</f>
        <v>60961.588832812522</v>
      </c>
      <c r="M48" t="s">
        <v>88</v>
      </c>
    </row>
    <row r="49" spans="3:13" ht="15" customHeight="1">
      <c r="C49" t="s">
        <v>42</v>
      </c>
      <c r="D49" s="39"/>
      <c r="E49" s="39">
        <v>45680</v>
      </c>
      <c r="F49" s="39">
        <v>49834</v>
      </c>
      <c r="G49" s="61">
        <f>G99</f>
        <v>54517.735000000001</v>
      </c>
      <c r="H49" s="61">
        <f>H99</f>
        <v>59155.291000000005</v>
      </c>
      <c r="I49" s="61">
        <f>I99</f>
        <v>63730.340762500011</v>
      </c>
      <c r="J49" s="61">
        <f>J99</f>
        <v>68225.039773750017</v>
      </c>
      <c r="K49" s="61">
        <f>K99</f>
        <v>72619.915334218764</v>
      </c>
      <c r="M49" t="s">
        <v>90</v>
      </c>
    </row>
    <row r="50" spans="3:13" ht="15" customHeight="1">
      <c r="C50" t="s">
        <v>43</v>
      </c>
      <c r="D50" s="39"/>
      <c r="E50" s="39">
        <v>74834</v>
      </c>
      <c r="F50" s="39">
        <v>83727</v>
      </c>
      <c r="G50" s="61">
        <f>F50*(1+G36)</f>
        <v>87913.35</v>
      </c>
      <c r="H50" s="61">
        <f>G50*(1+H36)</f>
        <v>92309.017500000016</v>
      </c>
      <c r="I50" s="61">
        <f>H50*(1+I36)</f>
        <v>96924.468375000026</v>
      </c>
      <c r="J50" s="61">
        <f>I50*(1+J36)</f>
        <v>101770.69179375003</v>
      </c>
      <c r="K50" s="61">
        <f>J50*(1+K36)</f>
        <v>106859.22638343753</v>
      </c>
      <c r="M50" t="s">
        <v>88</v>
      </c>
    </row>
    <row r="51" spans="3:13" ht="15" customHeight="1">
      <c r="C51" s="31" t="s">
        <v>44</v>
      </c>
      <c r="D51" s="41"/>
      <c r="E51" s="41">
        <f t="shared" ref="E51:K51" si="8">SUM(E45:E50)</f>
        <v>364980</v>
      </c>
      <c r="F51" s="41">
        <f t="shared" si="8"/>
        <v>359241</v>
      </c>
      <c r="G51" s="66">
        <f t="shared" ca="1" si="8"/>
        <v>400049.64719079365</v>
      </c>
      <c r="H51" s="66">
        <f t="shared" ca="1" si="8"/>
        <v>444659.29233342852</v>
      </c>
      <c r="I51" s="66">
        <f t="shared" ca="1" si="8"/>
        <v>497682.48144086637</v>
      </c>
      <c r="J51" s="66">
        <f t="shared" ca="1" si="8"/>
        <v>559734.3012477078</v>
      </c>
      <c r="K51" s="66">
        <f t="shared" ca="1" si="8"/>
        <v>631466.87337769696</v>
      </c>
    </row>
    <row r="52" spans="3:13" ht="15" customHeight="1">
      <c r="C52" s="30"/>
      <c r="D52" s="42"/>
      <c r="E52" s="42"/>
      <c r="F52" s="42"/>
      <c r="G52" s="42"/>
      <c r="H52" s="42"/>
      <c r="I52" s="42"/>
      <c r="J52" s="42"/>
      <c r="K52" s="42"/>
    </row>
    <row r="53" spans="3:13" ht="15" customHeight="1">
      <c r="C53" s="30" t="s">
        <v>45</v>
      </c>
      <c r="D53" s="39"/>
      <c r="E53" s="39">
        <v>68960</v>
      </c>
      <c r="F53" s="39">
        <v>69860</v>
      </c>
      <c r="G53" s="61">
        <f>F53*G18/F18</f>
        <v>73353.000000000015</v>
      </c>
      <c r="H53" s="61">
        <f>G53*H18/G18</f>
        <v>77020.650000000009</v>
      </c>
      <c r="I53" s="61">
        <f>H53*I18/H18</f>
        <v>80871.68250000001</v>
      </c>
      <c r="J53" s="61">
        <f>I53*J18/I18</f>
        <v>84915.266625000018</v>
      </c>
      <c r="K53" s="61">
        <f>J53*K18/J18</f>
        <v>89161.02995625</v>
      </c>
      <c r="M53" t="s">
        <v>89</v>
      </c>
    </row>
    <row r="54" spans="3:13" ht="15" customHeight="1">
      <c r="C54" s="30" t="s">
        <v>46</v>
      </c>
      <c r="D54" s="39"/>
      <c r="E54" s="39">
        <v>78304</v>
      </c>
      <c r="F54" s="39">
        <v>66387</v>
      </c>
      <c r="G54" s="61">
        <f>F54*(1+G36)</f>
        <v>69706.350000000006</v>
      </c>
      <c r="H54" s="61">
        <f>G54*(1+H36)</f>
        <v>73191.66750000001</v>
      </c>
      <c r="I54" s="61">
        <f>H54*(1+I36)</f>
        <v>76851.250875000012</v>
      </c>
      <c r="J54" s="61">
        <f>I54*(1+J36)</f>
        <v>80693.813418750011</v>
      </c>
      <c r="K54" s="61">
        <f>J54*(1+K36)</f>
        <v>84728.504089687514</v>
      </c>
      <c r="M54" t="s">
        <v>88</v>
      </c>
    </row>
    <row r="55" spans="3:13" ht="15" customHeight="1">
      <c r="C55" s="30" t="s">
        <v>47</v>
      </c>
      <c r="D55" s="39"/>
      <c r="E55" s="39">
        <v>8249</v>
      </c>
      <c r="F55" s="39">
        <v>9055</v>
      </c>
      <c r="G55" s="61">
        <f>F55*(1+G36)</f>
        <v>9507.75</v>
      </c>
      <c r="H55" s="61">
        <f>G55*(1+H36)</f>
        <v>9983.1375000000007</v>
      </c>
      <c r="I55" s="61">
        <f>H55*(1+I36)</f>
        <v>10482.294375000001</v>
      </c>
      <c r="J55" s="61">
        <f>I55*(1+J36)</f>
        <v>11006.409093750002</v>
      </c>
      <c r="K55" s="61">
        <f>J55*(1+K36)</f>
        <v>11556.729548437503</v>
      </c>
      <c r="M55" t="s">
        <v>88</v>
      </c>
    </row>
    <row r="56" spans="3:13" ht="15" customHeight="1">
      <c r="C56" s="30" t="s">
        <v>48</v>
      </c>
      <c r="D56" s="39"/>
      <c r="E56" s="39">
        <v>9967</v>
      </c>
      <c r="F56" s="39">
        <v>7979</v>
      </c>
      <c r="G56" s="60">
        <f ca="1">G135</f>
        <v>12000</v>
      </c>
      <c r="H56" s="60">
        <f ca="1">H135</f>
        <v>12000</v>
      </c>
      <c r="I56" s="60">
        <f ca="1">I135</f>
        <v>12000</v>
      </c>
      <c r="J56" s="60">
        <f ca="1">J135</f>
        <v>12000</v>
      </c>
      <c r="K56" s="60">
        <f ca="1">K135</f>
        <v>12000</v>
      </c>
      <c r="M56" t="s">
        <v>91</v>
      </c>
    </row>
    <row r="57" spans="3:13" ht="15" customHeight="1">
      <c r="C57" s="30" t="s">
        <v>92</v>
      </c>
      <c r="D57" s="39"/>
      <c r="E57" s="39">
        <f>10912+85750</f>
        <v>96662</v>
      </c>
      <c r="F57" s="39">
        <f>12350+78328</f>
        <v>90678</v>
      </c>
      <c r="G57" s="61">
        <f>F57</f>
        <v>90678</v>
      </c>
      <c r="H57" s="61">
        <f>G57</f>
        <v>90678</v>
      </c>
      <c r="I57" s="61">
        <f>H57</f>
        <v>90678</v>
      </c>
      <c r="J57" s="61">
        <f>I57</f>
        <v>90678</v>
      </c>
      <c r="K57" s="61">
        <f>J57</f>
        <v>90678</v>
      </c>
      <c r="M57" t="s">
        <v>93</v>
      </c>
    </row>
    <row r="58" spans="3:13" ht="15.75" customHeight="1">
      <c r="C58" s="30" t="s">
        <v>50</v>
      </c>
      <c r="D58" s="39"/>
      <c r="E58" s="39">
        <v>45888</v>
      </c>
      <c r="F58" s="39">
        <v>41549</v>
      </c>
      <c r="G58" s="61">
        <f>F58*(1+G36)</f>
        <v>43626.450000000004</v>
      </c>
      <c r="H58" s="61">
        <f>G58*(1+H36)</f>
        <v>45807.772500000006</v>
      </c>
      <c r="I58" s="61">
        <f>H58*(1+I36)</f>
        <v>48098.161125000006</v>
      </c>
      <c r="J58" s="61">
        <f>I58*(1+J36)</f>
        <v>50503.069181250008</v>
      </c>
      <c r="K58" s="61">
        <f>J58*(1+K36)</f>
        <v>53028.22264031251</v>
      </c>
      <c r="M58" t="s">
        <v>88</v>
      </c>
    </row>
    <row r="59" spans="3:13" ht="15" customHeight="1">
      <c r="C59" s="31" t="s">
        <v>51</v>
      </c>
      <c r="D59" s="41"/>
      <c r="E59" s="41">
        <f t="shared" ref="E59:K59" si="9">SUM(E53:E58)</f>
        <v>308030</v>
      </c>
      <c r="F59" s="41">
        <f t="shared" si="9"/>
        <v>285508</v>
      </c>
      <c r="G59" s="66">
        <f t="shared" ca="1" si="9"/>
        <v>298871.55000000005</v>
      </c>
      <c r="H59" s="66">
        <f t="shared" ca="1" si="9"/>
        <v>308681.22750000004</v>
      </c>
      <c r="I59" s="66">
        <f t="shared" ca="1" si="9"/>
        <v>318981.388875</v>
      </c>
      <c r="J59" s="66">
        <f t="shared" ca="1" si="9"/>
        <v>329796.55831875006</v>
      </c>
      <c r="K59" s="66">
        <f t="shared" ca="1" si="9"/>
        <v>341152.4862346875</v>
      </c>
    </row>
    <row r="60" spans="3:13" ht="15" customHeight="1">
      <c r="C60" s="31"/>
      <c r="D60" s="41"/>
      <c r="E60" s="41"/>
      <c r="F60" s="41"/>
      <c r="G60" s="42"/>
      <c r="H60" s="42"/>
      <c r="I60" s="42"/>
      <c r="J60" s="42"/>
      <c r="K60" s="42"/>
    </row>
    <row r="61" spans="3:13" ht="15" customHeight="1">
      <c r="C61" s="30" t="s">
        <v>52</v>
      </c>
      <c r="D61" s="39"/>
      <c r="E61" s="39">
        <v>83276</v>
      </c>
      <c r="F61" s="39">
        <v>93568</v>
      </c>
      <c r="G61" s="61">
        <f>F61+G32</f>
        <v>107074.15</v>
      </c>
      <c r="H61" s="61">
        <f>G61+H32</f>
        <v>121255.6075</v>
      </c>
      <c r="I61" s="61">
        <f>H61+I32</f>
        <v>136146.13787500001</v>
      </c>
      <c r="J61" s="61">
        <f>I61+J32</f>
        <v>151781.19476875002</v>
      </c>
      <c r="K61" s="61">
        <f>J61+K32</f>
        <v>168198.00450718752</v>
      </c>
      <c r="M61" t="s">
        <v>94</v>
      </c>
    </row>
    <row r="62" spans="3:13" ht="15.75" customHeight="1">
      <c r="C62" s="30" t="s">
        <v>53</v>
      </c>
      <c r="D62" s="44"/>
      <c r="E62" s="39">
        <v>-19154</v>
      </c>
      <c r="F62" s="39">
        <v>-14264</v>
      </c>
      <c r="G62" s="61">
        <f ca="1">G119</f>
        <v>-325.05280920643418</v>
      </c>
      <c r="H62" s="61">
        <f ca="1">H119</f>
        <v>20293.457333428451</v>
      </c>
      <c r="I62" s="61">
        <f ca="1">I119</f>
        <v>48125.954690866405</v>
      </c>
      <c r="J62" s="61">
        <f ca="1">J119</f>
        <v>83727.548160207807</v>
      </c>
      <c r="K62" s="61">
        <f ca="1">K119</f>
        <v>127687.38263582197</v>
      </c>
      <c r="M62" t="s">
        <v>95</v>
      </c>
    </row>
    <row r="63" spans="3:13" ht="15.75" customHeight="1">
      <c r="C63" s="30" t="s">
        <v>54</v>
      </c>
      <c r="D63" s="39"/>
      <c r="E63" s="39">
        <v>-7172</v>
      </c>
      <c r="F63" s="39">
        <v>-5571</v>
      </c>
      <c r="G63" s="61">
        <f>F63</f>
        <v>-5571</v>
      </c>
      <c r="H63" s="61">
        <f>G63</f>
        <v>-5571</v>
      </c>
      <c r="I63" s="61">
        <f>H63</f>
        <v>-5571</v>
      </c>
      <c r="J63" s="61">
        <f>I63</f>
        <v>-5571</v>
      </c>
      <c r="K63" s="61">
        <f>J63</f>
        <v>-5571</v>
      </c>
      <c r="M63" t="s">
        <v>93</v>
      </c>
    </row>
    <row r="64" spans="3:13" ht="15" customHeight="1">
      <c r="C64" s="31" t="s">
        <v>55</v>
      </c>
      <c r="D64" s="45"/>
      <c r="E64" s="45">
        <f t="shared" ref="E64:K64" si="10">SUM(E61:E63)</f>
        <v>56950</v>
      </c>
      <c r="F64" s="45">
        <f t="shared" si="10"/>
        <v>73733</v>
      </c>
      <c r="G64" s="66">
        <f t="shared" ca="1" si="10"/>
        <v>101178.09719079356</v>
      </c>
      <c r="H64" s="66">
        <f t="shared" ca="1" si="10"/>
        <v>135978.06483342845</v>
      </c>
      <c r="I64" s="66">
        <f t="shared" ca="1" si="10"/>
        <v>178701.09256586642</v>
      </c>
      <c r="J64" s="66">
        <f t="shared" ca="1" si="10"/>
        <v>229937.74292895783</v>
      </c>
      <c r="K64" s="66">
        <f t="shared" ca="1" si="10"/>
        <v>290314.38714300946</v>
      </c>
    </row>
    <row r="65" spans="3:13" ht="15" customHeight="1">
      <c r="D65" s="42"/>
      <c r="E65" s="42"/>
      <c r="F65" s="42"/>
    </row>
    <row r="66" spans="3:13" ht="15" customHeight="1">
      <c r="C66" s="23" t="s">
        <v>56</v>
      </c>
      <c r="D66" s="46"/>
      <c r="E66" s="46">
        <f t="shared" ref="E66:K66" si="11">ROUND(E51-E59-E64,3)</f>
        <v>0</v>
      </c>
      <c r="F66" s="46">
        <f t="shared" si="11"/>
        <v>0</v>
      </c>
      <c r="G66" s="46">
        <f t="shared" ca="1" si="11"/>
        <v>0</v>
      </c>
      <c r="H66" s="46">
        <f t="shared" ca="1" si="11"/>
        <v>0</v>
      </c>
      <c r="I66" s="46">
        <f t="shared" ca="1" si="11"/>
        <v>0</v>
      </c>
      <c r="J66" s="46">
        <f t="shared" ca="1" si="11"/>
        <v>0</v>
      </c>
      <c r="K66" s="46">
        <f t="shared" ca="1" si="11"/>
        <v>0</v>
      </c>
    </row>
    <row r="67" spans="3:13" ht="15" customHeight="1">
      <c r="E67" s="42"/>
      <c r="F67" s="42"/>
      <c r="H67" s="42"/>
      <c r="I67" s="42"/>
      <c r="J67" s="42"/>
      <c r="K67" s="42"/>
    </row>
    <row r="68" spans="3:13" ht="15" customHeight="1">
      <c r="C68" s="16" t="s">
        <v>96</v>
      </c>
      <c r="D68" s="20"/>
      <c r="E68" s="20"/>
      <c r="F68" s="20"/>
      <c r="G68" s="20"/>
      <c r="H68" s="20"/>
      <c r="I68" s="20"/>
      <c r="J68" s="20"/>
      <c r="K68" s="20"/>
    </row>
    <row r="69" spans="3:13" ht="15" customHeight="1">
      <c r="C69" s="36" t="str">
        <f>C14</f>
        <v xml:space="preserve">Fiscal year  </v>
      </c>
      <c r="D69" s="37"/>
      <c r="E69" s="37"/>
      <c r="F69" s="37"/>
      <c r="G69" s="65">
        <f t="shared" ref="G69:K70" si="12">G14</f>
        <v>2026</v>
      </c>
      <c r="H69" s="65">
        <f t="shared" si="12"/>
        <v>2027</v>
      </c>
      <c r="I69" s="65">
        <f t="shared" si="12"/>
        <v>2028</v>
      </c>
      <c r="J69" s="65">
        <f t="shared" si="12"/>
        <v>2029</v>
      </c>
      <c r="K69" s="65">
        <f t="shared" si="12"/>
        <v>2030</v>
      </c>
    </row>
    <row r="70" spans="3:13" ht="15" customHeight="1">
      <c r="C70" s="17" t="str">
        <f>C15</f>
        <v>Fiscal year end date</v>
      </c>
      <c r="D70" s="38"/>
      <c r="E70" s="38"/>
      <c r="F70" s="38"/>
      <c r="G70" s="38">
        <f t="shared" si="12"/>
        <v>46295</v>
      </c>
      <c r="H70" s="38">
        <f t="shared" si="12"/>
        <v>46660</v>
      </c>
      <c r="I70" s="38">
        <f t="shared" si="12"/>
        <v>47026</v>
      </c>
      <c r="J70" s="38">
        <f t="shared" si="12"/>
        <v>47391</v>
      </c>
      <c r="K70" s="38">
        <f t="shared" si="12"/>
        <v>47756</v>
      </c>
    </row>
    <row r="72" spans="3:13" ht="15" customHeight="1">
      <c r="C72" t="s">
        <v>24</v>
      </c>
      <c r="D72" s="40"/>
      <c r="E72" s="40"/>
      <c r="F72" s="40"/>
      <c r="G72" s="61">
        <f ca="1">G28</f>
        <v>119403.94719079357</v>
      </c>
      <c r="H72" s="61">
        <f ca="1">H28</f>
        <v>126083.51014263488</v>
      </c>
      <c r="I72" s="61">
        <f ca="1">I28</f>
        <v>133297.49735743797</v>
      </c>
      <c r="J72" s="61">
        <f ca="1">J28</f>
        <v>141066.5934693414</v>
      </c>
      <c r="K72" s="61">
        <f ca="1">K28</f>
        <v>149424.83447561416</v>
      </c>
      <c r="M72" s="27"/>
    </row>
    <row r="73" spans="3:13" ht="15" customHeight="1">
      <c r="C73" t="s">
        <v>97</v>
      </c>
      <c r="D73" s="40"/>
      <c r="E73" s="40"/>
      <c r="F73" s="40"/>
      <c r="G73" s="61">
        <f>G30</f>
        <v>12549.914999999999</v>
      </c>
      <c r="H73" s="61">
        <f>H30</f>
        <v>13457.7765</v>
      </c>
      <c r="I73" s="61">
        <f>I30</f>
        <v>14425.049362500002</v>
      </c>
      <c r="J73" s="61">
        <f>J30</f>
        <v>15455.405070000003</v>
      </c>
      <c r="K73" s="61">
        <f>K30</f>
        <v>16552.733724843754</v>
      </c>
      <c r="M73" t="s">
        <v>98</v>
      </c>
    </row>
    <row r="74" spans="3:13" ht="15" customHeight="1">
      <c r="C74" t="s">
        <v>27</v>
      </c>
      <c r="D74" s="40"/>
      <c r="E74" s="40"/>
      <c r="F74" s="40"/>
      <c r="G74" s="61">
        <f>G32</f>
        <v>13506.150000000001</v>
      </c>
      <c r="H74" s="61">
        <f>H32</f>
        <v>14181.457500000002</v>
      </c>
      <c r="I74" s="61">
        <f>I32</f>
        <v>14890.530375000002</v>
      </c>
      <c r="J74" s="61">
        <f>J32</f>
        <v>15635.056893750003</v>
      </c>
      <c r="K74" s="61">
        <f>K32</f>
        <v>16416.809738437503</v>
      </c>
    </row>
    <row r="75" spans="3:13" ht="15" customHeight="1">
      <c r="C75" t="s">
        <v>99</v>
      </c>
      <c r="D75" s="42"/>
      <c r="E75" s="42"/>
      <c r="F75" s="42"/>
      <c r="G75" s="61">
        <f>-1*(SUM(G46:G48)-SUM(F46:F48))</f>
        <v>-4663</v>
      </c>
      <c r="H75" s="61">
        <f>-1*(SUM(H46:H48)-SUM(G46:G48))</f>
        <v>-4896.1500000000087</v>
      </c>
      <c r="I75" s="61">
        <f>-1*(SUM(I46:I48)-SUM(H46:H48))</f>
        <v>-5140.9575000000041</v>
      </c>
      <c r="J75" s="61">
        <f>-1*(SUM(J46:J48)-SUM(I46:I48))</f>
        <v>-5398.0053750000079</v>
      </c>
      <c r="K75" s="61">
        <f>-1*(SUM(K46:K48)-SUM(J46:J48))</f>
        <v>-5667.9056437500112</v>
      </c>
    </row>
    <row r="76" spans="3:13" ht="15" customHeight="1">
      <c r="C76" t="s">
        <v>100</v>
      </c>
      <c r="D76" s="42"/>
      <c r="E76" s="42"/>
      <c r="F76" s="42"/>
      <c r="G76" s="61">
        <f>SUM(G53:G55)-SUM(F53:F55)</f>
        <v>7265.1000000000349</v>
      </c>
      <c r="H76" s="61">
        <f>SUM(H53:H55)-SUM(G53:G55)</f>
        <v>7628.3549999999814</v>
      </c>
      <c r="I76" s="61">
        <f>SUM(I53:I55)-SUM(H53:H55)</f>
        <v>8009.7727500000037</v>
      </c>
      <c r="J76" s="61">
        <f>SUM(J53:J55)-SUM(I53:I55)</f>
        <v>8410.2613875000097</v>
      </c>
      <c r="K76" s="61">
        <f>SUM(K53:K55)-SUM(J53:J55)</f>
        <v>8830.7744568749913</v>
      </c>
    </row>
    <row r="77" spans="3:13" ht="15" customHeight="1">
      <c r="C77" t="s">
        <v>43</v>
      </c>
      <c r="G77" s="61">
        <f>-(G111)</f>
        <v>-8069.25</v>
      </c>
      <c r="H77" s="61">
        <f>-(H111)</f>
        <v>-8472.7125000000087</v>
      </c>
      <c r="I77" s="61">
        <f>-(I111)</f>
        <v>-8896.3481250000041</v>
      </c>
      <c r="J77" s="61">
        <f>-(J111)</f>
        <v>-9341.1655312500079</v>
      </c>
      <c r="K77" s="61">
        <f>-(K111)</f>
        <v>-9808.2238078125083</v>
      </c>
      <c r="M77" t="s">
        <v>101</v>
      </c>
    </row>
    <row r="78" spans="3:13" ht="15" customHeight="1">
      <c r="C78" t="s">
        <v>50</v>
      </c>
      <c r="G78" s="61">
        <f>G58-F58</f>
        <v>2077.4500000000044</v>
      </c>
      <c r="H78" s="61">
        <f>H58-G58</f>
        <v>2181.322500000002</v>
      </c>
      <c r="I78" s="61">
        <f>I58-H58</f>
        <v>2290.3886249999996</v>
      </c>
      <c r="J78" s="61">
        <f>J58-I58</f>
        <v>2404.9080562500021</v>
      </c>
      <c r="K78" s="61">
        <f>K58-J58</f>
        <v>2525.1534590625015</v>
      </c>
      <c r="M78" s="27"/>
    </row>
    <row r="79" spans="3:13" ht="15" customHeight="1">
      <c r="C79" s="27" t="s">
        <v>102</v>
      </c>
      <c r="G79" s="66">
        <f ca="1">SUM(G72:G78)</f>
        <v>142070.3121907936</v>
      </c>
      <c r="H79" s="66">
        <f ca="1">SUM(H72:H78)</f>
        <v>150163.55914263485</v>
      </c>
      <c r="I79" s="66">
        <f ca="1">SUM(I72:I78)</f>
        <v>158875.93284493792</v>
      </c>
      <c r="J79" s="66">
        <f ca="1">SUM(J72:J78)</f>
        <v>168233.0539705914</v>
      </c>
      <c r="K79" s="66">
        <f ca="1">SUM(K72:K78)</f>
        <v>178274.17640327039</v>
      </c>
    </row>
    <row r="80" spans="3:13" ht="15" customHeight="1">
      <c r="G80" s="42"/>
      <c r="H80" s="42"/>
      <c r="I80" s="42"/>
      <c r="J80" s="42"/>
      <c r="K80" s="42"/>
    </row>
    <row r="81" spans="3:13" ht="15" customHeight="1">
      <c r="C81" t="s">
        <v>103</v>
      </c>
      <c r="G81" s="61">
        <f>-(G97)</f>
        <v>-13350.75</v>
      </c>
      <c r="H81" s="61">
        <f>-(H97)</f>
        <v>-14018.2875</v>
      </c>
      <c r="I81" s="61">
        <f>-(I97)</f>
        <v>-14719.201875000001</v>
      </c>
      <c r="J81" s="61">
        <f>-(J97)</f>
        <v>-15455.161968750001</v>
      </c>
      <c r="K81" s="61">
        <f>-(K97)</f>
        <v>-16227.920067187501</v>
      </c>
      <c r="M81" t="s">
        <v>90</v>
      </c>
    </row>
    <row r="82" spans="3:13" ht="15" customHeight="1">
      <c r="C82" s="27" t="s">
        <v>104</v>
      </c>
      <c r="G82" s="66">
        <f>IFERROR(G81,"NA")</f>
        <v>-13350.75</v>
      </c>
      <c r="H82" s="66">
        <f>IFERROR(H81,"NA")</f>
        <v>-14018.2875</v>
      </c>
      <c r="I82" s="66">
        <f>IFERROR(I81,"NA")</f>
        <v>-14719.201875000001</v>
      </c>
      <c r="J82" s="66">
        <f>IFERROR(J81,"NA")</f>
        <v>-15455.161968750001</v>
      </c>
      <c r="K82" s="66">
        <f>IFERROR(K81,"NA")</f>
        <v>-16227.920067187501</v>
      </c>
    </row>
    <row r="83" spans="3:13" ht="15" customHeight="1">
      <c r="G83" s="42"/>
      <c r="H83" s="42"/>
      <c r="I83" s="42"/>
      <c r="J83" s="42"/>
      <c r="K83" s="42"/>
    </row>
    <row r="84" spans="3:13" ht="15" customHeight="1">
      <c r="C84" t="s">
        <v>105</v>
      </c>
      <c r="G84" s="61">
        <f>G57-F57</f>
        <v>0</v>
      </c>
      <c r="H84" s="61">
        <f>H57-G57</f>
        <v>0</v>
      </c>
      <c r="I84" s="61">
        <f>I57-H57</f>
        <v>0</v>
      </c>
      <c r="J84" s="61">
        <f>J57-I57</f>
        <v>0</v>
      </c>
      <c r="K84" s="61">
        <f>K57-J57</f>
        <v>0</v>
      </c>
    </row>
    <row r="85" spans="3:13" ht="15" customHeight="1">
      <c r="C85" t="s">
        <v>106</v>
      </c>
      <c r="G85" s="60">
        <f ca="1">G56-F56</f>
        <v>4021</v>
      </c>
      <c r="H85" s="60">
        <f ca="1">H56-G56</f>
        <v>0</v>
      </c>
      <c r="I85" s="60">
        <f ca="1">I56-H56</f>
        <v>0</v>
      </c>
      <c r="J85" s="60">
        <f ca="1">J56-I56</f>
        <v>0</v>
      </c>
      <c r="K85" s="60">
        <f ca="1">K56-J56</f>
        <v>0</v>
      </c>
      <c r="M85" t="s">
        <v>107</v>
      </c>
    </row>
    <row r="86" spans="3:13" ht="15" customHeight="1">
      <c r="C86" t="s">
        <v>108</v>
      </c>
      <c r="G86" s="61">
        <f>G118</f>
        <v>-90052</v>
      </c>
      <c r="H86" s="61">
        <f>H118</f>
        <v>-90052</v>
      </c>
      <c r="I86" s="61">
        <f>I118</f>
        <v>-90052</v>
      </c>
      <c r="J86" s="61">
        <f>J118</f>
        <v>-90052</v>
      </c>
      <c r="K86" s="61">
        <f>K118</f>
        <v>-90052</v>
      </c>
      <c r="M86" t="s">
        <v>95</v>
      </c>
    </row>
    <row r="87" spans="3:13" ht="15" customHeight="1">
      <c r="C87" t="s">
        <v>109</v>
      </c>
      <c r="G87" s="61">
        <f>G117</f>
        <v>-15413</v>
      </c>
      <c r="H87" s="61">
        <f>H117</f>
        <v>-15413</v>
      </c>
      <c r="I87" s="61">
        <f>I117</f>
        <v>-15413</v>
      </c>
      <c r="J87" s="61">
        <f>J117</f>
        <v>-15413</v>
      </c>
      <c r="K87" s="61">
        <f>K117</f>
        <v>-15413</v>
      </c>
      <c r="M87" t="s">
        <v>95</v>
      </c>
    </row>
    <row r="88" spans="3:13" ht="15" customHeight="1">
      <c r="C88" s="27" t="s">
        <v>110</v>
      </c>
      <c r="G88" s="66">
        <f ca="1">SUM(G84:G87)</f>
        <v>-101444</v>
      </c>
      <c r="H88" s="66">
        <f ca="1">SUM(H84:H87)</f>
        <v>-105465</v>
      </c>
      <c r="I88" s="66">
        <f ca="1">SUM(I84:I87)</f>
        <v>-105465</v>
      </c>
      <c r="J88" s="66">
        <f ca="1">SUM(J84:J87)</f>
        <v>-105465</v>
      </c>
      <c r="K88" s="66">
        <f ca="1">SUM(K84:K87)</f>
        <v>-105465</v>
      </c>
    </row>
    <row r="89" spans="3:13" ht="15" customHeight="1">
      <c r="G89" s="42"/>
      <c r="H89" s="42"/>
      <c r="I89" s="42"/>
      <c r="J89" s="42"/>
      <c r="K89" s="42"/>
    </row>
    <row r="90" spans="3:13" ht="15" customHeight="1">
      <c r="C90" s="27" t="s">
        <v>111</v>
      </c>
      <c r="G90" s="66">
        <f ca="1">G79+G82+G88</f>
        <v>27275.5621907936</v>
      </c>
      <c r="H90" s="66">
        <f ca="1">H79+H82+H88</f>
        <v>30680.271642634849</v>
      </c>
      <c r="I90" s="66">
        <f ca="1">I79+I82+I88</f>
        <v>38691.730969937926</v>
      </c>
      <c r="J90" s="66">
        <f ca="1">J79+J82+J88</f>
        <v>47312.892001841392</v>
      </c>
      <c r="K90" s="66">
        <f ca="1">K79+K82+K88</f>
        <v>56581.256336082879</v>
      </c>
    </row>
    <row r="92" spans="3:13" ht="15" customHeight="1">
      <c r="C92" s="16" t="s">
        <v>112</v>
      </c>
      <c r="D92" s="17"/>
      <c r="E92" s="17"/>
      <c r="F92" s="17"/>
      <c r="G92" s="17"/>
      <c r="H92" s="17"/>
      <c r="I92" s="17"/>
      <c r="J92" s="17"/>
      <c r="K92" s="17"/>
    </row>
    <row r="93" spans="3:13" ht="15" customHeight="1">
      <c r="C93" s="36" t="str">
        <f t="shared" ref="C93:K93" si="13">C14</f>
        <v xml:space="preserve">Fiscal year  </v>
      </c>
      <c r="D93" s="37">
        <f t="shared" si="13"/>
        <v>2023</v>
      </c>
      <c r="E93" s="37">
        <f t="shared" si="13"/>
        <v>2024</v>
      </c>
      <c r="F93" s="37">
        <f t="shared" si="13"/>
        <v>2025</v>
      </c>
      <c r="G93" s="65">
        <f t="shared" si="13"/>
        <v>2026</v>
      </c>
      <c r="H93" s="65">
        <f t="shared" si="13"/>
        <v>2027</v>
      </c>
      <c r="I93" s="65">
        <f t="shared" si="13"/>
        <v>2028</v>
      </c>
      <c r="J93" s="65">
        <f t="shared" si="13"/>
        <v>2029</v>
      </c>
      <c r="K93" s="65">
        <f t="shared" si="13"/>
        <v>2030</v>
      </c>
    </row>
    <row r="94" spans="3:13" ht="15" customHeight="1">
      <c r="C94" s="17" t="str">
        <f t="shared" ref="C94:K94" si="14">C15</f>
        <v>Fiscal year end date</v>
      </c>
      <c r="D94" s="38">
        <f t="shared" si="14"/>
        <v>45199</v>
      </c>
      <c r="E94" s="38">
        <f t="shared" si="14"/>
        <v>45565</v>
      </c>
      <c r="F94" s="38">
        <f t="shared" si="14"/>
        <v>45927</v>
      </c>
      <c r="G94" s="38">
        <f t="shared" si="14"/>
        <v>46295</v>
      </c>
      <c r="H94" s="38">
        <f t="shared" si="14"/>
        <v>46660</v>
      </c>
      <c r="I94" s="38">
        <f t="shared" si="14"/>
        <v>47026</v>
      </c>
      <c r="J94" s="38">
        <f t="shared" si="14"/>
        <v>47391</v>
      </c>
      <c r="K94" s="38">
        <f t="shared" si="14"/>
        <v>47756</v>
      </c>
    </row>
    <row r="95" spans="3:13" ht="15" customHeight="1">
      <c r="C95" s="27"/>
      <c r="G95" s="3" t="s">
        <v>113</v>
      </c>
      <c r="H95" s="3"/>
      <c r="I95" s="3"/>
      <c r="J95" s="3"/>
      <c r="K95" s="3"/>
    </row>
    <row r="96" spans="3:13" ht="15" customHeight="1">
      <c r="C96" s="30" t="s">
        <v>114</v>
      </c>
      <c r="G96" s="61">
        <f>F99</f>
        <v>49834</v>
      </c>
      <c r="H96" s="61">
        <f>G99</f>
        <v>54517.735000000001</v>
      </c>
      <c r="I96" s="61">
        <f>H99</f>
        <v>59155.291000000005</v>
      </c>
      <c r="J96" s="61">
        <f>I99</f>
        <v>63730.340762500011</v>
      </c>
      <c r="K96" s="61">
        <f>J99</f>
        <v>68225.039773750017</v>
      </c>
      <c r="M96" t="s">
        <v>115</v>
      </c>
    </row>
    <row r="97" spans="3:17" ht="15" customHeight="1">
      <c r="C97" s="29" t="s">
        <v>116</v>
      </c>
      <c r="D97" s="39">
        <v>10959</v>
      </c>
      <c r="E97" s="39">
        <v>9447</v>
      </c>
      <c r="F97" s="39">
        <v>12715</v>
      </c>
      <c r="G97" s="59">
        <f>F97*(1+G36)</f>
        <v>13350.75</v>
      </c>
      <c r="H97" s="59">
        <f>G97*(1+H36)</f>
        <v>14018.2875</v>
      </c>
      <c r="I97" s="59">
        <f>H97*(1+I36)</f>
        <v>14719.201875000001</v>
      </c>
      <c r="J97" s="39">
        <f>I97*(1+J36)</f>
        <v>15455.161968750001</v>
      </c>
      <c r="K97" s="39">
        <f>J97*(1+K36)</f>
        <v>16227.920067187501</v>
      </c>
      <c r="M97" t="s">
        <v>117</v>
      </c>
    </row>
    <row r="98" spans="3:17" ht="15" customHeight="1">
      <c r="C98" s="67" t="s">
        <v>118</v>
      </c>
      <c r="D98" s="68">
        <v>-8500</v>
      </c>
      <c r="E98" s="68">
        <v>-8200</v>
      </c>
      <c r="F98" s="68">
        <v>-8000</v>
      </c>
      <c r="G98" s="69">
        <f>-(G101*G97)</f>
        <v>-8667.0149999999994</v>
      </c>
      <c r="H98" s="69">
        <f>-(H101*H97)</f>
        <v>-9380.7314999999999</v>
      </c>
      <c r="I98" s="69">
        <f>-(I101*I97)</f>
        <v>-10144.152112500002</v>
      </c>
      <c r="J98" s="69">
        <f>-(J101*J97)</f>
        <v>-10960.462957500002</v>
      </c>
      <c r="K98" s="69">
        <f>-(K101*K97)</f>
        <v>-11833.044506718752</v>
      </c>
      <c r="M98" t="s">
        <v>119</v>
      </c>
    </row>
    <row r="99" spans="3:17" ht="15" customHeight="1">
      <c r="C99" s="70" t="s">
        <v>120</v>
      </c>
      <c r="D99" s="45"/>
      <c r="E99" s="45">
        <f>E49</f>
        <v>45680</v>
      </c>
      <c r="F99" s="45">
        <f>F49</f>
        <v>49834</v>
      </c>
      <c r="G99" s="66">
        <f>SUM(G96:G98)</f>
        <v>54517.735000000001</v>
      </c>
      <c r="H99" s="66">
        <f>SUM(H96:H98)</f>
        <v>59155.291000000005</v>
      </c>
      <c r="I99" s="66">
        <f>SUM(I96:I98)</f>
        <v>63730.340762500011</v>
      </c>
      <c r="J99" s="66">
        <f>SUM(J96:J98)</f>
        <v>68225.039773750017</v>
      </c>
      <c r="K99" s="66">
        <f>SUM(K96:K98)</f>
        <v>72619.915334218764</v>
      </c>
      <c r="M99" t="s">
        <v>121</v>
      </c>
    </row>
    <row r="100" spans="3:17" ht="15" customHeight="1">
      <c r="C100" s="30"/>
      <c r="M100" s="32" t="s">
        <v>122</v>
      </c>
    </row>
    <row r="101" spans="3:17" ht="15" customHeight="1">
      <c r="C101" s="30" t="s">
        <v>123</v>
      </c>
      <c r="D101" s="71">
        <f>-(D98/D97)</f>
        <v>0.7756182133406333</v>
      </c>
      <c r="E101" s="71">
        <f>-(E98/E97)</f>
        <v>0.86800042341484074</v>
      </c>
      <c r="F101" s="71">
        <f>-(F98/F97)</f>
        <v>0.62917813605977191</v>
      </c>
      <c r="G101" s="72">
        <f>F101+$M$101</f>
        <v>0.64917813605977193</v>
      </c>
      <c r="H101" s="72">
        <f>G101+$M$101</f>
        <v>0.66917813605977194</v>
      </c>
      <c r="I101" s="72">
        <f>H101+$M$101</f>
        <v>0.68917813605977196</v>
      </c>
      <c r="J101" s="72">
        <f>I101+$M$101</f>
        <v>0.70917813605977198</v>
      </c>
      <c r="K101" s="72">
        <f>J101+$M$101</f>
        <v>0.729178136059772</v>
      </c>
      <c r="M101" s="73">
        <v>0.02</v>
      </c>
      <c r="O101" s="74"/>
      <c r="P101" s="74"/>
      <c r="Q101" s="74"/>
    </row>
    <row r="102" spans="3:17" ht="15" customHeight="1">
      <c r="C102" s="30"/>
      <c r="D102" s="71"/>
      <c r="E102" s="71"/>
      <c r="F102" s="71"/>
      <c r="G102" s="63"/>
      <c r="H102" s="63"/>
      <c r="I102" s="63"/>
      <c r="J102" s="63"/>
      <c r="K102" s="63"/>
      <c r="O102" s="74"/>
      <c r="P102" s="74"/>
      <c r="Q102" s="74"/>
    </row>
    <row r="103" spans="3:17" ht="15" customHeight="1">
      <c r="C103" s="75" t="s">
        <v>124</v>
      </c>
      <c r="D103" s="76"/>
      <c r="E103" s="76"/>
      <c r="F103" s="76"/>
      <c r="G103" s="77"/>
      <c r="H103" s="77"/>
      <c r="I103" s="77"/>
      <c r="J103" s="77"/>
      <c r="K103" s="77"/>
      <c r="O103" s="74"/>
      <c r="P103" s="74"/>
      <c r="Q103" s="74"/>
    </row>
    <row r="104" spans="3:17" ht="15" customHeight="1">
      <c r="C104" s="30" t="s">
        <v>125</v>
      </c>
      <c r="D104" s="42">
        <f>D106+D98</f>
        <v>3019</v>
      </c>
      <c r="E104" s="42">
        <f>E106+E98</f>
        <v>3245</v>
      </c>
      <c r="F104" s="42">
        <f>F106+F98</f>
        <v>3698</v>
      </c>
      <c r="G104" s="58">
        <f>G105*G17</f>
        <v>3882.9</v>
      </c>
      <c r="H104" s="58">
        <f>H105*H17</f>
        <v>4077.0450000000001</v>
      </c>
      <c r="I104" s="58">
        <f>I105*I17</f>
        <v>4280.8972500000009</v>
      </c>
      <c r="J104" s="58">
        <f>J105*J17</f>
        <v>4494.9421125000008</v>
      </c>
      <c r="K104" s="58">
        <f>K105*K17</f>
        <v>4719.6892181250005</v>
      </c>
      <c r="M104" t="s">
        <v>126</v>
      </c>
      <c r="O104" s="74"/>
      <c r="P104" s="74"/>
      <c r="Q104" s="74"/>
    </row>
    <row r="105" spans="3:17" ht="15" customHeight="1">
      <c r="C105" s="29" t="s">
        <v>127</v>
      </c>
      <c r="D105" s="51">
        <f>D104/D17</f>
        <v>7.8766453161485585E-3</v>
      </c>
      <c r="E105" s="51">
        <f>E104/E17</f>
        <v>8.2984899049957164E-3</v>
      </c>
      <c r="F105" s="51">
        <f>F104/F17</f>
        <v>8.8859840302190733E-3</v>
      </c>
      <c r="G105" s="72">
        <f>F105</f>
        <v>8.8859840302190733E-3</v>
      </c>
      <c r="H105" s="72">
        <f>G105</f>
        <v>8.8859840302190733E-3</v>
      </c>
      <c r="I105" s="72">
        <f>H105</f>
        <v>8.8859840302190733E-3</v>
      </c>
      <c r="J105" s="72">
        <f>I105</f>
        <v>8.8859840302190733E-3</v>
      </c>
      <c r="K105" s="72">
        <f>J105</f>
        <v>8.8859840302190733E-3</v>
      </c>
      <c r="M105" t="s">
        <v>128</v>
      </c>
    </row>
    <row r="106" spans="3:17" ht="15" customHeight="1">
      <c r="C106" s="31" t="s">
        <v>129</v>
      </c>
      <c r="D106" s="45">
        <f>D30</f>
        <v>11519</v>
      </c>
      <c r="E106" s="45">
        <f>E30</f>
        <v>11445</v>
      </c>
      <c r="F106" s="45">
        <f>F30</f>
        <v>11698</v>
      </c>
      <c r="G106" s="28">
        <f>-G98+G104</f>
        <v>12549.914999999999</v>
      </c>
      <c r="H106" s="28">
        <f>-H98+H104</f>
        <v>13457.7765</v>
      </c>
      <c r="I106" s="28">
        <f>-I98+I104</f>
        <v>14425.049362500002</v>
      </c>
      <c r="J106" s="28">
        <f>-J98+J104</f>
        <v>15455.405070000003</v>
      </c>
      <c r="K106" s="28">
        <f>-K98+K104</f>
        <v>16552.733724843754</v>
      </c>
      <c r="M106" t="s">
        <v>130</v>
      </c>
    </row>
    <row r="107" spans="3:17" ht="15" customHeight="1">
      <c r="C107" s="30"/>
      <c r="D107" s="42"/>
      <c r="E107" s="42"/>
      <c r="F107" s="42"/>
      <c r="H107" s="42"/>
      <c r="I107" s="42"/>
      <c r="J107" s="42"/>
      <c r="K107" s="42"/>
    </row>
    <row r="108" spans="3:17" ht="15" customHeight="1">
      <c r="C108" s="78" t="s">
        <v>131</v>
      </c>
      <c r="D108" s="17"/>
      <c r="E108" s="17"/>
      <c r="F108" s="17"/>
      <c r="H108" s="42"/>
      <c r="I108" s="42"/>
      <c r="J108" s="42"/>
      <c r="K108" s="42"/>
    </row>
    <row r="109" spans="3:17" ht="15" customHeight="1">
      <c r="C109" s="30" t="s">
        <v>114</v>
      </c>
      <c r="D109" s="42"/>
      <c r="G109" s="79">
        <f>F112</f>
        <v>83727</v>
      </c>
      <c r="H109" s="79">
        <f>G112</f>
        <v>87913.35</v>
      </c>
      <c r="I109" s="79">
        <f>H112</f>
        <v>92309.017500000016</v>
      </c>
      <c r="J109" s="79">
        <f>I112</f>
        <v>96924.468375000026</v>
      </c>
      <c r="K109" s="79">
        <f>J112</f>
        <v>101770.69179375003</v>
      </c>
      <c r="M109" t="s">
        <v>115</v>
      </c>
    </row>
    <row r="110" spans="3:17" ht="15" customHeight="1">
      <c r="C110" s="29" t="s">
        <v>132</v>
      </c>
      <c r="G110" s="42">
        <f>-(G104)</f>
        <v>-3882.9</v>
      </c>
      <c r="H110" s="42">
        <f>-(H104)</f>
        <v>-4077.0450000000001</v>
      </c>
      <c r="I110" s="42">
        <f>-(I104)</f>
        <v>-4280.8972500000009</v>
      </c>
      <c r="J110" s="42">
        <f>-(J104)</f>
        <v>-4494.9421125000008</v>
      </c>
      <c r="K110" s="42">
        <f>-(K104)</f>
        <v>-4719.6892181250005</v>
      </c>
      <c r="M110" t="s">
        <v>133</v>
      </c>
    </row>
    <row r="111" spans="3:17" ht="15" customHeight="1">
      <c r="C111" s="67" t="s">
        <v>134</v>
      </c>
      <c r="D111" s="80"/>
      <c r="E111" s="80"/>
      <c r="F111" s="80"/>
      <c r="G111" s="81">
        <f>G112-G110-G109</f>
        <v>8069.25</v>
      </c>
      <c r="H111" s="81">
        <f>H112-H110-H109</f>
        <v>8472.7125000000087</v>
      </c>
      <c r="I111" s="81">
        <f>I112-I110-I109</f>
        <v>8896.3481250000041</v>
      </c>
      <c r="J111" s="81">
        <f>J112-J110-J109</f>
        <v>9341.1655312500079</v>
      </c>
      <c r="K111" s="81">
        <f>K112-K110-K109</f>
        <v>9808.2238078125083</v>
      </c>
      <c r="M111" t="s">
        <v>135</v>
      </c>
    </row>
    <row r="112" spans="3:17" ht="15" customHeight="1">
      <c r="C112" s="70" t="s">
        <v>120</v>
      </c>
      <c r="E112" s="45">
        <f t="shared" ref="E112:K112" si="15">E50</f>
        <v>74834</v>
      </c>
      <c r="F112" s="45">
        <f t="shared" si="15"/>
        <v>83727</v>
      </c>
      <c r="G112" s="45">
        <f t="shared" si="15"/>
        <v>87913.35</v>
      </c>
      <c r="H112" s="45">
        <f t="shared" si="15"/>
        <v>92309.017500000016</v>
      </c>
      <c r="I112" s="45">
        <f t="shared" si="15"/>
        <v>96924.468375000026</v>
      </c>
      <c r="J112" s="45">
        <f t="shared" si="15"/>
        <v>101770.69179375003</v>
      </c>
      <c r="K112" s="45">
        <f t="shared" si="15"/>
        <v>106859.22638343753</v>
      </c>
      <c r="M112" t="s">
        <v>136</v>
      </c>
    </row>
    <row r="113" spans="3:17" ht="15" customHeight="1">
      <c r="C113" s="29"/>
      <c r="E113" s="42"/>
      <c r="F113" s="42"/>
      <c r="H113" s="42"/>
      <c r="I113" s="42"/>
      <c r="J113" s="42"/>
      <c r="K113" s="42"/>
    </row>
    <row r="114" spans="3:17" ht="15" customHeight="1">
      <c r="C114" s="82" t="s">
        <v>137</v>
      </c>
      <c r="D114" s="78"/>
      <c r="E114" s="78"/>
      <c r="F114" s="78"/>
      <c r="G114" s="17"/>
      <c r="H114" s="17"/>
      <c r="I114" s="17"/>
      <c r="J114" s="17"/>
      <c r="K114" s="17"/>
    </row>
    <row r="115" spans="3:17" ht="15" customHeight="1">
      <c r="C115" s="30" t="s">
        <v>114</v>
      </c>
      <c r="G115" s="61">
        <f>F119</f>
        <v>-14264</v>
      </c>
      <c r="H115" s="61">
        <f ca="1">G119</f>
        <v>-325.05280920643418</v>
      </c>
      <c r="I115" s="61">
        <f ca="1">H119</f>
        <v>20293.457333428451</v>
      </c>
      <c r="J115" s="61">
        <f ca="1">I119</f>
        <v>48125.954690866405</v>
      </c>
      <c r="K115" s="61">
        <f ca="1">J119</f>
        <v>83727.548160207807</v>
      </c>
      <c r="M115" t="s">
        <v>115</v>
      </c>
    </row>
    <row r="116" spans="3:17" ht="15" customHeight="1">
      <c r="C116" s="29" t="s">
        <v>138</v>
      </c>
      <c r="D116" s="44">
        <f t="shared" ref="D116:K116" si="16">D28</f>
        <v>96995</v>
      </c>
      <c r="E116" s="44">
        <f t="shared" si="16"/>
        <v>93736</v>
      </c>
      <c r="F116" s="44">
        <f t="shared" si="16"/>
        <v>112010</v>
      </c>
      <c r="G116" s="61">
        <f t="shared" ca="1" si="16"/>
        <v>119403.94719079357</v>
      </c>
      <c r="H116" s="61">
        <f t="shared" ca="1" si="16"/>
        <v>126083.51014263488</v>
      </c>
      <c r="I116" s="61">
        <f t="shared" ca="1" si="16"/>
        <v>133297.49735743797</v>
      </c>
      <c r="J116" s="61">
        <f t="shared" ca="1" si="16"/>
        <v>141066.5934693414</v>
      </c>
      <c r="K116" s="61">
        <f t="shared" ca="1" si="16"/>
        <v>149424.83447561416</v>
      </c>
      <c r="M116" t="s">
        <v>139</v>
      </c>
    </row>
    <row r="117" spans="3:17" ht="15" customHeight="1">
      <c r="C117" s="29" t="s">
        <v>140</v>
      </c>
      <c r="D117" s="39">
        <v>-14996</v>
      </c>
      <c r="E117" s="39">
        <v>-15218</v>
      </c>
      <c r="F117" s="39">
        <v>-15413</v>
      </c>
      <c r="G117" s="61">
        <f t="shared" ref="G117:K118" si="17">F117</f>
        <v>-15413</v>
      </c>
      <c r="H117" s="61">
        <f t="shared" si="17"/>
        <v>-15413</v>
      </c>
      <c r="I117" s="61">
        <f t="shared" si="17"/>
        <v>-15413</v>
      </c>
      <c r="J117" s="61">
        <f t="shared" si="17"/>
        <v>-15413</v>
      </c>
      <c r="K117" s="61">
        <f t="shared" si="17"/>
        <v>-15413</v>
      </c>
      <c r="M117" t="s">
        <v>141</v>
      </c>
    </row>
    <row r="118" spans="3:17" ht="15" customHeight="1">
      <c r="C118" s="67" t="s">
        <v>142</v>
      </c>
      <c r="D118" s="68">
        <v>-77046</v>
      </c>
      <c r="E118" s="68">
        <v>-95846</v>
      </c>
      <c r="F118" s="68">
        <v>-90052</v>
      </c>
      <c r="G118" s="69">
        <f t="shared" si="17"/>
        <v>-90052</v>
      </c>
      <c r="H118" s="69">
        <f t="shared" si="17"/>
        <v>-90052</v>
      </c>
      <c r="I118" s="69">
        <f t="shared" si="17"/>
        <v>-90052</v>
      </c>
      <c r="J118" s="69">
        <f t="shared" si="17"/>
        <v>-90052</v>
      </c>
      <c r="K118" s="69">
        <f t="shared" si="17"/>
        <v>-90052</v>
      </c>
      <c r="M118" t="s">
        <v>143</v>
      </c>
    </row>
    <row r="119" spans="3:17" ht="15" customHeight="1">
      <c r="C119" s="70" t="s">
        <v>120</v>
      </c>
      <c r="D119" s="41">
        <f>D62</f>
        <v>0</v>
      </c>
      <c r="E119" s="41">
        <f>E62</f>
        <v>-19154</v>
      </c>
      <c r="F119" s="41">
        <f>F62</f>
        <v>-14264</v>
      </c>
      <c r="G119" s="66">
        <f ca="1">SUM(G115:G118)</f>
        <v>-325.05280920643418</v>
      </c>
      <c r="H119" s="66">
        <f ca="1">SUM(H115:H118)</f>
        <v>20293.457333428451</v>
      </c>
      <c r="I119" s="66">
        <f ca="1">SUM(I115:I118)</f>
        <v>48125.954690866405</v>
      </c>
      <c r="J119" s="66">
        <f ca="1">SUM(J115:J118)</f>
        <v>83727.548160207807</v>
      </c>
      <c r="K119" s="66">
        <f ca="1">SUM(K115:K118)</f>
        <v>127687.38263582197</v>
      </c>
      <c r="M119" t="s">
        <v>144</v>
      </c>
    </row>
    <row r="120" spans="3:17" ht="15" customHeight="1">
      <c r="E120" s="40"/>
      <c r="F120" s="40"/>
    </row>
    <row r="121" spans="3:17" ht="15" customHeight="1">
      <c r="C121" s="16" t="s">
        <v>145</v>
      </c>
      <c r="D121" s="17"/>
      <c r="E121" s="17"/>
      <c r="F121" s="17"/>
      <c r="G121" s="17"/>
      <c r="H121" s="17"/>
      <c r="I121" s="17"/>
      <c r="J121" s="17"/>
      <c r="K121" s="17"/>
      <c r="O121" s="74"/>
      <c r="P121" s="74"/>
    </row>
    <row r="122" spans="3:17" ht="15" customHeight="1">
      <c r="C122" s="36" t="str">
        <f t="shared" ref="C122:K122" si="18">C14</f>
        <v xml:space="preserve">Fiscal year  </v>
      </c>
      <c r="D122" s="37">
        <f t="shared" si="18"/>
        <v>2023</v>
      </c>
      <c r="E122" s="37">
        <f t="shared" si="18"/>
        <v>2024</v>
      </c>
      <c r="F122" s="37">
        <f t="shared" si="18"/>
        <v>2025</v>
      </c>
      <c r="G122" s="65">
        <f t="shared" si="18"/>
        <v>2026</v>
      </c>
      <c r="H122" s="65">
        <f t="shared" si="18"/>
        <v>2027</v>
      </c>
      <c r="I122" s="65">
        <f t="shared" si="18"/>
        <v>2028</v>
      </c>
      <c r="J122" s="65">
        <f t="shared" si="18"/>
        <v>2029</v>
      </c>
      <c r="K122" s="65">
        <f t="shared" si="18"/>
        <v>2030</v>
      </c>
      <c r="O122" s="74"/>
      <c r="P122" s="74"/>
    </row>
    <row r="123" spans="3:17" ht="15" customHeight="1">
      <c r="C123" s="17" t="str">
        <f t="shared" ref="C123:K123" si="19">C15</f>
        <v>Fiscal year end date</v>
      </c>
      <c r="D123" s="38">
        <f t="shared" si="19"/>
        <v>45199</v>
      </c>
      <c r="E123" s="38">
        <f t="shared" si="19"/>
        <v>45565</v>
      </c>
      <c r="F123" s="38">
        <f t="shared" si="19"/>
        <v>45927</v>
      </c>
      <c r="G123" s="38">
        <f t="shared" si="19"/>
        <v>46295</v>
      </c>
      <c r="H123" s="38">
        <f t="shared" si="19"/>
        <v>46660</v>
      </c>
      <c r="I123" s="38">
        <f t="shared" si="19"/>
        <v>47026</v>
      </c>
      <c r="J123" s="38">
        <f t="shared" si="19"/>
        <v>47391</v>
      </c>
      <c r="K123" s="38">
        <f t="shared" si="19"/>
        <v>47756</v>
      </c>
      <c r="O123" s="74"/>
      <c r="P123" s="74"/>
    </row>
    <row r="124" spans="3:17" ht="15" customHeight="1">
      <c r="C124" s="27"/>
      <c r="O124" s="74"/>
      <c r="P124" s="74"/>
    </row>
    <row r="125" spans="3:17" ht="15" customHeight="1">
      <c r="C125" s="32" t="s">
        <v>146</v>
      </c>
      <c r="O125" s="74"/>
      <c r="P125" s="74"/>
      <c r="Q125" s="74"/>
    </row>
    <row r="126" spans="3:17" ht="15" customHeight="1">
      <c r="C126" s="29" t="s">
        <v>147</v>
      </c>
      <c r="G126" s="60">
        <f>F45</f>
        <v>132420</v>
      </c>
      <c r="H126" s="60">
        <f ca="1">G45</f>
        <v>159695.5621907936</v>
      </c>
      <c r="I126" s="60">
        <f ca="1">H45</f>
        <v>190375.83383342845</v>
      </c>
      <c r="J126" s="60">
        <f ca="1">I45</f>
        <v>229067.56480336637</v>
      </c>
      <c r="K126" s="60">
        <f ca="1">J45</f>
        <v>276380.45680520777</v>
      </c>
      <c r="M126" t="s">
        <v>148</v>
      </c>
      <c r="O126" s="74"/>
      <c r="P126" s="74"/>
    </row>
    <row r="127" spans="3:17" ht="15" customHeight="1">
      <c r="C127" s="29" t="s">
        <v>149</v>
      </c>
      <c r="G127" s="39">
        <v>-50000</v>
      </c>
      <c r="H127" s="39">
        <v>-50000</v>
      </c>
      <c r="I127" s="39">
        <v>-50000</v>
      </c>
      <c r="J127" s="39">
        <v>-50000</v>
      </c>
      <c r="K127" s="39">
        <v>-50000</v>
      </c>
      <c r="M127" t="s">
        <v>150</v>
      </c>
      <c r="O127" s="74"/>
      <c r="P127" s="74"/>
    </row>
    <row r="128" spans="3:17" ht="15" customHeight="1">
      <c r="C128" s="67" t="s">
        <v>151</v>
      </c>
      <c r="D128" s="80"/>
      <c r="E128" s="80"/>
      <c r="F128" s="80"/>
      <c r="G128" s="83">
        <f ca="1">SUM(G79,G82,G84,G86,G87)</f>
        <v>23254.5621907936</v>
      </c>
      <c r="H128" s="83">
        <f ca="1">SUM(H79,H82,H84,H86,H87)</f>
        <v>30680.271642634849</v>
      </c>
      <c r="I128" s="83">
        <f ca="1">SUM(I79,I82,I84,I86,I87)</f>
        <v>38691.730969937926</v>
      </c>
      <c r="J128" s="83">
        <f ca="1">SUM(J79,J82,J84,J86,J87)</f>
        <v>47312.892001841392</v>
      </c>
      <c r="K128" s="83">
        <f ca="1">SUM(K79,K82,K84,K86,K87)</f>
        <v>56581.256336082879</v>
      </c>
      <c r="M128" t="s">
        <v>152</v>
      </c>
    </row>
    <row r="129" spans="3:19" ht="15" customHeight="1">
      <c r="C129" s="70" t="s">
        <v>153</v>
      </c>
      <c r="G129" s="84">
        <f ca="1">SUM(G126:G128)</f>
        <v>105674.5621907936</v>
      </c>
      <c r="H129" s="84">
        <f ca="1">SUM(H126:H128)</f>
        <v>140375.83383342845</v>
      </c>
      <c r="I129" s="84">
        <f ca="1">SUM(I126:I128)</f>
        <v>179067.56480336637</v>
      </c>
      <c r="J129" s="84">
        <f ca="1">SUM(J126:J128)</f>
        <v>226380.45680520777</v>
      </c>
      <c r="K129" s="84">
        <f ca="1">SUM(K126:K128)</f>
        <v>282961.71314129065</v>
      </c>
    </row>
    <row r="131" spans="3:19" ht="15" customHeight="1">
      <c r="C131" s="27" t="s">
        <v>154</v>
      </c>
    </row>
    <row r="132" spans="3:19" ht="15" customHeight="1">
      <c r="C132" s="29" t="s">
        <v>114</v>
      </c>
      <c r="G132" s="60">
        <f>F135</f>
        <v>7979</v>
      </c>
      <c r="H132" s="60">
        <f ca="1">G135</f>
        <v>12000</v>
      </c>
      <c r="I132" s="60">
        <f ca="1">H135</f>
        <v>12000</v>
      </c>
      <c r="J132" s="60">
        <f ca="1">I135</f>
        <v>12000</v>
      </c>
      <c r="K132" s="60">
        <f ca="1">J135</f>
        <v>12000</v>
      </c>
      <c r="M132" t="s">
        <v>115</v>
      </c>
    </row>
    <row r="133" spans="3:19" ht="15" customHeight="1">
      <c r="C133" s="29" t="s">
        <v>155</v>
      </c>
      <c r="G133" s="60">
        <f ca="1">-MIN(G129,G132)</f>
        <v>-7979</v>
      </c>
      <c r="H133" s="60">
        <f ca="1">-MIN(H129,H132)</f>
        <v>-12000</v>
      </c>
      <c r="I133" s="60">
        <f ca="1">-MIN(I129,I132)</f>
        <v>-12000</v>
      </c>
      <c r="J133" s="60">
        <f ca="1">-MIN(J129,J132)</f>
        <v>-12000</v>
      </c>
      <c r="K133" s="60">
        <f ca="1">-MIN(K129,K132)</f>
        <v>-12000</v>
      </c>
      <c r="M133" t="s">
        <v>156</v>
      </c>
    </row>
    <row r="134" spans="3:19" ht="15" customHeight="1">
      <c r="C134" s="67" t="s">
        <v>157</v>
      </c>
      <c r="D134" s="80"/>
      <c r="E134" s="80"/>
      <c r="F134" s="80"/>
      <c r="G134" s="68">
        <v>12000</v>
      </c>
      <c r="H134" s="68">
        <v>12000</v>
      </c>
      <c r="I134" s="68">
        <v>12000</v>
      </c>
      <c r="J134" s="68">
        <v>12000</v>
      </c>
      <c r="K134" s="68">
        <v>12000</v>
      </c>
      <c r="M134" t="s">
        <v>150</v>
      </c>
    </row>
    <row r="135" spans="3:19" ht="15" customHeight="1">
      <c r="C135" s="29" t="s">
        <v>120</v>
      </c>
      <c r="D135" s="85">
        <f>D56</f>
        <v>0</v>
      </c>
      <c r="E135" s="85">
        <f>E56</f>
        <v>9967</v>
      </c>
      <c r="F135" s="85">
        <f>F56</f>
        <v>7979</v>
      </c>
      <c r="G135" s="86">
        <f ca="1">SUM(G132:G134)</f>
        <v>12000</v>
      </c>
      <c r="H135" s="86">
        <f ca="1">SUM(H132:H134)</f>
        <v>12000</v>
      </c>
      <c r="I135" s="86">
        <f ca="1">SUM(I132:I134)</f>
        <v>12000</v>
      </c>
      <c r="J135" s="86">
        <f ca="1">SUM(J132:J134)</f>
        <v>12000</v>
      </c>
      <c r="K135" s="86">
        <f ca="1">SUM(K132:K134)</f>
        <v>12000</v>
      </c>
    </row>
    <row r="136" spans="3:19" ht="15" customHeight="1">
      <c r="C136" s="87" t="s">
        <v>158</v>
      </c>
      <c r="D136" s="88"/>
      <c r="E136" s="88"/>
      <c r="F136" s="89"/>
      <c r="G136" s="90" t="str">
        <f ca="1">IF(G135&lt;0,"Negative Debt","OK")</f>
        <v>OK</v>
      </c>
      <c r="H136" s="90" t="str">
        <f ca="1">IF(H135&lt;0,"Negative Debt","OK")</f>
        <v>OK</v>
      </c>
      <c r="I136" s="90" t="str">
        <f ca="1">IF(I135&lt;0,"Negative Debt","OK")</f>
        <v>OK</v>
      </c>
      <c r="J136" s="90" t="str">
        <f ca="1">IF(J135&lt;0,"Negative Debt","OK")</f>
        <v>OK</v>
      </c>
      <c r="K136" s="91" t="str">
        <f ca="1">IF(K135&lt;0,"Negative Debt","OK")</f>
        <v>OK</v>
      </c>
      <c r="S136" s="40"/>
    </row>
    <row r="137" spans="3:19" ht="15" customHeight="1">
      <c r="D137" s="42"/>
      <c r="E137" s="42"/>
      <c r="F137" s="92"/>
      <c r="G137" s="93"/>
      <c r="H137" s="93"/>
      <c r="I137" s="93"/>
      <c r="J137" s="93"/>
      <c r="K137" s="93"/>
      <c r="S137" s="40"/>
    </row>
    <row r="138" spans="3:19" ht="15" customHeight="1">
      <c r="C138" s="16" t="s">
        <v>159</v>
      </c>
      <c r="D138" s="76"/>
      <c r="E138" s="76"/>
      <c r="F138" s="76"/>
      <c r="G138" s="94"/>
      <c r="H138" s="94"/>
      <c r="I138" s="94"/>
      <c r="J138" s="94"/>
      <c r="K138" s="94"/>
      <c r="R138" s="95"/>
    </row>
    <row r="139" spans="3:19" ht="15" customHeight="1">
      <c r="C139" s="36" t="str">
        <f t="shared" ref="C139:K139" si="20">C14</f>
        <v xml:space="preserve">Fiscal year  </v>
      </c>
      <c r="D139" s="37">
        <f t="shared" si="20"/>
        <v>2023</v>
      </c>
      <c r="E139" s="37">
        <f t="shared" si="20"/>
        <v>2024</v>
      </c>
      <c r="F139" s="37">
        <f t="shared" si="20"/>
        <v>2025</v>
      </c>
      <c r="G139" s="65">
        <f t="shared" si="20"/>
        <v>2026</v>
      </c>
      <c r="H139" s="65">
        <f t="shared" si="20"/>
        <v>2027</v>
      </c>
      <c r="I139" s="65">
        <f t="shared" si="20"/>
        <v>2028</v>
      </c>
      <c r="J139" s="65">
        <f t="shared" si="20"/>
        <v>2029</v>
      </c>
      <c r="K139" s="65">
        <f t="shared" si="20"/>
        <v>2030</v>
      </c>
      <c r="R139" s="95"/>
      <c r="S139" s="40"/>
    </row>
    <row r="140" spans="3:19" ht="15" customHeight="1">
      <c r="C140" s="17" t="str">
        <f t="shared" ref="C140:K140" si="21">C15</f>
        <v>Fiscal year end date</v>
      </c>
      <c r="D140" s="38">
        <f t="shared" si="21"/>
        <v>45199</v>
      </c>
      <c r="E140" s="38">
        <f t="shared" si="21"/>
        <v>45565</v>
      </c>
      <c r="F140" s="38">
        <f t="shared" si="21"/>
        <v>45927</v>
      </c>
      <c r="G140" s="38">
        <f t="shared" si="21"/>
        <v>46295</v>
      </c>
      <c r="H140" s="38">
        <f t="shared" si="21"/>
        <v>46660</v>
      </c>
      <c r="I140" s="38">
        <f t="shared" si="21"/>
        <v>47026</v>
      </c>
      <c r="J140" s="38">
        <f t="shared" si="21"/>
        <v>47391</v>
      </c>
      <c r="K140" s="38">
        <f t="shared" si="21"/>
        <v>47756</v>
      </c>
      <c r="R140" s="95"/>
    </row>
    <row r="141" spans="3:19" ht="15" customHeight="1">
      <c r="C141" s="29"/>
      <c r="D141" s="42"/>
      <c r="E141" s="42"/>
      <c r="F141" s="42"/>
      <c r="G141" s="96"/>
      <c r="H141" s="96"/>
      <c r="I141" s="96"/>
      <c r="J141" s="96"/>
      <c r="K141" s="96"/>
      <c r="R141" s="95"/>
    </row>
    <row r="142" spans="3:19" ht="15" customHeight="1">
      <c r="C142" s="30" t="s">
        <v>160</v>
      </c>
      <c r="D142" s="42">
        <f>-(D24)</f>
        <v>0</v>
      </c>
      <c r="E142" s="42">
        <f>-(E24)</f>
        <v>0</v>
      </c>
      <c r="F142" s="42">
        <f>-(F24)</f>
        <v>0</v>
      </c>
      <c r="G142" s="60">
        <f ca="1">G147+G152</f>
        <v>3002.8830500000004</v>
      </c>
      <c r="H142" s="60">
        <f ca="1">H147+H152</f>
        <v>3087.1230000000005</v>
      </c>
      <c r="I142" s="60">
        <f ca="1">I147+I152</f>
        <v>3087.1230000000005</v>
      </c>
      <c r="J142" s="60">
        <f ca="1">J147+J152</f>
        <v>3087.1230000000005</v>
      </c>
      <c r="K142" s="60">
        <f ca="1">K147+K152</f>
        <v>3087.1230000000005</v>
      </c>
      <c r="M142" t="s">
        <v>161</v>
      </c>
      <c r="R142" s="40"/>
    </row>
    <row r="143" spans="3:19" ht="15" customHeight="1">
      <c r="C143" s="97"/>
      <c r="R143" s="40"/>
    </row>
    <row r="144" spans="3:19" ht="15" customHeight="1">
      <c r="C144" s="98" t="s">
        <v>162</v>
      </c>
      <c r="R144" s="40"/>
    </row>
    <row r="145" spans="3:18" ht="15" customHeight="1">
      <c r="C145" s="29" t="s">
        <v>163</v>
      </c>
      <c r="E145" s="99">
        <v>0.05</v>
      </c>
      <c r="F145" s="99">
        <v>4.19E-2</v>
      </c>
      <c r="G145" s="100">
        <f>F145</f>
        <v>4.19E-2</v>
      </c>
      <c r="H145" s="100">
        <f>G145</f>
        <v>4.19E-2</v>
      </c>
      <c r="I145" s="100">
        <f>H145</f>
        <v>4.19E-2</v>
      </c>
      <c r="J145" s="100">
        <f>I145</f>
        <v>4.19E-2</v>
      </c>
      <c r="K145" s="100">
        <f>J145</f>
        <v>4.19E-2</v>
      </c>
      <c r="M145" t="s">
        <v>164</v>
      </c>
    </row>
    <row r="146" spans="3:18" ht="15" customHeight="1">
      <c r="C146" s="29" t="s">
        <v>165</v>
      </c>
      <c r="D146" s="85"/>
      <c r="E146" s="85">
        <f t="shared" ref="E146:K146" si="22">E56</f>
        <v>9967</v>
      </c>
      <c r="F146" s="85">
        <f t="shared" si="22"/>
        <v>7979</v>
      </c>
      <c r="G146" s="60">
        <f t="shared" ca="1" si="22"/>
        <v>12000</v>
      </c>
      <c r="H146" s="60">
        <f t="shared" ca="1" si="22"/>
        <v>12000</v>
      </c>
      <c r="I146" s="60">
        <f t="shared" ca="1" si="22"/>
        <v>12000</v>
      </c>
      <c r="J146" s="60">
        <f t="shared" ca="1" si="22"/>
        <v>12000</v>
      </c>
      <c r="K146" s="60">
        <f t="shared" ca="1" si="22"/>
        <v>12000</v>
      </c>
      <c r="M146" t="s">
        <v>166</v>
      </c>
    </row>
    <row r="147" spans="3:18" ht="15" customHeight="1">
      <c r="C147" s="101" t="s">
        <v>167</v>
      </c>
      <c r="D147" s="42"/>
      <c r="E147" s="45">
        <f>AVERAGE(D146:E146)*E145</f>
        <v>498.35</v>
      </c>
      <c r="F147" s="45">
        <f>AVERAGE(E146:F146)*F145</f>
        <v>375.96870000000001</v>
      </c>
      <c r="G147" s="102">
        <f ca="1">IF($D$7=1,AVERAGE(F146,G146)*G145,0)</f>
        <v>418.56004999999999</v>
      </c>
      <c r="H147" s="102">
        <f ca="1">IF($D$7=1,AVERAGE(G146,H146)*H145,0)</f>
        <v>502.8</v>
      </c>
      <c r="I147" s="102">
        <f ca="1">IF($D$7=1,AVERAGE(H146,I146)*I145,0)</f>
        <v>502.8</v>
      </c>
      <c r="J147" s="102">
        <f ca="1">IF($D$7=1,AVERAGE(I146,J146)*J145,0)</f>
        <v>502.8</v>
      </c>
      <c r="K147" s="102">
        <f ca="1">IF($D$7=1,AVERAGE(J146,K146)*K145,0)</f>
        <v>502.8</v>
      </c>
      <c r="M147" t="s">
        <v>168</v>
      </c>
    </row>
    <row r="148" spans="3:18" ht="15" customHeight="1">
      <c r="C148" s="103"/>
      <c r="D148" s="42"/>
      <c r="E148" s="42"/>
      <c r="F148" s="42"/>
    </row>
    <row r="149" spans="3:18" ht="15" customHeight="1">
      <c r="C149" s="98" t="s">
        <v>105</v>
      </c>
      <c r="D149" s="42"/>
      <c r="E149" s="42"/>
      <c r="F149" s="42"/>
    </row>
    <row r="150" spans="3:18" ht="15" customHeight="1">
      <c r="C150" s="29" t="s">
        <v>165</v>
      </c>
      <c r="D150" s="42"/>
      <c r="E150" s="42">
        <f t="shared" ref="E150:K150" si="23">E57</f>
        <v>96662</v>
      </c>
      <c r="F150" s="42">
        <f t="shared" si="23"/>
        <v>90678</v>
      </c>
      <c r="G150" s="60">
        <f t="shared" si="23"/>
        <v>90678</v>
      </c>
      <c r="H150" s="60">
        <f t="shared" si="23"/>
        <v>90678</v>
      </c>
      <c r="I150" s="60">
        <f t="shared" si="23"/>
        <v>90678</v>
      </c>
      <c r="J150" s="60">
        <f t="shared" si="23"/>
        <v>90678</v>
      </c>
      <c r="K150" s="60">
        <f t="shared" si="23"/>
        <v>90678</v>
      </c>
      <c r="M150" t="s">
        <v>107</v>
      </c>
    </row>
    <row r="151" spans="3:18" ht="15" customHeight="1">
      <c r="C151" s="29" t="s">
        <v>163</v>
      </c>
      <c r="E151" s="104">
        <v>2.8500000000000001E-2</v>
      </c>
      <c r="F151" s="104">
        <v>2.8500000000000001E-2</v>
      </c>
      <c r="G151" s="105">
        <f>F151</f>
        <v>2.8500000000000001E-2</v>
      </c>
      <c r="H151" s="105">
        <f>G151</f>
        <v>2.8500000000000001E-2</v>
      </c>
      <c r="I151" s="105">
        <f>H151</f>
        <v>2.8500000000000001E-2</v>
      </c>
      <c r="J151" s="105">
        <f>I151</f>
        <v>2.8500000000000001E-2</v>
      </c>
      <c r="K151" s="105">
        <f>J151</f>
        <v>2.8500000000000001E-2</v>
      </c>
      <c r="M151" t="s">
        <v>164</v>
      </c>
      <c r="R151" s="95"/>
    </row>
    <row r="152" spans="3:18" ht="15" customHeight="1">
      <c r="C152" s="70" t="s">
        <v>169</v>
      </c>
      <c r="D152" s="45"/>
      <c r="E152" s="45">
        <f>E142-E147</f>
        <v>-498.35</v>
      </c>
      <c r="F152" s="45">
        <f>F142-F147</f>
        <v>-375.96870000000001</v>
      </c>
      <c r="G152" s="106">
        <f>G151*AVERAGE(F150:G150)</f>
        <v>2584.3230000000003</v>
      </c>
      <c r="H152" s="106">
        <f>H151*AVERAGE(G150:H150)</f>
        <v>2584.3230000000003</v>
      </c>
      <c r="I152" s="106">
        <f>I151*AVERAGE(H150:I150)</f>
        <v>2584.3230000000003</v>
      </c>
      <c r="J152" s="106">
        <f>J151*AVERAGE(I150:J150)</f>
        <v>2584.3230000000003</v>
      </c>
      <c r="K152" s="106">
        <f>K151*AVERAGE(J150:K150)</f>
        <v>2584.3230000000003</v>
      </c>
      <c r="M152" t="s">
        <v>170</v>
      </c>
    </row>
    <row r="153" spans="3:18" ht="15" customHeight="1">
      <c r="E153" s="42"/>
    </row>
    <row r="154" spans="3:18" ht="15" customHeight="1">
      <c r="C154" s="97" t="s">
        <v>171</v>
      </c>
      <c r="E154" s="42"/>
      <c r="F154" s="42"/>
    </row>
    <row r="155" spans="3:18" ht="15" customHeight="1">
      <c r="C155" s="29" t="s">
        <v>172</v>
      </c>
      <c r="D155" s="107">
        <v>3.5000000000000003E-2</v>
      </c>
      <c r="E155" s="108">
        <v>3.5000000000000003E-2</v>
      </c>
      <c r="F155" s="108">
        <v>3.5000000000000003E-2</v>
      </c>
      <c r="G155" s="109">
        <f>F155</f>
        <v>3.5000000000000003E-2</v>
      </c>
      <c r="H155" s="109">
        <f>G155</f>
        <v>3.5000000000000003E-2</v>
      </c>
      <c r="I155" s="109">
        <f>H155</f>
        <v>3.5000000000000003E-2</v>
      </c>
      <c r="J155" s="109">
        <f>I155</f>
        <v>3.5000000000000003E-2</v>
      </c>
      <c r="K155" s="109">
        <f>J155</f>
        <v>3.5000000000000003E-2</v>
      </c>
      <c r="M155" t="s">
        <v>164</v>
      </c>
    </row>
    <row r="156" spans="3:18" ht="15" customHeight="1">
      <c r="C156" s="29" t="s">
        <v>19</v>
      </c>
      <c r="D156" s="42">
        <f>D23</f>
        <v>0</v>
      </c>
      <c r="E156" s="42">
        <f>E23</f>
        <v>0</v>
      </c>
      <c r="F156" s="42">
        <f>F23</f>
        <v>0</v>
      </c>
      <c r="G156" s="110">
        <f ca="1">IF($D$7=1,AVERAGE(F45,G45)*G155,0)</f>
        <v>5112.0223383388884</v>
      </c>
      <c r="H156" s="110">
        <f ca="1">IF($D$7=1,AVERAGE(G45,H45)*H155,0)</f>
        <v>6126.2494304238862</v>
      </c>
      <c r="I156" s="110">
        <f ca="1">IF($D$7=1,AVERAGE(H45,I45)*I155,0)</f>
        <v>7340.2594761439104</v>
      </c>
      <c r="J156" s="110">
        <f ca="1">IF($D$7=1,AVERAGE(I45,J45)*J155,0)</f>
        <v>8845.3403781500492</v>
      </c>
      <c r="K156" s="110">
        <f ca="1">IF($D$7=1,AVERAGE(J45,K45)*K155,0)</f>
        <v>10663.487974063724</v>
      </c>
      <c r="M156" t="s">
        <v>173</v>
      </c>
    </row>
    <row r="157" spans="3:18" ht="15" customHeight="1">
      <c r="C157" s="50"/>
      <c r="D157" s="51"/>
      <c r="E157" s="51"/>
      <c r="F157" s="51"/>
      <c r="G157" s="51"/>
      <c r="H157" s="51"/>
    </row>
  </sheetData>
  <mergeCells count="1">
    <mergeCell ref="G95:K95"/>
  </mergeCells>
  <pageMargins left="0.7" right="0.7" top="0.75" bottom="0.75" header="0.511811023622047" footer="0.511811023622047"/>
  <pageSetup orientation="portrait" horizontalDpi="300" verticalDpi="300"/>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C1:T157"/>
  <sheetViews>
    <sheetView showGridLines="0" topLeftCell="A39" zoomScaleNormal="100" workbookViewId="0">
      <selection activeCell="N36" sqref="N36"/>
    </sheetView>
  </sheetViews>
  <sheetFormatPr baseColWidth="10" defaultColWidth="8.83203125" defaultRowHeight="15"/>
  <cols>
    <col min="1" max="2" width="1.6640625" customWidth="1"/>
    <col min="3" max="3" width="46.6640625" customWidth="1"/>
    <col min="4" max="11" width="11.5" customWidth="1"/>
    <col min="12" max="12" width="2.33203125" customWidth="1"/>
    <col min="13" max="13" width="11.5" customWidth="1"/>
    <col min="14" max="14" width="11.83203125" customWidth="1"/>
    <col min="15" max="17" width="10.33203125" customWidth="1"/>
    <col min="18" max="19" width="9.5" customWidth="1"/>
  </cols>
  <sheetData>
    <row r="1" spans="3:19" ht="15.75" customHeight="1"/>
    <row r="2" spans="3:19" ht="15.75" customHeight="1">
      <c r="C2" s="4" t="str">
        <f>"Financial Statement Model for "&amp;D5</f>
        <v>Financial Statement Model for Apple</v>
      </c>
      <c r="D2" s="5"/>
      <c r="E2" s="5"/>
      <c r="F2" s="5"/>
      <c r="G2" s="5"/>
      <c r="H2" s="5"/>
      <c r="I2" s="5"/>
      <c r="J2" s="5"/>
      <c r="K2" s="5"/>
    </row>
    <row r="3" spans="3:19" ht="15" customHeight="1">
      <c r="C3" s="6" t="s">
        <v>0</v>
      </c>
      <c r="D3" s="7"/>
      <c r="E3" s="7"/>
      <c r="F3" s="7"/>
      <c r="G3" s="7"/>
      <c r="H3" s="7"/>
    </row>
    <row r="5" spans="3:19" ht="15" customHeight="1">
      <c r="C5" s="8" t="s">
        <v>1</v>
      </c>
      <c r="D5" s="9" t="s">
        <v>2</v>
      </c>
    </row>
    <row r="6" spans="3:19" ht="15" customHeight="1">
      <c r="C6" s="8" t="s">
        <v>3</v>
      </c>
      <c r="D6" s="9" t="s">
        <v>4</v>
      </c>
    </row>
    <row r="7" spans="3:19" ht="15" customHeight="1">
      <c r="C7" t="s">
        <v>5</v>
      </c>
      <c r="D7" s="10">
        <v>1</v>
      </c>
    </row>
    <row r="8" spans="3:19" ht="15" customHeight="1">
      <c r="C8" t="s">
        <v>6</v>
      </c>
      <c r="D8" s="11">
        <v>171.25</v>
      </c>
    </row>
    <row r="9" spans="3:19" ht="15" customHeight="1">
      <c r="C9" t="s">
        <v>7</v>
      </c>
      <c r="D9" s="12">
        <v>43500</v>
      </c>
    </row>
    <row r="10" spans="3:19" ht="15" customHeight="1">
      <c r="C10" s="8" t="s">
        <v>8</v>
      </c>
      <c r="D10" s="13">
        <v>43372</v>
      </c>
    </row>
    <row r="11" spans="3:19" ht="15" customHeight="1">
      <c r="C11" t="s">
        <v>9</v>
      </c>
      <c r="D11" s="54">
        <v>4745.3980000000001</v>
      </c>
    </row>
    <row r="13" spans="3:19" ht="15" customHeight="1">
      <c r="C13" s="16" t="s">
        <v>10</v>
      </c>
      <c r="D13" s="17"/>
      <c r="E13" s="17"/>
      <c r="F13" s="17"/>
      <c r="G13" s="17"/>
      <c r="H13" s="17"/>
      <c r="I13" s="17"/>
      <c r="J13" s="17"/>
      <c r="K13" s="17"/>
    </row>
    <row r="14" spans="3:19" ht="15" customHeight="1">
      <c r="C14" t="s">
        <v>11</v>
      </c>
      <c r="D14" s="18">
        <f>E14-1</f>
        <v>2016</v>
      </c>
      <c r="E14" s="18">
        <f>F14-1</f>
        <v>2017</v>
      </c>
      <c r="F14" s="18">
        <f>YEAR(D10)</f>
        <v>2018</v>
      </c>
      <c r="G14" s="55">
        <f>F14+1</f>
        <v>2019</v>
      </c>
      <c r="H14" s="55">
        <f>G14+1</f>
        <v>2020</v>
      </c>
      <c r="I14" s="55">
        <f>H14+1</f>
        <v>2021</v>
      </c>
      <c r="J14" s="55">
        <f>I14+1</f>
        <v>2022</v>
      </c>
      <c r="K14" s="55">
        <f>J14+1</f>
        <v>2023</v>
      </c>
    </row>
    <row r="15" spans="3:19" ht="15" customHeight="1">
      <c r="C15" s="19" t="s">
        <v>12</v>
      </c>
      <c r="D15" s="20">
        <f>EOMONTH(E15,-12)</f>
        <v>42643</v>
      </c>
      <c r="E15" s="20">
        <f>EOMONTH(F15,-12)</f>
        <v>43008</v>
      </c>
      <c r="F15" s="20">
        <f>D10</f>
        <v>43372</v>
      </c>
      <c r="G15" s="20">
        <f>EOMONTH(F15,12)</f>
        <v>43738</v>
      </c>
      <c r="H15" s="20">
        <f>EOMONTH(G15,12)</f>
        <v>44104</v>
      </c>
      <c r="I15" s="20">
        <f>EOMONTH(H15,12)</f>
        <v>44469</v>
      </c>
      <c r="J15" s="20">
        <f>EOMONTH(I15,12)</f>
        <v>44834</v>
      </c>
      <c r="K15" s="20">
        <f>EOMONTH(J15,12)</f>
        <v>45199</v>
      </c>
      <c r="M15" s="16" t="s">
        <v>66</v>
      </c>
      <c r="N15" s="17"/>
      <c r="O15" s="17"/>
      <c r="P15" s="17"/>
      <c r="Q15" s="17"/>
      <c r="R15" s="17"/>
      <c r="S15" s="17"/>
    </row>
    <row r="16" spans="3:19" ht="15" customHeight="1">
      <c r="C16" s="23"/>
      <c r="D16" s="24"/>
      <c r="E16" s="25"/>
      <c r="F16" s="25"/>
      <c r="G16" s="56"/>
      <c r="H16" s="57"/>
      <c r="I16" s="57"/>
      <c r="J16" s="25"/>
      <c r="K16" s="25"/>
    </row>
    <row r="17" spans="3:14" ht="15" customHeight="1">
      <c r="C17" t="s">
        <v>13</v>
      </c>
      <c r="D17" s="39">
        <v>215639</v>
      </c>
      <c r="E17" s="39">
        <v>229234</v>
      </c>
      <c r="F17" s="39">
        <v>265595</v>
      </c>
      <c r="G17" s="44">
        <f>F17*(1+G36)</f>
        <v>254971.19999999998</v>
      </c>
      <c r="H17" s="44">
        <f>G17*(1+H36)</f>
        <v>270269.47200000001</v>
      </c>
      <c r="I17" s="44">
        <f>H17*(1+I36)</f>
        <v>288918.06556800002</v>
      </c>
      <c r="J17" s="44">
        <f>I17*(1+J36)</f>
        <v>308853.41209219198</v>
      </c>
      <c r="K17" s="44">
        <f>J17*(1+K36)</f>
        <v>330164.29752655321</v>
      </c>
      <c r="M17" t="s">
        <v>67</v>
      </c>
    </row>
    <row r="18" spans="3:14" ht="15" customHeight="1">
      <c r="C18" t="s">
        <v>14</v>
      </c>
      <c r="D18" s="39">
        <v>-131376</v>
      </c>
      <c r="E18" s="39">
        <v>-141048</v>
      </c>
      <c r="F18" s="39">
        <v>-163756</v>
      </c>
      <c r="G18" s="44">
        <f>G19-G17</f>
        <v>-158592.08639999997</v>
      </c>
      <c r="H18" s="44">
        <f>H19-H17</f>
        <v>-167296.80316800001</v>
      </c>
      <c r="I18" s="44">
        <f>I19-I17</f>
        <v>-178551.36452102399</v>
      </c>
      <c r="J18" s="44">
        <f>J19-J17</f>
        <v>-190871.40867297465</v>
      </c>
      <c r="K18" s="44">
        <f>K19-K17</f>
        <v>-204041.53587140987</v>
      </c>
      <c r="M18" t="s">
        <v>68</v>
      </c>
    </row>
    <row r="19" spans="3:14" ht="15" customHeight="1">
      <c r="C19" s="27" t="s">
        <v>15</v>
      </c>
      <c r="D19" s="41">
        <f>SUM(D17:D18)</f>
        <v>84263</v>
      </c>
      <c r="E19" s="41">
        <f>SUM(E17:E18)</f>
        <v>88186</v>
      </c>
      <c r="F19" s="41">
        <f>SUM(F17:F18)</f>
        <v>101839</v>
      </c>
      <c r="G19" s="41">
        <f>G17*G37</f>
        <v>96379.113599999997</v>
      </c>
      <c r="H19" s="41">
        <f>H17*H37</f>
        <v>102972.66883200001</v>
      </c>
      <c r="I19" s="41">
        <f>I17*I37</f>
        <v>110366.70104697601</v>
      </c>
      <c r="J19" s="41">
        <f>J17*J37</f>
        <v>117982.00341921733</v>
      </c>
      <c r="K19" s="41">
        <f>K17*K37</f>
        <v>126122.76165514333</v>
      </c>
      <c r="M19" t="s">
        <v>69</v>
      </c>
    </row>
    <row r="20" spans="3:14" ht="15" customHeight="1">
      <c r="C20" t="s">
        <v>16</v>
      </c>
      <c r="D20" s="39">
        <v>-10045</v>
      </c>
      <c r="E20" s="39">
        <v>-11581</v>
      </c>
      <c r="F20" s="39">
        <v>-14236</v>
      </c>
      <c r="G20" s="44">
        <f>-G38*G17</f>
        <v>-15808.214399999999</v>
      </c>
      <c r="H20" s="44">
        <f>-H38*H17</f>
        <v>-17026.976736000001</v>
      </c>
      <c r="I20" s="44">
        <f>-I38*I17</f>
        <v>-18201.838130784003</v>
      </c>
      <c r="J20" s="44">
        <f>-J38*J17</f>
        <v>-19457.764961808094</v>
      </c>
      <c r="K20" s="44">
        <f>-K38*K17</f>
        <v>-20800.350744172854</v>
      </c>
      <c r="M20" t="s">
        <v>70</v>
      </c>
    </row>
    <row r="21" spans="3:14" ht="15" customHeight="1">
      <c r="C21" t="s">
        <v>17</v>
      </c>
      <c r="D21" s="39">
        <v>-14194</v>
      </c>
      <c r="E21" s="39">
        <v>-15261</v>
      </c>
      <c r="F21" s="39">
        <v>-16705</v>
      </c>
      <c r="G21" s="44">
        <f>-G17*G39</f>
        <v>-18867.868799999997</v>
      </c>
      <c r="H21" s="44">
        <f>-H17*H39</f>
        <v>-18648.593568000004</v>
      </c>
      <c r="I21" s="44">
        <f>-I17*I39</f>
        <v>-19935.346524192002</v>
      </c>
      <c r="J21" s="44">
        <f>-J17*J39</f>
        <v>-21310.885434361247</v>
      </c>
      <c r="K21" s="44">
        <f>-K17*K39</f>
        <v>-22781.336529332173</v>
      </c>
      <c r="M21" t="s">
        <v>71</v>
      </c>
    </row>
    <row r="22" spans="3:14" ht="15" customHeight="1">
      <c r="C22" s="27" t="s">
        <v>18</v>
      </c>
      <c r="D22" s="41">
        <f t="shared" ref="D22:K22" si="0">D19+D20+D21</f>
        <v>60024</v>
      </c>
      <c r="E22" s="41">
        <f t="shared" si="0"/>
        <v>61344</v>
      </c>
      <c r="F22" s="41">
        <f t="shared" si="0"/>
        <v>70898</v>
      </c>
      <c r="G22" s="41">
        <f t="shared" si="0"/>
        <v>61703.030400000003</v>
      </c>
      <c r="H22" s="41">
        <f t="shared" si="0"/>
        <v>67297.098528000002</v>
      </c>
      <c r="I22" s="41">
        <f t="shared" si="0"/>
        <v>72229.516392000005</v>
      </c>
      <c r="J22" s="41">
        <f t="shared" si="0"/>
        <v>77213.353023047996</v>
      </c>
      <c r="K22" s="41">
        <f t="shared" si="0"/>
        <v>82541.074381638304</v>
      </c>
      <c r="M22" s="27" t="s">
        <v>72</v>
      </c>
    </row>
    <row r="23" spans="3:14" ht="15" customHeight="1">
      <c r="C23" t="s">
        <v>19</v>
      </c>
      <c r="D23" s="39">
        <v>3999</v>
      </c>
      <c r="E23" s="39">
        <v>5201</v>
      </c>
      <c r="F23" s="39">
        <v>5686</v>
      </c>
      <c r="G23" s="42">
        <f ca="1">G156</f>
        <v>4854.9195263044685</v>
      </c>
      <c r="H23" s="42">
        <f ca="1">H156</f>
        <v>4561.8994569280094</v>
      </c>
      <c r="I23" s="42">
        <f ca="1">I156</f>
        <v>4589.1249697401763</v>
      </c>
      <c r="J23" s="42">
        <f ca="1">J156</f>
        <v>4760.1828905108105</v>
      </c>
      <c r="K23" s="42">
        <f ca="1">K156</f>
        <v>5062.6675721273477</v>
      </c>
      <c r="M23" t="s">
        <v>73</v>
      </c>
    </row>
    <row r="24" spans="3:14" ht="15" customHeight="1">
      <c r="C24" t="s">
        <v>20</v>
      </c>
      <c r="D24" s="39">
        <v>-1456</v>
      </c>
      <c r="E24" s="39">
        <v>-2323</v>
      </c>
      <c r="F24" s="39">
        <v>-3240</v>
      </c>
      <c r="G24" s="42">
        <f ca="1">-G142</f>
        <v>-3223.1468651501777</v>
      </c>
      <c r="H24" s="42">
        <f ca="1">-H142</f>
        <v>-3223.5392651501775</v>
      </c>
      <c r="I24" s="42">
        <f ca="1">-I142</f>
        <v>-3223.5392651501775</v>
      </c>
      <c r="J24" s="42">
        <f ca="1">-J142</f>
        <v>-3223.5392651501775</v>
      </c>
      <c r="K24" s="42">
        <f ca="1">-K142</f>
        <v>-3223.5392651501775</v>
      </c>
      <c r="M24" t="s">
        <v>74</v>
      </c>
    </row>
    <row r="25" spans="3:14" ht="15" customHeight="1">
      <c r="C25" t="s">
        <v>21</v>
      </c>
      <c r="D25" s="39">
        <v>-1195</v>
      </c>
      <c r="E25" s="39">
        <v>-133</v>
      </c>
      <c r="F25" s="39">
        <v>-441</v>
      </c>
      <c r="G25" s="42">
        <f>F25</f>
        <v>-441</v>
      </c>
      <c r="H25" s="42">
        <f>G25</f>
        <v>-441</v>
      </c>
      <c r="I25" s="42">
        <f>H25</f>
        <v>-441</v>
      </c>
      <c r="J25" s="42">
        <f>I25</f>
        <v>-441</v>
      </c>
      <c r="K25" s="42">
        <f>J25</f>
        <v>-441</v>
      </c>
      <c r="M25" t="s">
        <v>75</v>
      </c>
    </row>
    <row r="26" spans="3:14" ht="15" customHeight="1">
      <c r="C26" s="27" t="s">
        <v>22</v>
      </c>
      <c r="D26" s="41">
        <f t="shared" ref="D26:K26" si="1">SUM(D22:D25)</f>
        <v>61372</v>
      </c>
      <c r="E26" s="41">
        <f t="shared" si="1"/>
        <v>64089</v>
      </c>
      <c r="F26" s="41">
        <f t="shared" si="1"/>
        <v>72903</v>
      </c>
      <c r="G26" s="41">
        <f t="shared" ca="1" si="1"/>
        <v>62893.803061154293</v>
      </c>
      <c r="H26" s="41">
        <f t="shared" ca="1" si="1"/>
        <v>68194.458719777831</v>
      </c>
      <c r="I26" s="41">
        <f t="shared" ca="1" si="1"/>
        <v>73154.10209659001</v>
      </c>
      <c r="J26" s="41">
        <f t="shared" ca="1" si="1"/>
        <v>78308.996648408633</v>
      </c>
      <c r="K26" s="41">
        <f t="shared" ca="1" si="1"/>
        <v>83939.202688615478</v>
      </c>
      <c r="M26" s="27" t="s">
        <v>76</v>
      </c>
      <c r="N26" s="27"/>
    </row>
    <row r="27" spans="3:14" ht="15" customHeight="1">
      <c r="C27" t="s">
        <v>23</v>
      </c>
      <c r="D27" s="39">
        <v>-15685</v>
      </c>
      <c r="E27" s="39">
        <v>-15738</v>
      </c>
      <c r="F27" s="39">
        <v>-13372</v>
      </c>
      <c r="G27" s="44">
        <f ca="1">-G40*G26</f>
        <v>-10503.265111212768</v>
      </c>
      <c r="H27" s="44">
        <f ca="1">-H40*H26</f>
        <v>-11593.057982362232</v>
      </c>
      <c r="I27" s="44">
        <f ca="1">-I40*I26</f>
        <v>-12363.043254323713</v>
      </c>
      <c r="J27" s="44">
        <f ca="1">-J40*J26</f>
        <v>-13234.22043358106</v>
      </c>
      <c r="K27" s="44">
        <f ca="1">-K40*K26</f>
        <v>-14185.725254376017</v>
      </c>
      <c r="M27" t="s">
        <v>77</v>
      </c>
    </row>
    <row r="28" spans="3:14" ht="15" customHeight="1">
      <c r="C28" s="27" t="s">
        <v>24</v>
      </c>
      <c r="D28" s="41">
        <f t="shared" ref="D28:K28" si="2">SUM(D26:D27)</f>
        <v>45687</v>
      </c>
      <c r="E28" s="41">
        <f t="shared" si="2"/>
        <v>48351</v>
      </c>
      <c r="F28" s="41">
        <f t="shared" si="2"/>
        <v>59531</v>
      </c>
      <c r="G28" s="41">
        <f t="shared" ca="1" si="2"/>
        <v>52390.537949941528</v>
      </c>
      <c r="H28" s="41">
        <f t="shared" ca="1" si="2"/>
        <v>56601.400737415599</v>
      </c>
      <c r="I28" s="41">
        <f t="shared" ca="1" si="2"/>
        <v>60791.058842266299</v>
      </c>
      <c r="J28" s="41">
        <f t="shared" ca="1" si="2"/>
        <v>65074.776214827572</v>
      </c>
      <c r="K28" s="41">
        <f t="shared" ca="1" si="2"/>
        <v>69753.477434239467</v>
      </c>
      <c r="M28" s="27" t="s">
        <v>78</v>
      </c>
    </row>
    <row r="29" spans="3:14" ht="15" customHeight="1">
      <c r="C29" s="29"/>
      <c r="D29" s="42"/>
      <c r="E29" s="42"/>
      <c r="F29" s="42"/>
      <c r="G29" s="42"/>
      <c r="H29" s="42"/>
      <c r="I29" s="42"/>
      <c r="J29" s="42"/>
      <c r="K29" s="42"/>
    </row>
    <row r="30" spans="3:14" ht="15" customHeight="1">
      <c r="C30" s="30" t="s">
        <v>25</v>
      </c>
      <c r="D30" s="39">
        <v>10505</v>
      </c>
      <c r="E30" s="39">
        <v>10157</v>
      </c>
      <c r="F30" s="39">
        <v>10903</v>
      </c>
      <c r="G30" s="42">
        <f>G106</f>
        <v>11085.020171261172</v>
      </c>
      <c r="H30" s="42">
        <f>H106</f>
        <v>11711.890744865921</v>
      </c>
      <c r="I30" s="42">
        <f>I106</f>
        <v>12226.380531123083</v>
      </c>
      <c r="J30" s="42">
        <f>J106</f>
        <v>13365.451007770575</v>
      </c>
      <c r="K30" s="42">
        <f>K106</f>
        <v>14603.503412486743</v>
      </c>
      <c r="M30" t="s">
        <v>79</v>
      </c>
    </row>
    <row r="31" spans="3:14" ht="15" customHeight="1">
      <c r="C31" s="31" t="s">
        <v>26</v>
      </c>
      <c r="D31" s="41">
        <f t="shared" ref="D31:K31" si="3">D22+D30</f>
        <v>70529</v>
      </c>
      <c r="E31" s="41">
        <f t="shared" si="3"/>
        <v>71501</v>
      </c>
      <c r="F31" s="41">
        <f t="shared" si="3"/>
        <v>81801</v>
      </c>
      <c r="G31" s="41">
        <f t="shared" si="3"/>
        <v>72788.050571261178</v>
      </c>
      <c r="H31" s="41">
        <f t="shared" si="3"/>
        <v>79008.989272865918</v>
      </c>
      <c r="I31" s="41">
        <f t="shared" si="3"/>
        <v>84455.896923123088</v>
      </c>
      <c r="J31" s="41">
        <f t="shared" si="3"/>
        <v>90578.804030818574</v>
      </c>
      <c r="K31" s="41">
        <f t="shared" si="3"/>
        <v>97144.577794125042</v>
      </c>
      <c r="M31" s="27" t="s">
        <v>80</v>
      </c>
    </row>
    <row r="32" spans="3:14" ht="15" customHeight="1">
      <c r="C32" s="30" t="s">
        <v>27</v>
      </c>
      <c r="D32" s="39">
        <v>4210</v>
      </c>
      <c r="E32" s="39">
        <v>4840</v>
      </c>
      <c r="F32" s="39">
        <v>5340</v>
      </c>
      <c r="G32" s="42">
        <f>F32*(1+G36)</f>
        <v>5126.3999999999996</v>
      </c>
      <c r="H32" s="42">
        <f>G32*(1+H36)</f>
        <v>5433.9839999999995</v>
      </c>
      <c r="I32" s="42">
        <f>H32*(1+I36)</f>
        <v>5808.9288959999994</v>
      </c>
      <c r="J32" s="42">
        <f>I32*(1+J36)</f>
        <v>6209.7449898239993</v>
      </c>
      <c r="K32" s="42">
        <f>J32*(1+K36)</f>
        <v>6638.2173941218552</v>
      </c>
      <c r="M32" t="s">
        <v>81</v>
      </c>
    </row>
    <row r="33" spans="3:20" ht="15" customHeight="1">
      <c r="C33" s="31" t="s">
        <v>28</v>
      </c>
      <c r="D33" s="41">
        <f t="shared" ref="D33:K33" si="4">SUM(D31:D32)</f>
        <v>74739</v>
      </c>
      <c r="E33" s="41">
        <f t="shared" si="4"/>
        <v>76341</v>
      </c>
      <c r="F33" s="41">
        <f t="shared" si="4"/>
        <v>87141</v>
      </c>
      <c r="G33" s="41">
        <f t="shared" si="4"/>
        <v>77914.450571261172</v>
      </c>
      <c r="H33" s="41">
        <f t="shared" si="4"/>
        <v>84442.973272865915</v>
      </c>
      <c r="I33" s="41">
        <f t="shared" si="4"/>
        <v>90264.825819123085</v>
      </c>
      <c r="J33" s="41">
        <f t="shared" si="4"/>
        <v>96788.549020642575</v>
      </c>
      <c r="K33" s="41">
        <f t="shared" si="4"/>
        <v>103782.79518824689</v>
      </c>
      <c r="M33" s="27" t="s">
        <v>82</v>
      </c>
    </row>
    <row r="34" spans="3:20" ht="15" customHeight="1">
      <c r="C34" s="29"/>
      <c r="G34" s="62"/>
    </row>
    <row r="35" spans="3:20" ht="15" customHeight="1">
      <c r="C35" s="32" t="s">
        <v>83</v>
      </c>
    </row>
    <row r="36" spans="3:20" ht="15" customHeight="1">
      <c r="C36" s="29" t="s">
        <v>30</v>
      </c>
      <c r="D36" s="63"/>
      <c r="E36" s="63">
        <f>E17/D17-1</f>
        <v>6.304518199398057E-2</v>
      </c>
      <c r="F36" s="63">
        <f>F17/E17-1</f>
        <v>0.15861957650261305</v>
      </c>
      <c r="G36" s="35">
        <v>-0.04</v>
      </c>
      <c r="H36" s="35">
        <v>0.06</v>
      </c>
      <c r="I36" s="35">
        <v>6.9000000000000006E-2</v>
      </c>
      <c r="J36" s="63">
        <f t="shared" ref="J36:K40" si="5">I36</f>
        <v>6.9000000000000006E-2</v>
      </c>
      <c r="K36" s="63">
        <f t="shared" si="5"/>
        <v>6.9000000000000006E-2</v>
      </c>
      <c r="M36" t="s">
        <v>84</v>
      </c>
      <c r="O36" s="35"/>
      <c r="P36" s="35"/>
      <c r="Q36" s="35"/>
      <c r="R36" s="35"/>
      <c r="S36" s="35"/>
      <c r="T36" s="35"/>
    </row>
    <row r="37" spans="3:20" ht="15" customHeight="1">
      <c r="C37" s="29" t="s">
        <v>31</v>
      </c>
      <c r="D37" s="63">
        <f>D19/D17</f>
        <v>0.39075955648097049</v>
      </c>
      <c r="E37" s="63">
        <f>E19/E17</f>
        <v>0.38469860491899105</v>
      </c>
      <c r="F37" s="63">
        <f>F19/F17</f>
        <v>0.38343718820007905</v>
      </c>
      <c r="G37" s="35">
        <v>0.378</v>
      </c>
      <c r="H37" s="35">
        <v>0.38100000000000001</v>
      </c>
      <c r="I37" s="35">
        <v>0.38200000000000001</v>
      </c>
      <c r="J37" s="63">
        <f t="shared" si="5"/>
        <v>0.38200000000000001</v>
      </c>
      <c r="K37" s="63">
        <f t="shared" si="5"/>
        <v>0.38200000000000001</v>
      </c>
      <c r="M37" t="s">
        <v>85</v>
      </c>
      <c r="O37" s="35"/>
      <c r="P37" s="35"/>
      <c r="Q37" s="35"/>
      <c r="R37" s="35"/>
      <c r="S37" s="35"/>
      <c r="T37" s="35"/>
    </row>
    <row r="38" spans="3:20" ht="15" customHeight="1">
      <c r="C38" s="29" t="s">
        <v>32</v>
      </c>
      <c r="D38" s="63">
        <f>-D20/D17</f>
        <v>4.6582482760539605E-2</v>
      </c>
      <c r="E38" s="63">
        <f>-E20/E17</f>
        <v>5.0520428906706681E-2</v>
      </c>
      <c r="F38" s="63">
        <f>-F20/F17</f>
        <v>5.3600406634161032E-2</v>
      </c>
      <c r="G38" s="35">
        <v>6.2E-2</v>
      </c>
      <c r="H38" s="35">
        <v>6.3E-2</v>
      </c>
      <c r="I38" s="35">
        <v>6.3E-2</v>
      </c>
      <c r="J38" s="63">
        <f t="shared" si="5"/>
        <v>6.3E-2</v>
      </c>
      <c r="K38" s="63">
        <f t="shared" si="5"/>
        <v>6.3E-2</v>
      </c>
      <c r="M38" t="s">
        <v>86</v>
      </c>
      <c r="O38" s="35"/>
      <c r="P38" s="35"/>
      <c r="Q38" s="35"/>
      <c r="R38" s="35"/>
      <c r="S38" s="35"/>
      <c r="T38" s="35"/>
    </row>
    <row r="39" spans="3:20" ht="15" customHeight="1">
      <c r="C39" s="29" t="s">
        <v>33</v>
      </c>
      <c r="D39" s="63">
        <f>-D21/D17</f>
        <v>6.5822972653369755E-2</v>
      </c>
      <c r="E39" s="63">
        <f>-E21/E17</f>
        <v>6.6573893924984945E-2</v>
      </c>
      <c r="F39" s="63">
        <f>-F21/F17</f>
        <v>6.2896515371147807E-2</v>
      </c>
      <c r="G39" s="35">
        <v>7.3999999999999996E-2</v>
      </c>
      <c r="H39" s="35">
        <v>6.9000000000000006E-2</v>
      </c>
      <c r="I39" s="35">
        <v>6.9000000000000006E-2</v>
      </c>
      <c r="J39" s="63">
        <f t="shared" si="5"/>
        <v>6.9000000000000006E-2</v>
      </c>
      <c r="K39" s="63">
        <f t="shared" si="5"/>
        <v>6.9000000000000006E-2</v>
      </c>
      <c r="M39" t="s">
        <v>86</v>
      </c>
      <c r="O39" s="35"/>
      <c r="P39" s="35"/>
      <c r="Q39" s="35"/>
      <c r="R39" s="35"/>
      <c r="S39" s="35"/>
      <c r="T39" s="35"/>
    </row>
    <row r="40" spans="3:20" ht="15" customHeight="1">
      <c r="C40" s="29" t="s">
        <v>34</v>
      </c>
      <c r="D40" s="63">
        <f>-(D27/D26)</f>
        <v>0.25557257381216192</v>
      </c>
      <c r="E40" s="63">
        <f>-(E27/E26)</f>
        <v>0.24556476150353415</v>
      </c>
      <c r="F40" s="63">
        <f>-(F27/F26)</f>
        <v>0.18342180705869443</v>
      </c>
      <c r="G40" s="35">
        <v>0.16700000000000001</v>
      </c>
      <c r="H40" s="35">
        <v>0.17</v>
      </c>
      <c r="I40" s="35">
        <v>0.16900000000000001</v>
      </c>
      <c r="J40" s="63">
        <f t="shared" si="5"/>
        <v>0.16900000000000001</v>
      </c>
      <c r="K40" s="63">
        <f t="shared" si="5"/>
        <v>0.16900000000000001</v>
      </c>
      <c r="M40" t="s">
        <v>86</v>
      </c>
      <c r="O40" s="35"/>
      <c r="P40" s="35"/>
      <c r="Q40" s="35"/>
      <c r="R40" s="35"/>
      <c r="S40" s="35"/>
      <c r="T40" s="35"/>
    </row>
    <row r="41" spans="3:20" ht="15" customHeight="1">
      <c r="C41" s="29"/>
      <c r="G41" s="62"/>
    </row>
    <row r="42" spans="3:20" ht="15" customHeight="1">
      <c r="C42" s="16" t="s">
        <v>35</v>
      </c>
      <c r="D42" s="20"/>
      <c r="E42" s="20"/>
      <c r="F42" s="20"/>
      <c r="G42" s="17"/>
      <c r="H42" s="17"/>
      <c r="I42" s="17"/>
      <c r="J42" s="17"/>
      <c r="K42" s="17"/>
    </row>
    <row r="43" spans="3:20" ht="15" customHeight="1">
      <c r="C43" s="36" t="str">
        <f>C14</f>
        <v xml:space="preserve">Fiscal year  </v>
      </c>
      <c r="D43" s="37"/>
      <c r="E43" s="37">
        <f t="shared" ref="E43:K44" si="6">E14</f>
        <v>2017</v>
      </c>
      <c r="F43" s="37">
        <f t="shared" si="6"/>
        <v>2018</v>
      </c>
      <c r="G43" s="65">
        <f t="shared" si="6"/>
        <v>2019</v>
      </c>
      <c r="H43" s="65">
        <f t="shared" si="6"/>
        <v>2020</v>
      </c>
      <c r="I43" s="65">
        <f t="shared" si="6"/>
        <v>2021</v>
      </c>
      <c r="J43" s="65">
        <f t="shared" si="6"/>
        <v>2022</v>
      </c>
      <c r="K43" s="65">
        <f t="shared" si="6"/>
        <v>2023</v>
      </c>
    </row>
    <row r="44" spans="3:20" ht="15" customHeight="1">
      <c r="C44" s="17" t="str">
        <f>C15</f>
        <v>Fiscal year end date</v>
      </c>
      <c r="D44" s="38"/>
      <c r="E44" s="38">
        <f t="shared" si="6"/>
        <v>43008</v>
      </c>
      <c r="F44" s="38">
        <f t="shared" si="6"/>
        <v>43372</v>
      </c>
      <c r="G44" s="38">
        <f t="shared" si="6"/>
        <v>43738</v>
      </c>
      <c r="H44" s="38">
        <f t="shared" si="6"/>
        <v>44104</v>
      </c>
      <c r="I44" s="38">
        <f t="shared" si="6"/>
        <v>44469</v>
      </c>
      <c r="J44" s="38">
        <f t="shared" si="6"/>
        <v>44834</v>
      </c>
      <c r="K44" s="38">
        <f t="shared" si="6"/>
        <v>45199</v>
      </c>
    </row>
    <row r="45" spans="3:20" ht="15" customHeight="1">
      <c r="C45" t="s">
        <v>38</v>
      </c>
      <c r="D45" s="39"/>
      <c r="E45" s="39">
        <f>20289+53892+194714</f>
        <v>268895</v>
      </c>
      <c r="F45" s="39">
        <f>25913+40388+170799</f>
        <v>237100</v>
      </c>
      <c r="G45" s="42">
        <f ca="1">G90+F45</f>
        <v>212429.58576893221</v>
      </c>
      <c r="H45" s="42">
        <f ca="1">H90+G45</f>
        <v>209968.51209477236</v>
      </c>
      <c r="I45" s="42">
        <f ca="1">I90+H45</f>
        <v>214950.46658487356</v>
      </c>
      <c r="J45" s="42">
        <f ca="1">J90+I45</f>
        <v>225807.2084624237</v>
      </c>
      <c r="K45" s="42">
        <f ca="1">K90+J45</f>
        <v>242958.30747529364</v>
      </c>
      <c r="M45" t="s">
        <v>87</v>
      </c>
    </row>
    <row r="46" spans="3:20" ht="15" customHeight="1">
      <c r="C46" t="s">
        <v>39</v>
      </c>
      <c r="D46" s="39"/>
      <c r="E46" s="39">
        <v>17874</v>
      </c>
      <c r="F46" s="39">
        <v>23186</v>
      </c>
      <c r="G46" s="42">
        <f>F46*(1+G36)</f>
        <v>22258.559999999998</v>
      </c>
      <c r="H46" s="42">
        <f>G46*(1+H36)</f>
        <v>23594.0736</v>
      </c>
      <c r="I46" s="42">
        <f>H46*(1+I36)</f>
        <v>25222.064678399998</v>
      </c>
      <c r="J46" s="42">
        <f>I46*(1+J36)</f>
        <v>26962.387141209598</v>
      </c>
      <c r="K46" s="42">
        <f>J46*(1+K36)</f>
        <v>28822.791853953058</v>
      </c>
      <c r="M46" t="s">
        <v>88</v>
      </c>
    </row>
    <row r="47" spans="3:20" ht="15" customHeight="1">
      <c r="C47" t="s">
        <v>40</v>
      </c>
      <c r="D47" s="39"/>
      <c r="E47" s="39">
        <v>4855</v>
      </c>
      <c r="F47" s="39">
        <v>3956</v>
      </c>
      <c r="G47" s="42">
        <f>F47*G18/F18</f>
        <v>3831.2507254598299</v>
      </c>
      <c r="H47" s="42">
        <f>G47*H18/G18</f>
        <v>4041.5383456643303</v>
      </c>
      <c r="I47" s="42">
        <f>H47*I18/H18</f>
        <v>4313.4248396710409</v>
      </c>
      <c r="J47" s="42">
        <f>I47*J18/I18</f>
        <v>4611.0511536083422</v>
      </c>
      <c r="K47" s="42">
        <f>J47*K18/J18</f>
        <v>4929.2136832073174</v>
      </c>
      <c r="M47" t="s">
        <v>89</v>
      </c>
    </row>
    <row r="48" spans="3:20" ht="15" customHeight="1">
      <c r="C48" t="s">
        <v>41</v>
      </c>
      <c r="D48" s="39"/>
      <c r="E48" s="39">
        <f>17799+13936</f>
        <v>31735</v>
      </c>
      <c r="F48" s="39">
        <f>25809+12087</f>
        <v>37896</v>
      </c>
      <c r="G48" s="42">
        <f>F48*(1+G36)</f>
        <v>36380.159999999996</v>
      </c>
      <c r="H48" s="42">
        <f>G48*(1+H36)</f>
        <v>38562.969599999997</v>
      </c>
      <c r="I48" s="42">
        <f>H48*(1+I36)</f>
        <v>41223.814502399997</v>
      </c>
      <c r="J48" s="42">
        <f>I48*(1+J36)</f>
        <v>44068.257703065596</v>
      </c>
      <c r="K48" s="42">
        <f>J48*(1+K36)</f>
        <v>47108.967484577122</v>
      </c>
      <c r="M48" t="s">
        <v>88</v>
      </c>
      <c r="N48" s="42"/>
    </row>
    <row r="49" spans="3:14" ht="15" customHeight="1">
      <c r="C49" t="s">
        <v>42</v>
      </c>
      <c r="D49" s="39"/>
      <c r="E49" s="39">
        <v>33783</v>
      </c>
      <c r="F49" s="39">
        <v>41304</v>
      </c>
      <c r="G49" s="42">
        <f>G99</f>
        <v>45042.85982873883</v>
      </c>
      <c r="H49" s="42">
        <f>H99</f>
        <v>48611.181883872909</v>
      </c>
      <c r="I49" s="42">
        <f>I99</f>
        <v>51947.567835949827</v>
      </c>
      <c r="J49" s="42">
        <f>J99</f>
        <v>55218.714198720052</v>
      </c>
      <c r="K49" s="42">
        <f>K99</f>
        <v>58399.73337534142</v>
      </c>
      <c r="M49" t="s">
        <v>90</v>
      </c>
    </row>
    <row r="50" spans="3:14" ht="15" customHeight="1">
      <c r="C50" t="s">
        <v>43</v>
      </c>
      <c r="D50" s="39"/>
      <c r="E50" s="39">
        <v>18177</v>
      </c>
      <c r="F50" s="39">
        <v>22283</v>
      </c>
      <c r="G50" s="42">
        <f>F50*(1+G36)</f>
        <v>21391.68</v>
      </c>
      <c r="H50" s="42">
        <f>G50*(1+H36)</f>
        <v>22675.180800000002</v>
      </c>
      <c r="I50" s="42">
        <f>H50*(1+I36)</f>
        <v>24239.7682752</v>
      </c>
      <c r="J50" s="42">
        <f>I50*(1+J36)</f>
        <v>25912.3122861888</v>
      </c>
      <c r="K50" s="42">
        <f>J50*(1+K36)</f>
        <v>27700.261833935827</v>
      </c>
      <c r="M50" t="s">
        <v>88</v>
      </c>
    </row>
    <row r="51" spans="3:14" ht="15" customHeight="1">
      <c r="C51" s="31" t="s">
        <v>44</v>
      </c>
      <c r="D51" s="41"/>
      <c r="E51" s="41">
        <f t="shared" ref="E51:K51" si="7">SUM(E45:E50)</f>
        <v>375319</v>
      </c>
      <c r="F51" s="41">
        <f t="shared" si="7"/>
        <v>365725</v>
      </c>
      <c r="G51" s="45">
        <f t="shared" ca="1" si="7"/>
        <v>341334.09632313089</v>
      </c>
      <c r="H51" s="45">
        <f t="shared" ca="1" si="7"/>
        <v>347453.45632430958</v>
      </c>
      <c r="I51" s="45">
        <f t="shared" ca="1" si="7"/>
        <v>361897.10671649437</v>
      </c>
      <c r="J51" s="45">
        <f t="shared" ca="1" si="7"/>
        <v>382579.9309452161</v>
      </c>
      <c r="K51" s="45">
        <f t="shared" ca="1" si="7"/>
        <v>409919.27570630837</v>
      </c>
    </row>
    <row r="52" spans="3:14" ht="15" customHeight="1">
      <c r="C52" s="30"/>
      <c r="D52" s="42"/>
      <c r="E52" s="42"/>
      <c r="F52" s="42"/>
      <c r="G52" s="42"/>
      <c r="H52" s="42"/>
      <c r="I52" s="42"/>
      <c r="J52" s="42"/>
      <c r="K52" s="42"/>
    </row>
    <row r="53" spans="3:14" ht="15" customHeight="1">
      <c r="C53" s="30" t="s">
        <v>45</v>
      </c>
      <c r="D53" s="39"/>
      <c r="E53" s="39">
        <v>44242</v>
      </c>
      <c r="F53" s="39">
        <v>55888</v>
      </c>
      <c r="G53" s="42">
        <f>F53*G18/F18</f>
        <v>54125.616922269706</v>
      </c>
      <c r="H53" s="42">
        <f>G53*H18/G18</f>
        <v>57096.434545623881</v>
      </c>
      <c r="I53" s="42">
        <f>H53*I18/H18</f>
        <v>60937.484185928995</v>
      </c>
      <c r="J53" s="42">
        <f>I53*J18/I18</f>
        <v>65142.170594758099</v>
      </c>
      <c r="K53" s="42">
        <f>J53*K18/J18</f>
        <v>69636.980365796408</v>
      </c>
      <c r="M53" t="s">
        <v>89</v>
      </c>
    </row>
    <row r="54" spans="3:14" ht="15" customHeight="1">
      <c r="C54" s="30" t="s">
        <v>46</v>
      </c>
      <c r="D54" s="39"/>
      <c r="E54" s="39">
        <v>30551</v>
      </c>
      <c r="F54" s="39">
        <v>32687</v>
      </c>
      <c r="G54" s="42">
        <f>F54*(1+G36)</f>
        <v>31379.52</v>
      </c>
      <c r="H54" s="42">
        <f>G54*(1+H36)</f>
        <v>33262.2912</v>
      </c>
      <c r="I54" s="42">
        <f>H54*(1+I36)</f>
        <v>35557.389292799999</v>
      </c>
      <c r="J54" s="42">
        <f>I54*(1+J36)</f>
        <v>38010.849154003197</v>
      </c>
      <c r="K54" s="42">
        <f>J54*(1+K36)</f>
        <v>40633.597745629413</v>
      </c>
      <c r="M54" t="s">
        <v>88</v>
      </c>
    </row>
    <row r="55" spans="3:14" ht="15" customHeight="1">
      <c r="C55" s="30" t="s">
        <v>47</v>
      </c>
      <c r="D55" s="39"/>
      <c r="E55" s="39">
        <f>7548+2836</f>
        <v>10384</v>
      </c>
      <c r="F55" s="39">
        <f>7543+2797</f>
        <v>10340</v>
      </c>
      <c r="G55" s="42">
        <f>F55*(1+G36)</f>
        <v>9926.4</v>
      </c>
      <c r="H55" s="42">
        <f>G55*(1+H36)</f>
        <v>10521.984</v>
      </c>
      <c r="I55" s="42">
        <f>H55*(1+I36)</f>
        <v>11248.000896</v>
      </c>
      <c r="J55" s="42">
        <f>I55*(1+J36)</f>
        <v>12024.112957824</v>
      </c>
      <c r="K55" s="42">
        <f>J55*(1+K36)</f>
        <v>12853.776751913854</v>
      </c>
      <c r="M55" t="s">
        <v>88</v>
      </c>
      <c r="N55" s="42"/>
    </row>
    <row r="56" spans="3:14" ht="15" customHeight="1">
      <c r="C56" s="30" t="s">
        <v>48</v>
      </c>
      <c r="D56" s="39"/>
      <c r="E56" s="39">
        <v>11977</v>
      </c>
      <c r="F56" s="39">
        <v>11964</v>
      </c>
      <c r="G56" s="42">
        <f ca="1">G135</f>
        <v>12000</v>
      </c>
      <c r="H56" s="42">
        <f ca="1">H135</f>
        <v>12000</v>
      </c>
      <c r="I56" s="42">
        <f ca="1">I135</f>
        <v>12000</v>
      </c>
      <c r="J56" s="42">
        <f ca="1">J135</f>
        <v>12000</v>
      </c>
      <c r="K56" s="42">
        <f ca="1">K135</f>
        <v>12000</v>
      </c>
      <c r="M56" t="s">
        <v>91</v>
      </c>
    </row>
    <row r="57" spans="3:14" ht="15" customHeight="1">
      <c r="C57" s="30" t="s">
        <v>92</v>
      </c>
      <c r="D57" s="39"/>
      <c r="E57" s="39">
        <f>6496+97207</f>
        <v>103703</v>
      </c>
      <c r="F57" s="39">
        <f>8784+93735</f>
        <v>102519</v>
      </c>
      <c r="G57" s="42">
        <f>F57</f>
        <v>102519</v>
      </c>
      <c r="H57" s="42">
        <f>G57</f>
        <v>102519</v>
      </c>
      <c r="I57" s="42">
        <f>H57</f>
        <v>102519</v>
      </c>
      <c r="J57" s="42">
        <f>I57</f>
        <v>102519</v>
      </c>
      <c r="K57" s="42">
        <f>J57</f>
        <v>102519</v>
      </c>
      <c r="M57" t="s">
        <v>93</v>
      </c>
    </row>
    <row r="58" spans="3:14" ht="15.75" customHeight="1">
      <c r="C58" s="30" t="s">
        <v>50</v>
      </c>
      <c r="D58" s="39"/>
      <c r="E58" s="39">
        <v>40415</v>
      </c>
      <c r="F58" s="39">
        <v>45180</v>
      </c>
      <c r="G58" s="42">
        <f>F58*(1+G36)</f>
        <v>43372.799999999996</v>
      </c>
      <c r="H58" s="42">
        <f>G58*(1+H36)</f>
        <v>45975.167999999998</v>
      </c>
      <c r="I58" s="42">
        <f>H58*(1+I36)</f>
        <v>49147.454591999995</v>
      </c>
      <c r="J58" s="42">
        <f>I58*(1+J36)</f>
        <v>52538.628958847992</v>
      </c>
      <c r="K58" s="42">
        <f>J58*(1+K36)</f>
        <v>56163.794357008504</v>
      </c>
      <c r="M58" t="s">
        <v>88</v>
      </c>
    </row>
    <row r="59" spans="3:14" ht="15" customHeight="1">
      <c r="C59" s="31" t="s">
        <v>51</v>
      </c>
      <c r="D59" s="41"/>
      <c r="E59" s="41">
        <f t="shared" ref="E59:K59" si="8">SUM(E53:E58)</f>
        <v>241272</v>
      </c>
      <c r="F59" s="41">
        <f t="shared" si="8"/>
        <v>258578</v>
      </c>
      <c r="G59" s="45">
        <f t="shared" ca="1" si="8"/>
        <v>253323.33692226969</v>
      </c>
      <c r="H59" s="45">
        <f t="shared" ca="1" si="8"/>
        <v>261374.87774562387</v>
      </c>
      <c r="I59" s="45">
        <f t="shared" ca="1" si="8"/>
        <v>271409.32896672899</v>
      </c>
      <c r="J59" s="45">
        <f t="shared" ca="1" si="8"/>
        <v>282234.7616654333</v>
      </c>
      <c r="K59" s="45">
        <f t="shared" ca="1" si="8"/>
        <v>293807.14922034822</v>
      </c>
    </row>
    <row r="60" spans="3:14" ht="15" customHeight="1">
      <c r="C60" s="31"/>
      <c r="D60" s="41"/>
      <c r="E60" s="41"/>
      <c r="F60" s="41"/>
      <c r="G60" s="42"/>
      <c r="H60" s="42"/>
      <c r="I60" s="42"/>
      <c r="J60" s="42"/>
      <c r="K60" s="42"/>
    </row>
    <row r="61" spans="3:14" ht="15" customHeight="1">
      <c r="C61" s="30" t="s">
        <v>52</v>
      </c>
      <c r="D61" s="39"/>
      <c r="E61" s="39">
        <v>35867</v>
      </c>
      <c r="F61" s="39">
        <v>40201</v>
      </c>
      <c r="G61" s="42">
        <f>F61</f>
        <v>40201</v>
      </c>
      <c r="H61" s="42">
        <f>G61</f>
        <v>40201</v>
      </c>
      <c r="I61" s="42">
        <f>H61</f>
        <v>40201</v>
      </c>
      <c r="J61" s="42">
        <f>I61</f>
        <v>40201</v>
      </c>
      <c r="K61" s="42">
        <f>J61</f>
        <v>40201</v>
      </c>
      <c r="M61" t="s">
        <v>94</v>
      </c>
    </row>
    <row r="62" spans="3:14" ht="15.75" customHeight="1">
      <c r="C62" s="30" t="s">
        <v>53</v>
      </c>
      <c r="D62" s="44"/>
      <c r="E62" s="44">
        <f>98330</f>
        <v>98330</v>
      </c>
      <c r="F62" s="39">
        <v>70400</v>
      </c>
      <c r="G62" s="42">
        <f ca="1">G116+G117+G118</f>
        <v>-34400.462050058472</v>
      </c>
      <c r="H62" s="42">
        <f ca="1">H116+H117+H118</f>
        <v>-30189.599262584401</v>
      </c>
      <c r="I62" s="42">
        <f ca="1">I116+I117+I118</f>
        <v>-25999.941157733701</v>
      </c>
      <c r="J62" s="42">
        <f ca="1">J116+J117+J118</f>
        <v>-21716.223785172428</v>
      </c>
      <c r="K62" s="42">
        <f ca="1">K116+K117+K118</f>
        <v>-17037.522565760533</v>
      </c>
      <c r="M62" t="s">
        <v>95</v>
      </c>
      <c r="N62" s="42"/>
    </row>
    <row r="63" spans="3:14" ht="15.75" customHeight="1">
      <c r="C63" s="30" t="s">
        <v>54</v>
      </c>
      <c r="D63" s="39"/>
      <c r="E63" s="39">
        <v>-150</v>
      </c>
      <c r="F63" s="39">
        <v>-3454</v>
      </c>
      <c r="G63" s="42">
        <f>F63</f>
        <v>-3454</v>
      </c>
      <c r="H63" s="42">
        <f>G63</f>
        <v>-3454</v>
      </c>
      <c r="I63" s="42">
        <f>H63</f>
        <v>-3454</v>
      </c>
      <c r="J63" s="42">
        <f>I63</f>
        <v>-3454</v>
      </c>
      <c r="K63" s="42">
        <f>J63</f>
        <v>-3454</v>
      </c>
      <c r="M63" t="s">
        <v>93</v>
      </c>
    </row>
    <row r="64" spans="3:14" ht="15" customHeight="1">
      <c r="C64" s="31" t="s">
        <v>55</v>
      </c>
      <c r="D64" s="45"/>
      <c r="E64" s="45">
        <f t="shared" ref="E64:K64" si="9">SUM(E61:E63)</f>
        <v>134047</v>
      </c>
      <c r="F64" s="45">
        <f t="shared" si="9"/>
        <v>107147</v>
      </c>
      <c r="G64" s="45">
        <f t="shared" ca="1" si="9"/>
        <v>2346.5379499415285</v>
      </c>
      <c r="H64" s="45">
        <f t="shared" ca="1" si="9"/>
        <v>6557.400737415599</v>
      </c>
      <c r="I64" s="45">
        <f t="shared" ca="1" si="9"/>
        <v>10747.058842266299</v>
      </c>
      <c r="J64" s="45">
        <f t="shared" ca="1" si="9"/>
        <v>15030.776214827572</v>
      </c>
      <c r="K64" s="45">
        <f t="shared" ca="1" si="9"/>
        <v>19709.477434239467</v>
      </c>
    </row>
    <row r="65" spans="3:13" ht="15" customHeight="1">
      <c r="D65" s="42"/>
      <c r="E65" s="42"/>
      <c r="F65" s="42"/>
    </row>
    <row r="66" spans="3:13" ht="15" customHeight="1">
      <c r="C66" s="23" t="s">
        <v>56</v>
      </c>
      <c r="D66" s="46"/>
      <c r="E66" s="46">
        <f t="shared" ref="E66:K66" si="10">ROUND(E51-E59-E64,3)</f>
        <v>0</v>
      </c>
      <c r="F66" s="46">
        <f t="shared" si="10"/>
        <v>0</v>
      </c>
      <c r="G66" s="46">
        <f t="shared" ca="1" si="10"/>
        <v>85664.221000000005</v>
      </c>
      <c r="H66" s="46">
        <f t="shared" ca="1" si="10"/>
        <v>79521.178</v>
      </c>
      <c r="I66" s="46">
        <f t="shared" ca="1" si="10"/>
        <v>79740.718999999997</v>
      </c>
      <c r="J66" s="46">
        <f t="shared" ca="1" si="10"/>
        <v>85314.392999999996</v>
      </c>
      <c r="K66" s="46">
        <f t="shared" ca="1" si="10"/>
        <v>96402.649000000005</v>
      </c>
    </row>
    <row r="67" spans="3:13" ht="15" customHeight="1">
      <c r="E67" s="42"/>
      <c r="F67" s="42"/>
      <c r="H67" s="42"/>
      <c r="I67" s="42"/>
      <c r="J67" s="42"/>
      <c r="K67" s="42"/>
    </row>
    <row r="68" spans="3:13" ht="15" customHeight="1">
      <c r="C68" s="16" t="s">
        <v>96</v>
      </c>
      <c r="D68" s="20"/>
      <c r="E68" s="20"/>
      <c r="F68" s="20"/>
      <c r="G68" s="20"/>
      <c r="H68" s="20"/>
      <c r="I68" s="20"/>
      <c r="J68" s="20"/>
      <c r="K68" s="20"/>
    </row>
    <row r="69" spans="3:13" ht="15" customHeight="1">
      <c r="C69" s="36" t="str">
        <f>C14</f>
        <v xml:space="preserve">Fiscal year  </v>
      </c>
      <c r="D69" s="37"/>
      <c r="E69" s="37"/>
      <c r="F69" s="37"/>
      <c r="G69" s="65">
        <f t="shared" ref="G69:K70" si="11">G14</f>
        <v>2019</v>
      </c>
      <c r="H69" s="65">
        <f t="shared" si="11"/>
        <v>2020</v>
      </c>
      <c r="I69" s="65">
        <f t="shared" si="11"/>
        <v>2021</v>
      </c>
      <c r="J69" s="65">
        <f t="shared" si="11"/>
        <v>2022</v>
      </c>
      <c r="K69" s="65">
        <f t="shared" si="11"/>
        <v>2023</v>
      </c>
    </row>
    <row r="70" spans="3:13" ht="15" customHeight="1">
      <c r="C70" s="17" t="str">
        <f>C15</f>
        <v>Fiscal year end date</v>
      </c>
      <c r="D70" s="38"/>
      <c r="E70" s="38"/>
      <c r="F70" s="38"/>
      <c r="G70" s="38">
        <f t="shared" si="11"/>
        <v>43738</v>
      </c>
      <c r="H70" s="38">
        <f t="shared" si="11"/>
        <v>44104</v>
      </c>
      <c r="I70" s="38">
        <f t="shared" si="11"/>
        <v>44469</v>
      </c>
      <c r="J70" s="38">
        <f t="shared" si="11"/>
        <v>44834</v>
      </c>
      <c r="K70" s="38">
        <f t="shared" si="11"/>
        <v>45199</v>
      </c>
    </row>
    <row r="72" spans="3:13" ht="15" customHeight="1">
      <c r="C72" t="s">
        <v>24</v>
      </c>
      <c r="D72" s="40"/>
      <c r="E72" s="40"/>
      <c r="F72" s="40"/>
      <c r="G72" s="42">
        <f ca="1">G28</f>
        <v>52390.537949941528</v>
      </c>
      <c r="H72" s="42">
        <f ca="1">H28</f>
        <v>56601.400737415599</v>
      </c>
      <c r="I72" s="42">
        <f ca="1">I28</f>
        <v>60791.058842266299</v>
      </c>
      <c r="J72" s="42">
        <f ca="1">J28</f>
        <v>65074.776214827572</v>
      </c>
      <c r="K72" s="42">
        <f ca="1">K28</f>
        <v>69753.477434239467</v>
      </c>
      <c r="M72" s="27"/>
    </row>
    <row r="73" spans="3:13" ht="15" customHeight="1">
      <c r="C73" t="s">
        <v>97</v>
      </c>
      <c r="D73" s="40"/>
      <c r="E73" s="40"/>
      <c r="F73" s="40"/>
      <c r="G73" s="42">
        <f>G30</f>
        <v>11085.020171261172</v>
      </c>
      <c r="H73" s="42">
        <f>H30</f>
        <v>11711.890744865921</v>
      </c>
      <c r="I73" s="42">
        <f>I30</f>
        <v>12226.380531123083</v>
      </c>
      <c r="J73" s="42">
        <f>J30</f>
        <v>13365.451007770575</v>
      </c>
      <c r="K73" s="42">
        <f>K30</f>
        <v>14603.503412486743</v>
      </c>
      <c r="M73" t="s">
        <v>98</v>
      </c>
    </row>
    <row r="74" spans="3:13" ht="15" customHeight="1">
      <c r="C74" t="s">
        <v>27</v>
      </c>
      <c r="D74" s="40"/>
      <c r="E74" s="40"/>
      <c r="F74" s="40"/>
      <c r="G74" s="42">
        <f>G32</f>
        <v>5126.3999999999996</v>
      </c>
      <c r="H74" s="42">
        <f>H32</f>
        <v>5433.9839999999995</v>
      </c>
      <c r="I74" s="42">
        <f>I32</f>
        <v>5808.9288959999994</v>
      </c>
      <c r="J74" s="42">
        <f>J32</f>
        <v>6209.7449898239993</v>
      </c>
      <c r="K74" s="42">
        <f>K32</f>
        <v>6638.2173941218552</v>
      </c>
    </row>
    <row r="75" spans="3:13" ht="15" customHeight="1">
      <c r="C75" t="s">
        <v>99</v>
      </c>
      <c r="D75" s="42"/>
      <c r="E75" s="42"/>
      <c r="F75" s="42"/>
      <c r="G75" s="42">
        <f>SUM(G46:G48)-SUM(F46:F48)</f>
        <v>-2568.0292745401748</v>
      </c>
      <c r="H75" s="42">
        <f>SUM(H46:H48)-SUM(G46:G48)</f>
        <v>3728.6108202044925</v>
      </c>
      <c r="I75" s="42">
        <f>SUM(I46:I48)-SUM(H46:H48)</f>
        <v>4560.7224748067092</v>
      </c>
      <c r="J75" s="42">
        <f>SUM(J46:J48)-SUM(I46:I48)</f>
        <v>4882.3919774125097</v>
      </c>
      <c r="K75" s="42">
        <f>SUM(K46:K48)-SUM(J46:J48)</f>
        <v>5219.277023853967</v>
      </c>
    </row>
    <row r="76" spans="3:13" ht="15" customHeight="1">
      <c r="C76" t="s">
        <v>100</v>
      </c>
      <c r="D76" s="42"/>
      <c r="E76" s="42"/>
      <c r="F76" s="42"/>
      <c r="G76" s="42">
        <f>SUM(G53:G55)-SUM(F53:F55)</f>
        <v>-3483.4630777302955</v>
      </c>
      <c r="H76" s="42">
        <f>SUM(H53:H55)-SUM(G53:G55)</f>
        <v>5449.1728233541653</v>
      </c>
      <c r="I76" s="42">
        <f>SUM(I53:I55)-SUM(H53:H55)</f>
        <v>6862.1646291051147</v>
      </c>
      <c r="J76" s="42">
        <f>SUM(J53:J55)-SUM(I53:I55)</f>
        <v>7434.2583318562974</v>
      </c>
      <c r="K76" s="42">
        <f>SUM(K53:K55)-SUM(J53:J55)</f>
        <v>7947.2221567544038</v>
      </c>
    </row>
    <row r="77" spans="3:13" ht="15" customHeight="1">
      <c r="C77" t="s">
        <v>43</v>
      </c>
      <c r="G77" s="42">
        <f>F50-G50</f>
        <v>891.31999999999971</v>
      </c>
      <c r="H77" s="42">
        <f>G50-H50</f>
        <v>-1283.5008000000016</v>
      </c>
      <c r="I77" s="42">
        <f>H50-I50</f>
        <v>-1564.5874751999982</v>
      </c>
      <c r="J77" s="42">
        <f>I50-J50</f>
        <v>-1672.5440109888004</v>
      </c>
      <c r="K77" s="42">
        <f>J50-K50</f>
        <v>-1787.9495477470264</v>
      </c>
      <c r="M77" t="s">
        <v>101</v>
      </c>
    </row>
    <row r="78" spans="3:13" ht="15" customHeight="1">
      <c r="C78" t="s">
        <v>50</v>
      </c>
      <c r="G78" s="42">
        <f>G58-F58</f>
        <v>-1807.2000000000044</v>
      </c>
      <c r="H78" s="42">
        <f>H58-G58</f>
        <v>2602.3680000000022</v>
      </c>
      <c r="I78" s="42">
        <f>I58-H58</f>
        <v>3172.2865919999967</v>
      </c>
      <c r="J78" s="42">
        <f>J58-I58</f>
        <v>3391.1743668479976</v>
      </c>
      <c r="K78" s="42">
        <f>K58-J58</f>
        <v>3625.1653981605123</v>
      </c>
      <c r="M78" s="27"/>
    </row>
    <row r="79" spans="3:13" ht="15" customHeight="1">
      <c r="C79" s="27" t="s">
        <v>102</v>
      </c>
      <c r="G79" s="45">
        <f ca="1">SUM(G72:G78)</f>
        <v>61634.585768932215</v>
      </c>
      <c r="H79" s="45">
        <f ca="1">SUM(H72:H78)</f>
        <v>84243.926325840162</v>
      </c>
      <c r="I79" s="45">
        <f ca="1">SUM(I72:I78)</f>
        <v>91856.954490101198</v>
      </c>
      <c r="J79" s="45">
        <f ca="1">SUM(J72:J78)</f>
        <v>98685.252877550141</v>
      </c>
      <c r="K79" s="45">
        <f ca="1">SUM(K72:K78)</f>
        <v>105998.91327186991</v>
      </c>
    </row>
    <row r="80" spans="3:13" ht="15" customHeight="1">
      <c r="G80" s="42"/>
      <c r="H80" s="42"/>
      <c r="I80" s="42"/>
      <c r="J80" s="42"/>
      <c r="K80" s="42"/>
    </row>
    <row r="81" spans="3:13" ht="15" customHeight="1">
      <c r="C81" t="s">
        <v>103</v>
      </c>
      <c r="G81" s="42">
        <f>-(G97)</f>
        <v>-13285</v>
      </c>
      <c r="H81" s="42">
        <f>-(H97)</f>
        <v>-13649</v>
      </c>
      <c r="I81" s="42">
        <f>-(I97)</f>
        <v>-13819</v>
      </c>
      <c r="J81" s="42">
        <f>-(J97)</f>
        <v>-14772.510999999999</v>
      </c>
      <c r="K81" s="42">
        <f>-(K97)</f>
        <v>-15791.814258999997</v>
      </c>
      <c r="M81" t="s">
        <v>90</v>
      </c>
    </row>
    <row r="82" spans="3:13" ht="15" customHeight="1">
      <c r="C82" s="27" t="s">
        <v>104</v>
      </c>
      <c r="G82" s="45">
        <f>IFERROR(G81,"NA")</f>
        <v>-13285</v>
      </c>
      <c r="H82" s="45">
        <f>IFERROR(H81,"NA")</f>
        <v>-13649</v>
      </c>
      <c r="I82" s="45">
        <f>IFERROR(I81,"NA")</f>
        <v>-13819</v>
      </c>
      <c r="J82" s="45">
        <f>IFERROR(J81,"NA")</f>
        <v>-14772.510999999999</v>
      </c>
      <c r="K82" s="45">
        <f>IFERROR(K81,"NA")</f>
        <v>-15791.814258999997</v>
      </c>
    </row>
    <row r="83" spans="3:13" ht="15" customHeight="1">
      <c r="G83" s="42"/>
      <c r="H83" s="42"/>
      <c r="I83" s="42"/>
      <c r="J83" s="42"/>
      <c r="K83" s="42"/>
    </row>
    <row r="84" spans="3:13" ht="15" customHeight="1">
      <c r="C84" t="s">
        <v>105</v>
      </c>
      <c r="G84" s="42">
        <f>G57-F57</f>
        <v>0</v>
      </c>
      <c r="H84" s="42">
        <f>H57-G57</f>
        <v>0</v>
      </c>
      <c r="I84" s="42">
        <f>I57-H57</f>
        <v>0</v>
      </c>
      <c r="J84" s="42">
        <f>J57-I57</f>
        <v>0</v>
      </c>
      <c r="K84" s="42">
        <f>K57-J57</f>
        <v>0</v>
      </c>
    </row>
    <row r="85" spans="3:13" ht="15" customHeight="1">
      <c r="C85" t="s">
        <v>186</v>
      </c>
      <c r="G85" s="42">
        <f ca="1">G56-F56</f>
        <v>36</v>
      </c>
      <c r="H85" s="42">
        <f ca="1">H56-G56</f>
        <v>0</v>
      </c>
      <c r="I85" s="42">
        <f ca="1">I56-H56</f>
        <v>0</v>
      </c>
      <c r="J85" s="42">
        <f ca="1">J56-I56</f>
        <v>0</v>
      </c>
      <c r="K85" s="42">
        <f ca="1">K56-J56</f>
        <v>0</v>
      </c>
      <c r="M85" t="s">
        <v>107</v>
      </c>
    </row>
    <row r="86" spans="3:13" ht="15" customHeight="1">
      <c r="C86" t="s">
        <v>108</v>
      </c>
      <c r="G86" s="42">
        <f>G118</f>
        <v>-73056</v>
      </c>
      <c r="H86" s="42">
        <f>H118</f>
        <v>-73056</v>
      </c>
      <c r="I86" s="42">
        <f>I118</f>
        <v>-73056</v>
      </c>
      <c r="J86" s="42">
        <f>J118</f>
        <v>-73056</v>
      </c>
      <c r="K86" s="42">
        <f>K118</f>
        <v>-73056</v>
      </c>
      <c r="M86" t="s">
        <v>95</v>
      </c>
    </row>
    <row r="87" spans="3:13" ht="15" customHeight="1">
      <c r="C87" t="s">
        <v>109</v>
      </c>
      <c r="G87" s="42">
        <f>G117</f>
        <v>-13735</v>
      </c>
      <c r="H87" s="42">
        <f>H117</f>
        <v>-13735</v>
      </c>
      <c r="I87" s="42">
        <f>I117</f>
        <v>-13735</v>
      </c>
      <c r="J87" s="42">
        <f>J117</f>
        <v>-13735</v>
      </c>
      <c r="K87" s="42">
        <f>K117</f>
        <v>-13735</v>
      </c>
      <c r="M87" t="s">
        <v>95</v>
      </c>
    </row>
    <row r="88" spans="3:13" ht="15" customHeight="1">
      <c r="C88" s="27" t="s">
        <v>110</v>
      </c>
      <c r="G88" s="45">
        <f ca="1">SUM(G84:G86)</f>
        <v>-73020</v>
      </c>
      <c r="H88" s="45">
        <f ca="1">SUM(H84:H86)</f>
        <v>-73056</v>
      </c>
      <c r="I88" s="45">
        <f ca="1">SUM(I84:I86)</f>
        <v>-73056</v>
      </c>
      <c r="J88" s="45">
        <f ca="1">SUM(J84:J86)</f>
        <v>-73056</v>
      </c>
      <c r="K88" s="45">
        <f ca="1">SUM(K84:K86)</f>
        <v>-73056</v>
      </c>
    </row>
    <row r="89" spans="3:13" ht="15" customHeight="1">
      <c r="G89" s="42"/>
      <c r="H89" s="42"/>
      <c r="I89" s="42"/>
      <c r="J89" s="42"/>
      <c r="K89" s="42"/>
    </row>
    <row r="90" spans="3:13" ht="15" customHeight="1">
      <c r="C90" s="27" t="s">
        <v>111</v>
      </c>
      <c r="G90" s="45">
        <f ca="1">G79+G82+G88</f>
        <v>-24670.414231067785</v>
      </c>
      <c r="H90" s="45">
        <f ca="1">H79+H82+H88</f>
        <v>-2461.0736741598375</v>
      </c>
      <c r="I90" s="45">
        <f ca="1">I79+I82+I88</f>
        <v>4981.9544901011977</v>
      </c>
      <c r="J90" s="45">
        <f ca="1">J79+J82+J88</f>
        <v>10856.741877550143</v>
      </c>
      <c r="K90" s="45">
        <f ca="1">K79+K82+K88</f>
        <v>17151.09901286992</v>
      </c>
    </row>
    <row r="92" spans="3:13" ht="15" customHeight="1">
      <c r="C92" s="16" t="s">
        <v>112</v>
      </c>
      <c r="D92" s="17"/>
      <c r="E92" s="17"/>
      <c r="F92" s="17"/>
      <c r="G92" s="17"/>
      <c r="H92" s="17"/>
      <c r="I92" s="17"/>
      <c r="J92" s="17"/>
      <c r="K92" s="17"/>
    </row>
    <row r="93" spans="3:13" ht="15" customHeight="1">
      <c r="C93" s="36" t="str">
        <f t="shared" ref="C93:K93" si="12">C14</f>
        <v xml:space="preserve">Fiscal year  </v>
      </c>
      <c r="D93" s="37">
        <f t="shared" si="12"/>
        <v>2016</v>
      </c>
      <c r="E93" s="37">
        <f t="shared" si="12"/>
        <v>2017</v>
      </c>
      <c r="F93" s="37">
        <f t="shared" si="12"/>
        <v>2018</v>
      </c>
      <c r="G93" s="65">
        <f t="shared" si="12"/>
        <v>2019</v>
      </c>
      <c r="H93" s="65">
        <f t="shared" si="12"/>
        <v>2020</v>
      </c>
      <c r="I93" s="65">
        <f t="shared" si="12"/>
        <v>2021</v>
      </c>
      <c r="J93" s="65">
        <f t="shared" si="12"/>
        <v>2022</v>
      </c>
      <c r="K93" s="65">
        <f t="shared" si="12"/>
        <v>2023</v>
      </c>
    </row>
    <row r="94" spans="3:13" ht="15" customHeight="1">
      <c r="C94" s="17" t="str">
        <f t="shared" ref="C94:K94" si="13">C15</f>
        <v>Fiscal year end date</v>
      </c>
      <c r="D94" s="38">
        <f t="shared" si="13"/>
        <v>42643</v>
      </c>
      <c r="E94" s="38">
        <f t="shared" si="13"/>
        <v>43008</v>
      </c>
      <c r="F94" s="38">
        <f t="shared" si="13"/>
        <v>43372</v>
      </c>
      <c r="G94" s="38">
        <f t="shared" si="13"/>
        <v>43738</v>
      </c>
      <c r="H94" s="38">
        <f t="shared" si="13"/>
        <v>44104</v>
      </c>
      <c r="I94" s="38">
        <f t="shared" si="13"/>
        <v>44469</v>
      </c>
      <c r="J94" s="38">
        <f t="shared" si="13"/>
        <v>44834</v>
      </c>
      <c r="K94" s="38">
        <f t="shared" si="13"/>
        <v>45199</v>
      </c>
    </row>
    <row r="95" spans="3:13" ht="15" customHeight="1">
      <c r="C95" s="27"/>
      <c r="G95" s="3" t="s">
        <v>113</v>
      </c>
      <c r="H95" s="3"/>
      <c r="I95" s="3"/>
      <c r="J95" s="3"/>
      <c r="K95" s="3"/>
    </row>
    <row r="96" spans="3:13" ht="15" customHeight="1">
      <c r="C96" s="30" t="s">
        <v>114</v>
      </c>
      <c r="G96" s="42">
        <f>F99</f>
        <v>41304</v>
      </c>
      <c r="H96" s="42">
        <f>G99</f>
        <v>45042.85982873883</v>
      </c>
      <c r="I96" s="42">
        <f>H99</f>
        <v>48611.181883872909</v>
      </c>
      <c r="J96" s="42">
        <f>I99</f>
        <v>51947.567835949827</v>
      </c>
      <c r="K96" s="42">
        <f>J99</f>
        <v>55218.714198720052</v>
      </c>
      <c r="M96" t="s">
        <v>115</v>
      </c>
    </row>
    <row r="97" spans="3:17" ht="15" customHeight="1">
      <c r="C97" s="29" t="s">
        <v>116</v>
      </c>
      <c r="D97" s="39">
        <v>12734</v>
      </c>
      <c r="E97" s="39">
        <v>12451</v>
      </c>
      <c r="F97" s="39">
        <v>13313</v>
      </c>
      <c r="G97" s="39">
        <v>13285</v>
      </c>
      <c r="H97" s="39">
        <v>13649</v>
      </c>
      <c r="I97" s="39">
        <v>13819</v>
      </c>
      <c r="J97" s="39">
        <f>I97*(1+J36)</f>
        <v>14772.510999999999</v>
      </c>
      <c r="K97" s="39">
        <f>J97*(1+K36)</f>
        <v>15791.814258999997</v>
      </c>
      <c r="M97" t="s">
        <v>117</v>
      </c>
    </row>
    <row r="98" spans="3:17" ht="15" customHeight="1">
      <c r="C98" s="67" t="s">
        <v>118</v>
      </c>
      <c r="D98" s="68">
        <v>-8300</v>
      </c>
      <c r="E98" s="68">
        <v>-8200</v>
      </c>
      <c r="F98" s="68">
        <v>-9300</v>
      </c>
      <c r="G98" s="85">
        <f>-(G101*G97)</f>
        <v>-9546.1401712611732</v>
      </c>
      <c r="H98" s="85">
        <f>-(H101*H97)</f>
        <v>-10080.677944865922</v>
      </c>
      <c r="I98" s="85">
        <f>-(I101*I97)</f>
        <v>-10482.614047923083</v>
      </c>
      <c r="J98" s="85">
        <f>-(J101*J97)</f>
        <v>-11501.364637229775</v>
      </c>
      <c r="K98" s="85">
        <f>-(K101*K97)</f>
        <v>-12610.795082378629</v>
      </c>
      <c r="M98" t="s">
        <v>119</v>
      </c>
    </row>
    <row r="99" spans="3:17" ht="15" customHeight="1">
      <c r="C99" s="70" t="s">
        <v>120</v>
      </c>
      <c r="D99" s="45"/>
      <c r="E99" s="45">
        <f>E49</f>
        <v>33783</v>
      </c>
      <c r="F99" s="45">
        <f>F49</f>
        <v>41304</v>
      </c>
      <c r="G99" s="45">
        <f>SUM(G96:G98)</f>
        <v>45042.85982873883</v>
      </c>
      <c r="H99" s="45">
        <f>SUM(H96:H98)</f>
        <v>48611.181883872909</v>
      </c>
      <c r="I99" s="45">
        <f>SUM(I96:I98)</f>
        <v>51947.567835949827</v>
      </c>
      <c r="J99" s="45">
        <f>SUM(J96:J98)</f>
        <v>55218.714198720052</v>
      </c>
      <c r="K99" s="45">
        <f>SUM(K96:K98)</f>
        <v>58399.73337534142</v>
      </c>
      <c r="M99" t="s">
        <v>121</v>
      </c>
    </row>
    <row r="100" spans="3:17" ht="15" customHeight="1">
      <c r="C100" s="30"/>
      <c r="M100" s="32" t="s">
        <v>122</v>
      </c>
    </row>
    <row r="101" spans="3:17" ht="15" customHeight="1">
      <c r="C101" s="30" t="s">
        <v>123</v>
      </c>
      <c r="D101" s="71">
        <f>-(D98/D97)</f>
        <v>0.65179833516569818</v>
      </c>
      <c r="E101" s="71">
        <f>-(E98/E97)</f>
        <v>0.6585816400289134</v>
      </c>
      <c r="F101" s="71">
        <f>-(F98/F97)</f>
        <v>0.69856531210095396</v>
      </c>
      <c r="G101" s="63">
        <f>F101+$M$101</f>
        <v>0.71856531210095398</v>
      </c>
      <c r="H101" s="63">
        <f>G101+$M$101</f>
        <v>0.738565312100954</v>
      </c>
      <c r="I101" s="63">
        <f>H101+$M$101</f>
        <v>0.75856531210095401</v>
      </c>
      <c r="J101" s="63">
        <f>I101+$M$101</f>
        <v>0.77856531210095403</v>
      </c>
      <c r="K101" s="63">
        <f>J101+$M$101</f>
        <v>0.79856531210095405</v>
      </c>
      <c r="M101" s="115">
        <v>0.02</v>
      </c>
      <c r="O101" s="74"/>
      <c r="P101" s="74"/>
      <c r="Q101" s="74"/>
    </row>
    <row r="102" spans="3:17" ht="15" customHeight="1">
      <c r="C102" s="30"/>
      <c r="D102" s="71"/>
      <c r="E102" s="71"/>
      <c r="F102" s="71"/>
      <c r="G102" s="63"/>
      <c r="H102" s="63"/>
      <c r="I102" s="63"/>
      <c r="J102" s="63"/>
      <c r="K102" s="63"/>
      <c r="O102" s="74"/>
      <c r="P102" s="74"/>
      <c r="Q102" s="74"/>
    </row>
    <row r="103" spans="3:17" ht="15" customHeight="1">
      <c r="C103" s="75" t="s">
        <v>124</v>
      </c>
      <c r="D103" s="76"/>
      <c r="E103" s="76"/>
      <c r="F103" s="76"/>
      <c r="G103" s="77"/>
      <c r="H103" s="77"/>
      <c r="I103" s="77"/>
      <c r="J103" s="77"/>
      <c r="K103" s="77"/>
      <c r="O103" s="74"/>
      <c r="P103" s="74"/>
      <c r="Q103" s="74"/>
    </row>
    <row r="104" spans="3:17" ht="15" customHeight="1">
      <c r="C104" s="30" t="s">
        <v>125</v>
      </c>
      <c r="D104" s="42">
        <f>D106+D98</f>
        <v>2205</v>
      </c>
      <c r="E104" s="42">
        <f>E106+E98</f>
        <v>1957</v>
      </c>
      <c r="F104" s="42">
        <f>F106+F98</f>
        <v>1603</v>
      </c>
      <c r="G104" s="44">
        <f>G105*G17</f>
        <v>1538.8799999999999</v>
      </c>
      <c r="H104" s="44">
        <f>H105*H17</f>
        <v>1631.2128</v>
      </c>
      <c r="I104" s="44">
        <f>I105*I17</f>
        <v>1743.7664832</v>
      </c>
      <c r="J104" s="44">
        <f>J105*J17</f>
        <v>1864.0863705407999</v>
      </c>
      <c r="K104" s="44">
        <f>K105*K17</f>
        <v>1992.708330108115</v>
      </c>
      <c r="M104" t="s">
        <v>126</v>
      </c>
      <c r="O104" s="74"/>
      <c r="P104" s="74"/>
      <c r="Q104" s="74"/>
    </row>
    <row r="105" spans="3:17" ht="15" customHeight="1">
      <c r="C105" s="29" t="s">
        <v>127</v>
      </c>
      <c r="D105" s="51">
        <f>D104/D17</f>
        <v>1.0225423044996499E-2</v>
      </c>
      <c r="E105" s="51">
        <f>E104/E17</f>
        <v>8.537128000209393E-3</v>
      </c>
      <c r="F105" s="51">
        <f>F104/F17</f>
        <v>6.0355051864681188E-3</v>
      </c>
      <c r="G105" s="63">
        <f>F105</f>
        <v>6.0355051864681188E-3</v>
      </c>
      <c r="H105" s="63">
        <f>G105</f>
        <v>6.0355051864681188E-3</v>
      </c>
      <c r="I105" s="63">
        <f>H105</f>
        <v>6.0355051864681188E-3</v>
      </c>
      <c r="J105" s="63">
        <f>I105</f>
        <v>6.0355051864681188E-3</v>
      </c>
      <c r="K105" s="63">
        <f>J105</f>
        <v>6.0355051864681188E-3</v>
      </c>
      <c r="M105" t="s">
        <v>128</v>
      </c>
    </row>
    <row r="106" spans="3:17" ht="15" customHeight="1">
      <c r="C106" s="31" t="s">
        <v>129</v>
      </c>
      <c r="D106" s="45">
        <f>D30</f>
        <v>10505</v>
      </c>
      <c r="E106" s="45">
        <f>E30</f>
        <v>10157</v>
      </c>
      <c r="F106" s="45">
        <f>F30</f>
        <v>10903</v>
      </c>
      <c r="G106" s="41">
        <f>-G98+G104</f>
        <v>11085.020171261172</v>
      </c>
      <c r="H106" s="41">
        <f>-H98+H104</f>
        <v>11711.890744865921</v>
      </c>
      <c r="I106" s="41">
        <f>-I98+I104</f>
        <v>12226.380531123083</v>
      </c>
      <c r="J106" s="41">
        <f>-J98+J104</f>
        <v>13365.451007770575</v>
      </c>
      <c r="K106" s="41">
        <f>-K98+K104</f>
        <v>14603.503412486743</v>
      </c>
      <c r="M106" t="s">
        <v>130</v>
      </c>
    </row>
    <row r="107" spans="3:17" ht="15" customHeight="1">
      <c r="C107" s="30"/>
      <c r="D107" s="42"/>
      <c r="E107" s="42"/>
      <c r="F107" s="42"/>
      <c r="H107" s="42"/>
      <c r="I107" s="42"/>
      <c r="J107" s="42"/>
      <c r="K107" s="42"/>
    </row>
    <row r="108" spans="3:17" ht="15" customHeight="1">
      <c r="C108" s="78" t="s">
        <v>131</v>
      </c>
      <c r="D108" s="17"/>
      <c r="E108" s="17"/>
      <c r="F108" s="17"/>
      <c r="H108" s="42"/>
      <c r="I108" s="42"/>
      <c r="J108" s="42"/>
      <c r="K108" s="42"/>
    </row>
    <row r="109" spans="3:17" ht="15" customHeight="1">
      <c r="C109" s="30" t="s">
        <v>114</v>
      </c>
      <c r="D109" s="42"/>
      <c r="G109" s="123">
        <f>F112</f>
        <v>22283</v>
      </c>
      <c r="H109" s="123">
        <f>G112</f>
        <v>21391.68</v>
      </c>
      <c r="I109" s="123">
        <f>H112</f>
        <v>22675.180800000002</v>
      </c>
      <c r="J109" s="123">
        <f>I112</f>
        <v>24239.7682752</v>
      </c>
      <c r="K109" s="123">
        <f>J112</f>
        <v>25912.3122861888</v>
      </c>
      <c r="M109" t="s">
        <v>115</v>
      </c>
    </row>
    <row r="110" spans="3:17" ht="15" customHeight="1">
      <c r="C110" s="29" t="s">
        <v>132</v>
      </c>
      <c r="G110" s="42">
        <f>-(G104)</f>
        <v>-1538.8799999999999</v>
      </c>
      <c r="H110" s="42">
        <f>-(H104)</f>
        <v>-1631.2128</v>
      </c>
      <c r="I110" s="42">
        <f>-(I104)</f>
        <v>-1743.7664832</v>
      </c>
      <c r="J110" s="42">
        <f>-(J104)</f>
        <v>-1864.0863705407999</v>
      </c>
      <c r="K110" s="42">
        <f>-(K104)</f>
        <v>-1992.708330108115</v>
      </c>
      <c r="M110" t="s">
        <v>133</v>
      </c>
    </row>
    <row r="111" spans="3:17" ht="15" customHeight="1">
      <c r="C111" s="67" t="s">
        <v>134</v>
      </c>
      <c r="D111" s="80"/>
      <c r="E111" s="80"/>
      <c r="F111" s="80"/>
      <c r="G111" s="124">
        <f>G112-G110-G109</f>
        <v>647.56000000000131</v>
      </c>
      <c r="H111" s="124">
        <f>H112-H110-H109</f>
        <v>2914.7136000000028</v>
      </c>
      <c r="I111" s="124">
        <f>I112-I110-I109</f>
        <v>3308.3539583999991</v>
      </c>
      <c r="J111" s="124">
        <f>J112-J110-J109</f>
        <v>3536.6303815296014</v>
      </c>
      <c r="K111" s="124">
        <f>K112-K110-K109</f>
        <v>3780.6578778551411</v>
      </c>
      <c r="M111" t="s">
        <v>135</v>
      </c>
    </row>
    <row r="112" spans="3:17" ht="15" customHeight="1">
      <c r="C112" s="70" t="s">
        <v>120</v>
      </c>
      <c r="E112" s="45">
        <f t="shared" ref="E112:K112" si="14">E50</f>
        <v>18177</v>
      </c>
      <c r="F112" s="45">
        <f t="shared" si="14"/>
        <v>22283</v>
      </c>
      <c r="G112" s="45">
        <f t="shared" si="14"/>
        <v>21391.68</v>
      </c>
      <c r="H112" s="45">
        <f t="shared" si="14"/>
        <v>22675.180800000002</v>
      </c>
      <c r="I112" s="45">
        <f t="shared" si="14"/>
        <v>24239.7682752</v>
      </c>
      <c r="J112" s="45">
        <f t="shared" si="14"/>
        <v>25912.3122861888</v>
      </c>
      <c r="K112" s="45">
        <f t="shared" si="14"/>
        <v>27700.261833935827</v>
      </c>
      <c r="M112" t="s">
        <v>136</v>
      </c>
    </row>
    <row r="113" spans="3:17" ht="15" customHeight="1">
      <c r="C113" s="29"/>
      <c r="E113" s="42"/>
      <c r="F113" s="42"/>
      <c r="H113" s="42"/>
      <c r="I113" s="42"/>
      <c r="J113" s="42"/>
      <c r="K113" s="42"/>
    </row>
    <row r="114" spans="3:17" ht="15" customHeight="1">
      <c r="C114" s="82" t="s">
        <v>137</v>
      </c>
      <c r="D114" s="78"/>
      <c r="E114" s="78"/>
      <c r="F114" s="78"/>
      <c r="G114" s="17"/>
      <c r="H114" s="17"/>
      <c r="I114" s="17"/>
      <c r="J114" s="17"/>
      <c r="K114" s="17"/>
    </row>
    <row r="115" spans="3:17" ht="15" customHeight="1">
      <c r="C115" s="30" t="s">
        <v>114</v>
      </c>
      <c r="G115" s="42">
        <f>F119</f>
        <v>70400</v>
      </c>
      <c r="H115" s="42">
        <f ca="1">G119</f>
        <v>35999.537949941528</v>
      </c>
      <c r="I115" s="42">
        <f ca="1">H119</f>
        <v>5809.9386873571202</v>
      </c>
      <c r="J115" s="42">
        <f ca="1">I119</f>
        <v>-20190.002470376581</v>
      </c>
      <c r="K115" s="42">
        <f ca="1">J119</f>
        <v>-41906.226255549009</v>
      </c>
      <c r="M115" t="s">
        <v>115</v>
      </c>
    </row>
    <row r="116" spans="3:17" ht="15" customHeight="1">
      <c r="C116" s="29" t="s">
        <v>138</v>
      </c>
      <c r="D116" s="44">
        <f t="shared" ref="D116:K116" si="15">D28</f>
        <v>45687</v>
      </c>
      <c r="E116" s="44">
        <f t="shared" si="15"/>
        <v>48351</v>
      </c>
      <c r="F116" s="44">
        <f t="shared" si="15"/>
        <v>59531</v>
      </c>
      <c r="G116" s="42">
        <f t="shared" ca="1" si="15"/>
        <v>52390.537949941528</v>
      </c>
      <c r="H116" s="42">
        <f t="shared" ca="1" si="15"/>
        <v>56601.400737415599</v>
      </c>
      <c r="I116" s="42">
        <f t="shared" ca="1" si="15"/>
        <v>60791.058842266299</v>
      </c>
      <c r="J116" s="42">
        <f t="shared" ca="1" si="15"/>
        <v>65074.776214827572</v>
      </c>
      <c r="K116" s="42">
        <f t="shared" ca="1" si="15"/>
        <v>69753.477434239467</v>
      </c>
      <c r="M116" t="s">
        <v>139</v>
      </c>
    </row>
    <row r="117" spans="3:17" ht="15" customHeight="1">
      <c r="C117" s="29" t="s">
        <v>140</v>
      </c>
      <c r="D117" s="39">
        <v>-12188</v>
      </c>
      <c r="E117" s="39">
        <v>-12803</v>
      </c>
      <c r="F117" s="39">
        <v>-13735</v>
      </c>
      <c r="G117" s="42">
        <f t="shared" ref="G117:K118" si="16">F117</f>
        <v>-13735</v>
      </c>
      <c r="H117" s="42">
        <f t="shared" si="16"/>
        <v>-13735</v>
      </c>
      <c r="I117" s="42">
        <f t="shared" si="16"/>
        <v>-13735</v>
      </c>
      <c r="J117" s="42">
        <f t="shared" si="16"/>
        <v>-13735</v>
      </c>
      <c r="K117" s="42">
        <f t="shared" si="16"/>
        <v>-13735</v>
      </c>
      <c r="M117" t="s">
        <v>141</v>
      </c>
    </row>
    <row r="118" spans="3:17" ht="15" customHeight="1">
      <c r="C118" s="67" t="s">
        <v>142</v>
      </c>
      <c r="D118" s="68">
        <v>-29000</v>
      </c>
      <c r="E118" s="68">
        <v>-33001</v>
      </c>
      <c r="F118" s="68">
        <v>-73056</v>
      </c>
      <c r="G118" s="85">
        <f t="shared" si="16"/>
        <v>-73056</v>
      </c>
      <c r="H118" s="85">
        <f t="shared" si="16"/>
        <v>-73056</v>
      </c>
      <c r="I118" s="85">
        <f t="shared" si="16"/>
        <v>-73056</v>
      </c>
      <c r="J118" s="85">
        <f t="shared" si="16"/>
        <v>-73056</v>
      </c>
      <c r="K118" s="85">
        <f t="shared" si="16"/>
        <v>-73056</v>
      </c>
      <c r="M118" t="s">
        <v>143</v>
      </c>
    </row>
    <row r="119" spans="3:17" ht="15" customHeight="1">
      <c r="C119" s="70" t="s">
        <v>120</v>
      </c>
      <c r="D119" s="41">
        <f>D62</f>
        <v>0</v>
      </c>
      <c r="E119" s="41">
        <f>E62</f>
        <v>98330</v>
      </c>
      <c r="F119" s="41">
        <f>F62</f>
        <v>70400</v>
      </c>
      <c r="G119" s="45">
        <f ca="1">SUM(G115:G118)</f>
        <v>35999.537949941528</v>
      </c>
      <c r="H119" s="45">
        <f ca="1">SUM(H115:H118)</f>
        <v>5809.9386873571202</v>
      </c>
      <c r="I119" s="45">
        <f ca="1">SUM(I115:I118)</f>
        <v>-20190.002470376581</v>
      </c>
      <c r="J119" s="45">
        <f ca="1">SUM(J115:J118)</f>
        <v>-41906.226255549009</v>
      </c>
      <c r="K119" s="45">
        <f ca="1">SUM(K115:K118)</f>
        <v>-58943.748821309542</v>
      </c>
      <c r="M119" t="s">
        <v>144</v>
      </c>
    </row>
    <row r="120" spans="3:17" ht="15" customHeight="1">
      <c r="E120" s="40"/>
      <c r="F120" s="40"/>
    </row>
    <row r="121" spans="3:17" ht="15" customHeight="1">
      <c r="C121" s="16" t="s">
        <v>145</v>
      </c>
      <c r="D121" s="17"/>
      <c r="E121" s="17"/>
      <c r="F121" s="17"/>
      <c r="G121" s="17"/>
      <c r="H121" s="17"/>
      <c r="I121" s="17"/>
      <c r="J121" s="17"/>
      <c r="K121" s="17"/>
      <c r="O121" s="74"/>
      <c r="P121" s="74"/>
    </row>
    <row r="122" spans="3:17" ht="15" customHeight="1">
      <c r="C122" s="36" t="str">
        <f t="shared" ref="C122:K122" si="17">C14</f>
        <v xml:space="preserve">Fiscal year  </v>
      </c>
      <c r="D122" s="37">
        <f t="shared" si="17"/>
        <v>2016</v>
      </c>
      <c r="E122" s="37">
        <f t="shared" si="17"/>
        <v>2017</v>
      </c>
      <c r="F122" s="37">
        <f t="shared" si="17"/>
        <v>2018</v>
      </c>
      <c r="G122" s="65">
        <f t="shared" si="17"/>
        <v>2019</v>
      </c>
      <c r="H122" s="65">
        <f t="shared" si="17"/>
        <v>2020</v>
      </c>
      <c r="I122" s="65">
        <f t="shared" si="17"/>
        <v>2021</v>
      </c>
      <c r="J122" s="65">
        <f t="shared" si="17"/>
        <v>2022</v>
      </c>
      <c r="K122" s="65">
        <f t="shared" si="17"/>
        <v>2023</v>
      </c>
      <c r="O122" s="74"/>
      <c r="P122" s="74"/>
    </row>
    <row r="123" spans="3:17" ht="15" customHeight="1">
      <c r="C123" s="17" t="str">
        <f t="shared" ref="C123:K123" si="18">C15</f>
        <v>Fiscal year end date</v>
      </c>
      <c r="D123" s="38">
        <f t="shared" si="18"/>
        <v>42643</v>
      </c>
      <c r="E123" s="38">
        <f t="shared" si="18"/>
        <v>43008</v>
      </c>
      <c r="F123" s="38">
        <f t="shared" si="18"/>
        <v>43372</v>
      </c>
      <c r="G123" s="38">
        <f t="shared" si="18"/>
        <v>43738</v>
      </c>
      <c r="H123" s="38">
        <f t="shared" si="18"/>
        <v>44104</v>
      </c>
      <c r="I123" s="38">
        <f t="shared" si="18"/>
        <v>44469</v>
      </c>
      <c r="J123" s="38">
        <f t="shared" si="18"/>
        <v>44834</v>
      </c>
      <c r="K123" s="38">
        <f t="shared" si="18"/>
        <v>45199</v>
      </c>
      <c r="O123" s="74"/>
      <c r="P123" s="74"/>
    </row>
    <row r="124" spans="3:17" ht="15" customHeight="1">
      <c r="C124" s="27"/>
      <c r="O124" s="74"/>
      <c r="P124" s="74"/>
    </row>
    <row r="125" spans="3:17" ht="15" customHeight="1">
      <c r="C125" s="32" t="s">
        <v>146</v>
      </c>
      <c r="O125" s="74"/>
      <c r="P125" s="74"/>
      <c r="Q125" s="74"/>
    </row>
    <row r="126" spans="3:17" ht="15" customHeight="1">
      <c r="C126" s="29" t="s">
        <v>147</v>
      </c>
      <c r="G126" s="42">
        <f>F45</f>
        <v>237100</v>
      </c>
      <c r="H126" s="42">
        <f ca="1">G45</f>
        <v>212429.58576893221</v>
      </c>
      <c r="I126" s="42">
        <f ca="1">H45</f>
        <v>209968.51209477236</v>
      </c>
      <c r="J126" s="42">
        <f ca="1">I45</f>
        <v>214950.46658487356</v>
      </c>
      <c r="K126" s="42">
        <f ca="1">J45</f>
        <v>225807.2084624237</v>
      </c>
      <c r="M126" t="s">
        <v>148</v>
      </c>
      <c r="O126" s="74"/>
      <c r="P126" s="74"/>
    </row>
    <row r="127" spans="3:17" ht="15" customHeight="1">
      <c r="C127" s="29" t="s">
        <v>149</v>
      </c>
      <c r="G127" s="39">
        <v>-50000</v>
      </c>
      <c r="H127" s="39">
        <v>-50000</v>
      </c>
      <c r="I127" s="39">
        <v>-50000</v>
      </c>
      <c r="J127" s="39">
        <v>-50000</v>
      </c>
      <c r="K127" s="39">
        <v>-50000</v>
      </c>
      <c r="M127" t="s">
        <v>150</v>
      </c>
      <c r="O127" s="74"/>
      <c r="P127" s="74"/>
    </row>
    <row r="128" spans="3:17" ht="15" customHeight="1">
      <c r="C128" s="67" t="s">
        <v>151</v>
      </c>
      <c r="D128" s="80"/>
      <c r="E128" s="80"/>
      <c r="F128" s="80"/>
      <c r="G128" s="85">
        <f ca="1">SUM(G79,G82,G84,G86,G87)</f>
        <v>-38441.414231067785</v>
      </c>
      <c r="H128" s="85">
        <f ca="1">SUM(H79,H82,H84,H86,H87)</f>
        <v>-16196.073674159838</v>
      </c>
      <c r="I128" s="85">
        <f ca="1">SUM(I79,I82,I84,I86,I87)</f>
        <v>-8753.0455098988023</v>
      </c>
      <c r="J128" s="85">
        <f ca="1">SUM(J79,J82,J84,J86,J87)</f>
        <v>-2878.2581224498572</v>
      </c>
      <c r="K128" s="85">
        <f ca="1">SUM(K79,K82,K84,K86,K87)</f>
        <v>3416.0990128699195</v>
      </c>
      <c r="M128" t="s">
        <v>152</v>
      </c>
    </row>
    <row r="129" spans="3:19" ht="15" customHeight="1">
      <c r="C129" s="70" t="s">
        <v>153</v>
      </c>
      <c r="G129" s="45">
        <f ca="1">SUM(G126:G128)</f>
        <v>148658.58576893221</v>
      </c>
      <c r="H129" s="45">
        <f ca="1">SUM(H126:H128)</f>
        <v>146233.51209477236</v>
      </c>
      <c r="I129" s="45">
        <f ca="1">SUM(I126:I128)</f>
        <v>151215.46658487356</v>
      </c>
      <c r="J129" s="45">
        <f ca="1">SUM(J126:J128)</f>
        <v>162072.2084624237</v>
      </c>
      <c r="K129" s="45">
        <f ca="1">SUM(K126:K128)</f>
        <v>179223.30747529364</v>
      </c>
    </row>
    <row r="131" spans="3:19" ht="15" customHeight="1">
      <c r="C131" s="27" t="s">
        <v>154</v>
      </c>
    </row>
    <row r="132" spans="3:19" ht="15" customHeight="1">
      <c r="C132" s="29" t="s">
        <v>114</v>
      </c>
      <c r="G132" s="42">
        <f>F135</f>
        <v>11964</v>
      </c>
      <c r="H132" s="42">
        <f ca="1">G135</f>
        <v>12000</v>
      </c>
      <c r="I132" s="42">
        <f ca="1">H135</f>
        <v>12000</v>
      </c>
      <c r="J132" s="42">
        <f ca="1">I135</f>
        <v>12000</v>
      </c>
      <c r="K132" s="42">
        <f ca="1">J135</f>
        <v>12000</v>
      </c>
      <c r="M132" t="s">
        <v>115</v>
      </c>
    </row>
    <row r="133" spans="3:19" ht="15" customHeight="1">
      <c r="C133" s="29" t="s">
        <v>155</v>
      </c>
      <c r="G133" s="42">
        <f ca="1">-MIN(G129,G132)</f>
        <v>-11964</v>
      </c>
      <c r="H133" s="42">
        <f ca="1">-MIN(H129,H132)</f>
        <v>-12000</v>
      </c>
      <c r="I133" s="42">
        <f ca="1">-MIN(I129,I132)</f>
        <v>-12000</v>
      </c>
      <c r="J133" s="42">
        <f ca="1">-MIN(J129,J132)</f>
        <v>-12000</v>
      </c>
      <c r="K133" s="42">
        <f ca="1">-MIN(K129,K132)</f>
        <v>-12000</v>
      </c>
      <c r="M133" t="s">
        <v>156</v>
      </c>
    </row>
    <row r="134" spans="3:19" ht="15" customHeight="1">
      <c r="C134" s="67" t="s">
        <v>157</v>
      </c>
      <c r="D134" s="80"/>
      <c r="E134" s="80"/>
      <c r="F134" s="80"/>
      <c r="G134" s="68">
        <v>12000</v>
      </c>
      <c r="H134" s="68">
        <v>12000</v>
      </c>
      <c r="I134" s="68">
        <v>12000</v>
      </c>
      <c r="J134" s="68">
        <v>12000</v>
      </c>
      <c r="K134" s="68">
        <v>12000</v>
      </c>
      <c r="M134" t="s">
        <v>150</v>
      </c>
    </row>
    <row r="135" spans="3:19" ht="15" customHeight="1">
      <c r="C135" s="29" t="s">
        <v>120</v>
      </c>
      <c r="D135" s="85">
        <f>D56</f>
        <v>0</v>
      </c>
      <c r="E135" s="85">
        <f>E56</f>
        <v>11977</v>
      </c>
      <c r="F135" s="85">
        <f>F56</f>
        <v>11964</v>
      </c>
      <c r="G135" s="86">
        <f ca="1">SUM(G132:G134)</f>
        <v>12000</v>
      </c>
      <c r="H135" s="86">
        <f ca="1">SUM(H132:H134)</f>
        <v>12000</v>
      </c>
      <c r="I135" s="86">
        <f ca="1">SUM(I132:I134)</f>
        <v>12000</v>
      </c>
      <c r="J135" s="86">
        <f ca="1">SUM(J132:J134)</f>
        <v>12000</v>
      </c>
      <c r="K135" s="86">
        <f ca="1">SUM(K132:K134)</f>
        <v>12000</v>
      </c>
    </row>
    <row r="136" spans="3:19" ht="15" customHeight="1">
      <c r="C136" s="87" t="s">
        <v>158</v>
      </c>
      <c r="D136" s="88"/>
      <c r="E136" s="88"/>
      <c r="F136" s="89"/>
      <c r="G136" s="90" t="str">
        <f ca="1">IF(G135&lt;0,"Negative Debt","OK")</f>
        <v>OK</v>
      </c>
      <c r="H136" s="90" t="str">
        <f ca="1">IF(H135&lt;0,"Negative Debt","OK")</f>
        <v>OK</v>
      </c>
      <c r="I136" s="90" t="str">
        <f ca="1">IF(I135&lt;0,"Negative Debt","OK")</f>
        <v>OK</v>
      </c>
      <c r="J136" s="90" t="str">
        <f ca="1">IF(J135&lt;0,"Negative Debt","OK")</f>
        <v>OK</v>
      </c>
      <c r="K136" s="91" t="str">
        <f ca="1">IF(K135&lt;0,"Negative Debt","OK")</f>
        <v>OK</v>
      </c>
      <c r="S136" s="40"/>
    </row>
    <row r="137" spans="3:19" ht="15" customHeight="1">
      <c r="D137" s="42"/>
      <c r="E137" s="42"/>
      <c r="F137" s="92"/>
      <c r="G137" s="93"/>
      <c r="H137" s="93"/>
      <c r="I137" s="93"/>
      <c r="J137" s="93"/>
      <c r="K137" s="93"/>
      <c r="S137" s="40"/>
    </row>
    <row r="138" spans="3:19" ht="15" customHeight="1">
      <c r="C138" s="16" t="s">
        <v>159</v>
      </c>
      <c r="D138" s="76"/>
      <c r="E138" s="76"/>
      <c r="F138" s="76"/>
      <c r="G138" s="94"/>
      <c r="H138" s="94"/>
      <c r="I138" s="94"/>
      <c r="J138" s="94"/>
      <c r="K138" s="94"/>
      <c r="R138" s="95"/>
    </row>
    <row r="139" spans="3:19" ht="15" customHeight="1">
      <c r="C139" s="36" t="str">
        <f t="shared" ref="C139:K139" si="19">C14</f>
        <v xml:space="preserve">Fiscal year  </v>
      </c>
      <c r="D139" s="37">
        <f t="shared" si="19"/>
        <v>2016</v>
      </c>
      <c r="E139" s="37">
        <f t="shared" si="19"/>
        <v>2017</v>
      </c>
      <c r="F139" s="37">
        <f t="shared" si="19"/>
        <v>2018</v>
      </c>
      <c r="G139" s="65">
        <f t="shared" si="19"/>
        <v>2019</v>
      </c>
      <c r="H139" s="65">
        <f t="shared" si="19"/>
        <v>2020</v>
      </c>
      <c r="I139" s="65">
        <f t="shared" si="19"/>
        <v>2021</v>
      </c>
      <c r="J139" s="65">
        <f t="shared" si="19"/>
        <v>2022</v>
      </c>
      <c r="K139" s="65">
        <f t="shared" si="19"/>
        <v>2023</v>
      </c>
      <c r="R139" s="95"/>
      <c r="S139" s="40"/>
    </row>
    <row r="140" spans="3:19" ht="15" customHeight="1">
      <c r="C140" s="17" t="str">
        <f t="shared" ref="C140:K140" si="20">C15</f>
        <v>Fiscal year end date</v>
      </c>
      <c r="D140" s="38">
        <f t="shared" si="20"/>
        <v>42643</v>
      </c>
      <c r="E140" s="38">
        <f t="shared" si="20"/>
        <v>43008</v>
      </c>
      <c r="F140" s="38">
        <f t="shared" si="20"/>
        <v>43372</v>
      </c>
      <c r="G140" s="38">
        <f t="shared" si="20"/>
        <v>43738</v>
      </c>
      <c r="H140" s="38">
        <f t="shared" si="20"/>
        <v>44104</v>
      </c>
      <c r="I140" s="38">
        <f t="shared" si="20"/>
        <v>44469</v>
      </c>
      <c r="J140" s="38">
        <f t="shared" si="20"/>
        <v>44834</v>
      </c>
      <c r="K140" s="38">
        <f t="shared" si="20"/>
        <v>45199</v>
      </c>
      <c r="R140" s="95"/>
    </row>
    <row r="141" spans="3:19" ht="15" customHeight="1">
      <c r="C141" s="29"/>
      <c r="D141" s="42"/>
      <c r="E141" s="42"/>
      <c r="F141" s="42"/>
      <c r="G141" s="96"/>
      <c r="H141" s="96"/>
      <c r="I141" s="96"/>
      <c r="J141" s="96"/>
      <c r="K141" s="96"/>
      <c r="R141" s="95"/>
    </row>
    <row r="142" spans="3:19" ht="15" customHeight="1">
      <c r="C142" s="30" t="s">
        <v>160</v>
      </c>
      <c r="D142" s="42">
        <f>-(D24)</f>
        <v>1456</v>
      </c>
      <c r="E142" s="42">
        <f>-(E24)</f>
        <v>2323</v>
      </c>
      <c r="F142" s="42">
        <f>-(F24)</f>
        <v>3240</v>
      </c>
      <c r="G142" s="42">
        <f ca="1">G147+G152</f>
        <v>3223.1468651501777</v>
      </c>
      <c r="H142" s="42">
        <f ca="1">H147+H152</f>
        <v>3223.5392651501775</v>
      </c>
      <c r="I142" s="42">
        <f ca="1">I147+I152</f>
        <v>3223.5392651501775</v>
      </c>
      <c r="J142" s="42">
        <f ca="1">J147+J152</f>
        <v>3223.5392651501775</v>
      </c>
      <c r="K142" s="42">
        <f ca="1">K147+K152</f>
        <v>3223.5392651501775</v>
      </c>
      <c r="M142" t="s">
        <v>161</v>
      </c>
      <c r="R142" s="40"/>
    </row>
    <row r="143" spans="3:19" ht="15" customHeight="1">
      <c r="C143" s="97"/>
      <c r="R143" s="40"/>
    </row>
    <row r="144" spans="3:19" ht="15" customHeight="1">
      <c r="C144" s="98" t="s">
        <v>162</v>
      </c>
      <c r="R144" s="40"/>
    </row>
    <row r="145" spans="3:18" ht="15" customHeight="1">
      <c r="C145" s="29" t="s">
        <v>163</v>
      </c>
      <c r="E145" s="99">
        <v>1.2E-2</v>
      </c>
      <c r="F145" s="99">
        <v>2.18E-2</v>
      </c>
      <c r="G145" s="125">
        <f>F145</f>
        <v>2.18E-2</v>
      </c>
      <c r="H145" s="125">
        <f>G145</f>
        <v>2.18E-2</v>
      </c>
      <c r="I145" s="125">
        <f>H145</f>
        <v>2.18E-2</v>
      </c>
      <c r="J145" s="125">
        <f>I145</f>
        <v>2.18E-2</v>
      </c>
      <c r="K145" s="125">
        <f>J145</f>
        <v>2.18E-2</v>
      </c>
      <c r="M145" t="s">
        <v>164</v>
      </c>
    </row>
    <row r="146" spans="3:18" ht="15" customHeight="1">
      <c r="C146" s="29" t="s">
        <v>165</v>
      </c>
      <c r="D146" s="85"/>
      <c r="E146" s="85">
        <f t="shared" ref="E146:K146" si="21">E56</f>
        <v>11977</v>
      </c>
      <c r="F146" s="85">
        <f t="shared" si="21"/>
        <v>11964</v>
      </c>
      <c r="G146" s="42">
        <f t="shared" ca="1" si="21"/>
        <v>12000</v>
      </c>
      <c r="H146" s="42">
        <f t="shared" ca="1" si="21"/>
        <v>12000</v>
      </c>
      <c r="I146" s="42">
        <f t="shared" ca="1" si="21"/>
        <v>12000</v>
      </c>
      <c r="J146" s="42">
        <f t="shared" ca="1" si="21"/>
        <v>12000</v>
      </c>
      <c r="K146" s="42">
        <f t="shared" ca="1" si="21"/>
        <v>12000</v>
      </c>
      <c r="M146" t="s">
        <v>166</v>
      </c>
    </row>
    <row r="147" spans="3:18" ht="15" customHeight="1">
      <c r="C147" s="101" t="s">
        <v>167</v>
      </c>
      <c r="D147" s="42"/>
      <c r="E147" s="45">
        <f>AVERAGE(D146:E146)*E145</f>
        <v>143.72399999999999</v>
      </c>
      <c r="F147" s="45">
        <f>AVERAGE(E146:F146)*F145</f>
        <v>260.95690000000002</v>
      </c>
      <c r="G147" s="119">
        <f ca="1">IF($D$7=1,AVERAGE(F146,G146)*G145,0)</f>
        <v>261.20760000000001</v>
      </c>
      <c r="H147" s="119">
        <f ca="1">IF($D$7=1,AVERAGE(G146,H146)*H145,0)</f>
        <v>261.60000000000002</v>
      </c>
      <c r="I147" s="119">
        <f ca="1">IF($D$7=1,AVERAGE(H146,I146)*I145,0)</f>
        <v>261.60000000000002</v>
      </c>
      <c r="J147" s="119">
        <f ca="1">IF($D$7=1,AVERAGE(I146,J146)*J145,0)</f>
        <v>261.60000000000002</v>
      </c>
      <c r="K147" s="119">
        <f ca="1">IF($D$7=1,AVERAGE(J146,K146)*K145,0)</f>
        <v>261.60000000000002</v>
      </c>
      <c r="M147" t="s">
        <v>168</v>
      </c>
    </row>
    <row r="148" spans="3:18" ht="15" customHeight="1">
      <c r="C148" s="103"/>
      <c r="D148" s="42"/>
      <c r="E148" s="42"/>
      <c r="F148" s="42"/>
    </row>
    <row r="149" spans="3:18" ht="15" customHeight="1">
      <c r="C149" s="98" t="s">
        <v>105</v>
      </c>
      <c r="D149" s="42"/>
      <c r="E149" s="42"/>
      <c r="F149" s="42"/>
    </row>
    <row r="150" spans="3:18" ht="15" customHeight="1">
      <c r="C150" s="29" t="s">
        <v>165</v>
      </c>
      <c r="D150" s="42"/>
      <c r="E150" s="42">
        <f t="shared" ref="E150:K150" si="22">E57</f>
        <v>103703</v>
      </c>
      <c r="F150" s="42">
        <f t="shared" si="22"/>
        <v>102519</v>
      </c>
      <c r="G150" s="42">
        <f t="shared" si="22"/>
        <v>102519</v>
      </c>
      <c r="H150" s="42">
        <f t="shared" si="22"/>
        <v>102519</v>
      </c>
      <c r="I150" s="42">
        <f t="shared" si="22"/>
        <v>102519</v>
      </c>
      <c r="J150" s="42">
        <f t="shared" si="22"/>
        <v>102519</v>
      </c>
      <c r="K150" s="42">
        <f t="shared" si="22"/>
        <v>102519</v>
      </c>
      <c r="M150" t="s">
        <v>107</v>
      </c>
    </row>
    <row r="151" spans="3:18" ht="15" customHeight="1">
      <c r="C151" s="29" t="s">
        <v>163</v>
      </c>
      <c r="E151" s="51">
        <f>E152/AVERAGE(D150:E150)</f>
        <v>2.101458974185896E-2</v>
      </c>
      <c r="F151" s="51">
        <f>F152/AVERAGE(E150:F150)</f>
        <v>2.8891612921996681E-2</v>
      </c>
      <c r="G151" s="126">
        <f>F151</f>
        <v>2.8891612921996681E-2</v>
      </c>
      <c r="H151" s="126">
        <f>G151</f>
        <v>2.8891612921996681E-2</v>
      </c>
      <c r="I151" s="126">
        <f>H151</f>
        <v>2.8891612921996681E-2</v>
      </c>
      <c r="J151" s="126">
        <f>I151</f>
        <v>2.8891612921996681E-2</v>
      </c>
      <c r="K151" s="126">
        <f>J151</f>
        <v>2.8891612921996681E-2</v>
      </c>
      <c r="M151" t="s">
        <v>164</v>
      </c>
      <c r="R151" s="95"/>
    </row>
    <row r="152" spans="3:18" ht="15" customHeight="1">
      <c r="C152" s="70" t="s">
        <v>169</v>
      </c>
      <c r="D152" s="45"/>
      <c r="E152" s="45">
        <f>E142-E147</f>
        <v>2179.2759999999998</v>
      </c>
      <c r="F152" s="45">
        <f>F142-F147</f>
        <v>2979.0430999999999</v>
      </c>
      <c r="G152" s="41">
        <f>G151*AVERAGE(F150:G150)</f>
        <v>2961.9392651501776</v>
      </c>
      <c r="H152" s="41">
        <f>H151*AVERAGE(G150:H150)</f>
        <v>2961.9392651501776</v>
      </c>
      <c r="I152" s="41">
        <f>I151*AVERAGE(H150:I150)</f>
        <v>2961.9392651501776</v>
      </c>
      <c r="J152" s="41">
        <f>J151*AVERAGE(I150:J150)</f>
        <v>2961.9392651501776</v>
      </c>
      <c r="K152" s="41">
        <f>K151*AVERAGE(J150:K150)</f>
        <v>2961.9392651501776</v>
      </c>
      <c r="M152" t="s">
        <v>170</v>
      </c>
    </row>
    <row r="153" spans="3:18" ht="15" customHeight="1">
      <c r="E153" s="42"/>
    </row>
    <row r="154" spans="3:18" ht="15" customHeight="1">
      <c r="C154" s="97" t="s">
        <v>171</v>
      </c>
      <c r="E154" s="42"/>
      <c r="F154" s="42"/>
    </row>
    <row r="155" spans="3:18" ht="15" customHeight="1">
      <c r="C155" s="29" t="s">
        <v>172</v>
      </c>
      <c r="D155" s="49">
        <v>1.7299999999999999E-2</v>
      </c>
      <c r="E155" s="99">
        <v>1.9900000000000001E-2</v>
      </c>
      <c r="F155" s="99">
        <v>2.1600000000000001E-2</v>
      </c>
      <c r="G155" s="127">
        <f>F155</f>
        <v>2.1600000000000001E-2</v>
      </c>
      <c r="H155" s="127">
        <f>G155</f>
        <v>2.1600000000000001E-2</v>
      </c>
      <c r="I155" s="127">
        <f>H155</f>
        <v>2.1600000000000001E-2</v>
      </c>
      <c r="J155" s="127">
        <f>I155</f>
        <v>2.1600000000000001E-2</v>
      </c>
      <c r="K155" s="127">
        <f>J155</f>
        <v>2.1600000000000001E-2</v>
      </c>
      <c r="M155" t="s">
        <v>164</v>
      </c>
    </row>
    <row r="156" spans="3:18" ht="15" customHeight="1">
      <c r="C156" s="29" t="s">
        <v>19</v>
      </c>
      <c r="D156" s="42">
        <f>D23</f>
        <v>3999</v>
      </c>
      <c r="E156" s="42">
        <f>E23</f>
        <v>5201</v>
      </c>
      <c r="F156" s="42">
        <f>F23</f>
        <v>5686</v>
      </c>
      <c r="G156" s="44">
        <f ca="1">IF($D$7=1,AVERAGE(F45,G45)*G155,0)</f>
        <v>4854.9195263044685</v>
      </c>
      <c r="H156" s="44">
        <f ca="1">IF($D$7=1,AVERAGE(G45,H45)*H155,0)</f>
        <v>4561.8994569280094</v>
      </c>
      <c r="I156" s="44">
        <f ca="1">IF($D$7=1,AVERAGE(H45,I45)*I155,0)</f>
        <v>4589.1249697401763</v>
      </c>
      <c r="J156" s="44">
        <f ca="1">IF($D$7=1,AVERAGE(I45,J45)*J155,0)</f>
        <v>4760.1828905108105</v>
      </c>
      <c r="K156" s="44">
        <f ca="1">IF($D$7=1,AVERAGE(J45,K45)*K155,0)</f>
        <v>5062.6675721273477</v>
      </c>
      <c r="M156" t="s">
        <v>173</v>
      </c>
    </row>
    <row r="157" spans="3:18" ht="15" customHeight="1">
      <c r="C157" s="50"/>
      <c r="D157" s="51"/>
      <c r="E157" s="51"/>
      <c r="F157" s="51"/>
      <c r="G157" s="51"/>
      <c r="H157" s="51"/>
    </row>
  </sheetData>
  <mergeCells count="1">
    <mergeCell ref="G95:K95"/>
  </mergeCells>
  <conditionalFormatting sqref="C39">
    <cfRule type="expression" dxfId="20" priority="2">
      <formula>#REF!=$C39</formula>
    </cfRule>
  </conditionalFormatting>
  <dataValidations count="2">
    <dataValidation type="list" allowBlank="1" showInputMessage="1" showErrorMessage="1" sqref="C3" xr:uid="{00000000-0002-0000-0700-000000000000}">
      <formula1>"$ bns except per share,$ mm except per share,$ in thousands except per share"</formula1>
      <formula2>0</formula2>
    </dataValidation>
    <dataValidation type="list" allowBlank="1" showInputMessage="1" showErrorMessage="1" sqref="D7" xr:uid="{00000000-0002-0000-0700-000001000000}">
      <formula1>"0,1"</formula1>
      <formula2>0</formula2>
    </dataValidation>
  </dataValidations>
  <pageMargins left="0.7" right="0.7" top="0.75" bottom="0.75" header="0.511811023622047" footer="0.511811023622047"/>
  <pageSetup orientation="portrait" horizontalDpi="300" verticalDpi="300"/>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B1:T157"/>
  <sheetViews>
    <sheetView topLeftCell="A138" zoomScaleNormal="100" workbookViewId="0">
      <selection activeCell="N38" sqref="N38"/>
    </sheetView>
  </sheetViews>
  <sheetFormatPr baseColWidth="10" defaultColWidth="8.83203125" defaultRowHeight="15"/>
  <cols>
    <col min="1" max="2" width="1.6640625" customWidth="1"/>
    <col min="3" max="3" width="46.6640625" customWidth="1"/>
    <col min="4" max="11" width="11.5" customWidth="1"/>
    <col min="12" max="12" width="2.33203125" customWidth="1"/>
    <col min="13" max="13" width="11.5" customWidth="1"/>
    <col min="14" max="14" width="11.83203125" customWidth="1"/>
    <col min="15" max="17" width="10.33203125" customWidth="1"/>
    <col min="18" max="19" width="9.5" customWidth="1"/>
  </cols>
  <sheetData>
    <row r="1" spans="3:19" ht="15.75" customHeight="1"/>
    <row r="2" spans="3:19" ht="15.75" customHeight="1">
      <c r="C2" s="4" t="str">
        <f>"Financial Statement Model for "&amp;D5</f>
        <v>Financial Statement Model for Apple</v>
      </c>
      <c r="D2" s="5"/>
      <c r="E2" s="5"/>
      <c r="F2" s="5"/>
      <c r="G2" s="5"/>
      <c r="H2" s="5"/>
      <c r="I2" s="5"/>
      <c r="J2" s="5"/>
      <c r="K2" s="5"/>
    </row>
    <row r="3" spans="3:19" ht="15" customHeight="1">
      <c r="C3" s="6" t="s">
        <v>0</v>
      </c>
      <c r="D3" s="7"/>
      <c r="E3" s="7"/>
      <c r="F3" s="7"/>
      <c r="G3" s="7"/>
      <c r="H3" s="7"/>
    </row>
    <row r="5" spans="3:19" ht="15" customHeight="1">
      <c r="C5" s="8" t="s">
        <v>1</v>
      </c>
      <c r="D5" s="9" t="s">
        <v>2</v>
      </c>
    </row>
    <row r="6" spans="3:19" ht="15" customHeight="1">
      <c r="C6" s="8" t="s">
        <v>3</v>
      </c>
      <c r="D6" s="9" t="s">
        <v>4</v>
      </c>
    </row>
    <row r="7" spans="3:19" ht="15" customHeight="1">
      <c r="C7" t="s">
        <v>5</v>
      </c>
      <c r="D7" s="10">
        <v>1</v>
      </c>
    </row>
    <row r="8" spans="3:19" ht="15" customHeight="1">
      <c r="C8" t="s">
        <v>6</v>
      </c>
      <c r="D8" s="11">
        <v>171.25</v>
      </c>
    </row>
    <row r="9" spans="3:19" ht="15" customHeight="1">
      <c r="C9" t="s">
        <v>7</v>
      </c>
      <c r="D9" s="12">
        <v>43500</v>
      </c>
    </row>
    <row r="10" spans="3:19" ht="15" customHeight="1">
      <c r="C10" s="8" t="s">
        <v>8</v>
      </c>
      <c r="D10" s="13">
        <v>43372</v>
      </c>
    </row>
    <row r="11" spans="3:19" ht="15" customHeight="1">
      <c r="C11" t="s">
        <v>9</v>
      </c>
      <c r="D11" s="54">
        <v>4745.3980000000001</v>
      </c>
    </row>
    <row r="13" spans="3:19" ht="15" customHeight="1">
      <c r="C13" s="16" t="s">
        <v>10</v>
      </c>
      <c r="D13" s="17"/>
      <c r="E13" s="17"/>
      <c r="F13" s="17"/>
      <c r="G13" s="17"/>
      <c r="H13" s="17"/>
      <c r="I13" s="17"/>
      <c r="J13" s="17"/>
      <c r="K13" s="17"/>
    </row>
    <row r="14" spans="3:19" ht="15" customHeight="1">
      <c r="C14" t="s">
        <v>11</v>
      </c>
      <c r="D14" s="18">
        <f>E14-1</f>
        <v>2016</v>
      </c>
      <c r="E14" s="18">
        <f>F14-1</f>
        <v>2017</v>
      </c>
      <c r="F14" s="18">
        <f>YEAR(D10)</f>
        <v>2018</v>
      </c>
      <c r="G14" s="55">
        <f>F14+1</f>
        <v>2019</v>
      </c>
      <c r="H14" s="55">
        <f>G14+1</f>
        <v>2020</v>
      </c>
      <c r="I14" s="55">
        <f>H14+1</f>
        <v>2021</v>
      </c>
      <c r="J14" s="55">
        <f>I14+1</f>
        <v>2022</v>
      </c>
      <c r="K14" s="55">
        <f>J14+1</f>
        <v>2023</v>
      </c>
    </row>
    <row r="15" spans="3:19" ht="15" customHeight="1">
      <c r="C15" s="19" t="s">
        <v>12</v>
      </c>
      <c r="D15" s="20">
        <f>EOMONTH(E15,-12)</f>
        <v>42643</v>
      </c>
      <c r="E15" s="20">
        <f>EOMONTH(F15,-12)</f>
        <v>43008</v>
      </c>
      <c r="F15" s="20">
        <f>D10</f>
        <v>43372</v>
      </c>
      <c r="G15" s="20">
        <f>EOMONTH(F15,12)</f>
        <v>43738</v>
      </c>
      <c r="H15" s="20">
        <f>EOMONTH(G15,12)</f>
        <v>44104</v>
      </c>
      <c r="I15" s="20">
        <f>EOMONTH(H15,12)</f>
        <v>44469</v>
      </c>
      <c r="J15" s="20">
        <f>EOMONTH(I15,12)</f>
        <v>44834</v>
      </c>
      <c r="K15" s="20">
        <f>EOMONTH(J15,12)</f>
        <v>45199</v>
      </c>
      <c r="M15" s="16" t="s">
        <v>66</v>
      </c>
      <c r="N15" s="17"/>
      <c r="O15" s="17"/>
      <c r="P15" s="17"/>
      <c r="Q15" s="17"/>
      <c r="R15" s="17"/>
      <c r="S15" s="17"/>
    </row>
    <row r="16" spans="3:19" ht="15" customHeight="1">
      <c r="C16" s="23"/>
      <c r="D16" s="24"/>
      <c r="E16" s="25"/>
      <c r="F16" s="25"/>
      <c r="G16" s="56"/>
      <c r="H16" s="57"/>
      <c r="I16" s="57"/>
      <c r="J16" s="25"/>
      <c r="K16" s="25"/>
    </row>
    <row r="17" spans="3:14" ht="15" customHeight="1">
      <c r="C17" t="s">
        <v>13</v>
      </c>
      <c r="D17" s="39">
        <v>215639</v>
      </c>
      <c r="E17" s="39">
        <v>229234</v>
      </c>
      <c r="F17" s="39">
        <v>265595</v>
      </c>
      <c r="G17" s="44">
        <f>F17*(1+G36)</f>
        <v>254971.19999999998</v>
      </c>
      <c r="H17" s="44">
        <f>G17*(1+H36)</f>
        <v>270269.47200000001</v>
      </c>
      <c r="I17" s="44">
        <f>H17*(1+I36)</f>
        <v>288918.06556800002</v>
      </c>
      <c r="J17" s="44">
        <f>I17*(1+J36)</f>
        <v>308853.41209219198</v>
      </c>
      <c r="K17" s="44">
        <f>J17*(1+K36)</f>
        <v>330164.29752655321</v>
      </c>
      <c r="M17" t="s">
        <v>67</v>
      </c>
    </row>
    <row r="18" spans="3:14" ht="15" customHeight="1">
      <c r="C18" t="s">
        <v>14</v>
      </c>
      <c r="D18" s="39">
        <v>-131376</v>
      </c>
      <c r="E18" s="39">
        <v>-141048</v>
      </c>
      <c r="F18" s="39">
        <v>-163756</v>
      </c>
      <c r="G18" s="44">
        <f>G19-G17</f>
        <v>-158592.08639999997</v>
      </c>
      <c r="H18" s="44">
        <f>H19-H17</f>
        <v>-167296.80316800001</v>
      </c>
      <c r="I18" s="44">
        <f>I19-I17</f>
        <v>-178551.36452102399</v>
      </c>
      <c r="J18" s="44">
        <f>J19-J17</f>
        <v>-190871.40867297465</v>
      </c>
      <c r="K18" s="44">
        <f>K19-K17</f>
        <v>-204041.53587140987</v>
      </c>
      <c r="M18" t="s">
        <v>68</v>
      </c>
    </row>
    <row r="19" spans="3:14" ht="15" customHeight="1">
      <c r="C19" s="27" t="s">
        <v>15</v>
      </c>
      <c r="D19" s="41">
        <f>SUM(D17:D18)</f>
        <v>84263</v>
      </c>
      <c r="E19" s="41">
        <f>SUM(E17:E18)</f>
        <v>88186</v>
      </c>
      <c r="F19" s="41">
        <f>SUM(F17:F18)</f>
        <v>101839</v>
      </c>
      <c r="G19" s="41">
        <f>G17*G37</f>
        <v>96379.113599999997</v>
      </c>
      <c r="H19" s="41">
        <f>H17*H37</f>
        <v>102972.66883200001</v>
      </c>
      <c r="I19" s="41">
        <f>I17*I37</f>
        <v>110366.70104697601</v>
      </c>
      <c r="J19" s="41">
        <f>J17*J37</f>
        <v>117982.00341921733</v>
      </c>
      <c r="K19" s="41">
        <f>K17*K37</f>
        <v>126122.76165514333</v>
      </c>
      <c r="M19" t="s">
        <v>69</v>
      </c>
    </row>
    <row r="20" spans="3:14" ht="15" customHeight="1">
      <c r="C20" t="s">
        <v>16</v>
      </c>
      <c r="D20" s="39">
        <v>-10045</v>
      </c>
      <c r="E20" s="39">
        <v>-11581</v>
      </c>
      <c r="F20" s="39">
        <v>-14236</v>
      </c>
      <c r="G20" s="44">
        <f>-G38*G17</f>
        <v>-15808.214399999999</v>
      </c>
      <c r="H20" s="44">
        <f>-H38*H17</f>
        <v>-17026.976736000001</v>
      </c>
      <c r="I20" s="44">
        <f>-I38*I17</f>
        <v>-18201.838130784003</v>
      </c>
      <c r="J20" s="44">
        <f>-J38*J17</f>
        <v>-19457.764961808094</v>
      </c>
      <c r="K20" s="44">
        <f>-K38*K17</f>
        <v>-20800.350744172854</v>
      </c>
      <c r="M20" t="s">
        <v>70</v>
      </c>
    </row>
    <row r="21" spans="3:14" ht="15" customHeight="1">
      <c r="C21" t="s">
        <v>17</v>
      </c>
      <c r="D21" s="39">
        <v>-14194</v>
      </c>
      <c r="E21" s="39">
        <v>-15261</v>
      </c>
      <c r="F21" s="39">
        <v>-16705</v>
      </c>
      <c r="G21" s="44">
        <f>-G17*G39</f>
        <v>-18867.868799999997</v>
      </c>
      <c r="H21" s="44">
        <f>-H17*H39</f>
        <v>-18648.593568000004</v>
      </c>
      <c r="I21" s="44">
        <f>-I17*I39</f>
        <v>-19935.346524192002</v>
      </c>
      <c r="J21" s="44">
        <f>-J17*J39</f>
        <v>-21310.885434361247</v>
      </c>
      <c r="K21" s="44">
        <f>-K17*K39</f>
        <v>-22781.336529332173</v>
      </c>
      <c r="M21" t="s">
        <v>71</v>
      </c>
    </row>
    <row r="22" spans="3:14" ht="15" customHeight="1">
      <c r="C22" s="27" t="s">
        <v>18</v>
      </c>
      <c r="D22" s="41">
        <f t="shared" ref="D22:K22" si="0">D19+D20+D21</f>
        <v>60024</v>
      </c>
      <c r="E22" s="41">
        <f t="shared" si="0"/>
        <v>61344</v>
      </c>
      <c r="F22" s="41">
        <f t="shared" si="0"/>
        <v>70898</v>
      </c>
      <c r="G22" s="41">
        <f t="shared" si="0"/>
        <v>61703.030400000003</v>
      </c>
      <c r="H22" s="41">
        <f t="shared" si="0"/>
        <v>67297.098528000002</v>
      </c>
      <c r="I22" s="41">
        <f t="shared" si="0"/>
        <v>72229.516392000005</v>
      </c>
      <c r="J22" s="41">
        <f t="shared" si="0"/>
        <v>77213.353023047996</v>
      </c>
      <c r="K22" s="41">
        <f t="shared" si="0"/>
        <v>82541.074381638304</v>
      </c>
      <c r="M22" s="27" t="s">
        <v>72</v>
      </c>
    </row>
    <row r="23" spans="3:14" ht="15" customHeight="1">
      <c r="C23" t="s">
        <v>19</v>
      </c>
      <c r="D23" s="39">
        <v>3999</v>
      </c>
      <c r="E23" s="39">
        <v>5201</v>
      </c>
      <c r="F23" s="39">
        <v>5686</v>
      </c>
      <c r="G23" s="42">
        <f ca="1">G156</f>
        <v>4744.4371106301642</v>
      </c>
      <c r="H23" s="42">
        <f ca="1">H156</f>
        <v>4090.2133392642463</v>
      </c>
      <c r="I23" s="42">
        <f ca="1">I156</f>
        <v>3592.0870665129901</v>
      </c>
      <c r="J23" s="42">
        <f ca="1">J156</f>
        <v>3200.5876330043361</v>
      </c>
      <c r="K23" s="42">
        <f ca="1">K156</f>
        <v>2913.259316698618</v>
      </c>
      <c r="M23" t="s">
        <v>73</v>
      </c>
    </row>
    <row r="24" spans="3:14" ht="15" customHeight="1">
      <c r="C24" t="s">
        <v>20</v>
      </c>
      <c r="D24" s="39">
        <v>-1456</v>
      </c>
      <c r="E24" s="39">
        <v>-2323</v>
      </c>
      <c r="F24" s="39">
        <v>-3240</v>
      </c>
      <c r="G24" s="42">
        <f ca="1">-G142</f>
        <v>-3223.1468651501777</v>
      </c>
      <c r="H24" s="42">
        <f ca="1">-H142</f>
        <v>-3223.5392651501775</v>
      </c>
      <c r="I24" s="42">
        <f ca="1">-I142</f>
        <v>-3223.5392651501775</v>
      </c>
      <c r="J24" s="42">
        <f ca="1">-J142</f>
        <v>-3223.5392651501775</v>
      </c>
      <c r="K24" s="42">
        <f ca="1">-K142</f>
        <v>-3223.5392651501775</v>
      </c>
      <c r="M24" t="s">
        <v>74</v>
      </c>
    </row>
    <row r="25" spans="3:14" ht="15" customHeight="1">
      <c r="C25" t="s">
        <v>21</v>
      </c>
      <c r="D25" s="39">
        <v>-1195</v>
      </c>
      <c r="E25" s="39">
        <v>-133</v>
      </c>
      <c r="F25" s="39">
        <v>-441</v>
      </c>
      <c r="G25" s="42">
        <f>F25</f>
        <v>-441</v>
      </c>
      <c r="H25" s="42">
        <f>G25</f>
        <v>-441</v>
      </c>
      <c r="I25" s="42">
        <f>H25</f>
        <v>-441</v>
      </c>
      <c r="J25" s="42">
        <f>I25</f>
        <v>-441</v>
      </c>
      <c r="K25" s="42">
        <f>J25</f>
        <v>-441</v>
      </c>
      <c r="M25" t="s">
        <v>75</v>
      </c>
    </row>
    <row r="26" spans="3:14" ht="15" customHeight="1">
      <c r="C26" s="27" t="s">
        <v>22</v>
      </c>
      <c r="D26" s="41">
        <f t="shared" ref="D26:K26" si="1">SUM(D22:D25)</f>
        <v>61372</v>
      </c>
      <c r="E26" s="41">
        <f t="shared" si="1"/>
        <v>64089</v>
      </c>
      <c r="F26" s="41">
        <f t="shared" si="1"/>
        <v>72903</v>
      </c>
      <c r="G26" s="41">
        <f t="shared" ca="1" si="1"/>
        <v>62783.320645479995</v>
      </c>
      <c r="H26" s="41">
        <f t="shared" ca="1" si="1"/>
        <v>67722.77260211407</v>
      </c>
      <c r="I26" s="41">
        <f t="shared" ca="1" si="1"/>
        <v>72157.064193362821</v>
      </c>
      <c r="J26" s="41">
        <f t="shared" ca="1" si="1"/>
        <v>76749.40139090216</v>
      </c>
      <c r="K26" s="41">
        <f t="shared" ca="1" si="1"/>
        <v>81789.794433186747</v>
      </c>
      <c r="M26" s="27" t="s">
        <v>76</v>
      </c>
      <c r="N26" s="27"/>
    </row>
    <row r="27" spans="3:14" ht="15" customHeight="1">
      <c r="C27" t="s">
        <v>23</v>
      </c>
      <c r="D27" s="39">
        <v>-15685</v>
      </c>
      <c r="E27" s="39">
        <v>-15738</v>
      </c>
      <c r="F27" s="39">
        <v>-13372</v>
      </c>
      <c r="G27" s="44">
        <f ca="1">-G40*G26</f>
        <v>-10484.81454779516</v>
      </c>
      <c r="H27" s="44">
        <f ca="1">-H40*H26</f>
        <v>-11512.871342359393</v>
      </c>
      <c r="I27" s="44">
        <f ca="1">-I40*I26</f>
        <v>-12194.543848678317</v>
      </c>
      <c r="J27" s="44">
        <f ca="1">-J40*J26</f>
        <v>-12970.648835062466</v>
      </c>
      <c r="K27" s="44">
        <f ca="1">-K40*K26</f>
        <v>-13822.475259208561</v>
      </c>
      <c r="M27" t="s">
        <v>77</v>
      </c>
    </row>
    <row r="28" spans="3:14" ht="15" customHeight="1">
      <c r="C28" s="27" t="s">
        <v>24</v>
      </c>
      <c r="D28" s="41">
        <f t="shared" ref="D28:K28" si="2">SUM(D26:D27)</f>
        <v>45687</v>
      </c>
      <c r="E28" s="41">
        <f t="shared" si="2"/>
        <v>48351</v>
      </c>
      <c r="F28" s="41">
        <f t="shared" si="2"/>
        <v>59531</v>
      </c>
      <c r="G28" s="41">
        <f t="shared" ca="1" si="2"/>
        <v>52298.506097684833</v>
      </c>
      <c r="H28" s="41">
        <f t="shared" ca="1" si="2"/>
        <v>56209.901259754675</v>
      </c>
      <c r="I28" s="41">
        <f t="shared" ca="1" si="2"/>
        <v>59962.520344684504</v>
      </c>
      <c r="J28" s="41">
        <f t="shared" ca="1" si="2"/>
        <v>63778.752555839696</v>
      </c>
      <c r="K28" s="41">
        <f t="shared" ca="1" si="2"/>
        <v>67967.319173978191</v>
      </c>
      <c r="M28" s="27" t="s">
        <v>78</v>
      </c>
    </row>
    <row r="29" spans="3:14" ht="15" customHeight="1">
      <c r="C29" s="29"/>
      <c r="D29" s="42"/>
      <c r="E29" s="42"/>
      <c r="F29" s="42"/>
      <c r="G29" s="42"/>
      <c r="H29" s="42"/>
      <c r="I29" s="42"/>
      <c r="J29" s="42"/>
      <c r="K29" s="42"/>
    </row>
    <row r="30" spans="3:14" ht="15" customHeight="1">
      <c r="C30" s="30" t="s">
        <v>25</v>
      </c>
      <c r="D30" s="39">
        <v>10505</v>
      </c>
      <c r="E30" s="39">
        <v>10157</v>
      </c>
      <c r="F30" s="39">
        <v>10903</v>
      </c>
      <c r="G30" s="42">
        <f>G106</f>
        <v>11085.020171261172</v>
      </c>
      <c r="H30" s="42">
        <f>H106</f>
        <v>11711.890744865921</v>
      </c>
      <c r="I30" s="42">
        <f>I106</f>
        <v>12226.380531123083</v>
      </c>
      <c r="J30" s="42">
        <f>J106</f>
        <v>13365.451007770575</v>
      </c>
      <c r="K30" s="42">
        <f>K106</f>
        <v>14603.503412486743</v>
      </c>
      <c r="M30" t="s">
        <v>79</v>
      </c>
    </row>
    <row r="31" spans="3:14" ht="15" customHeight="1">
      <c r="C31" s="31" t="s">
        <v>26</v>
      </c>
      <c r="D31" s="41">
        <f t="shared" ref="D31:K31" si="3">D22+D30</f>
        <v>70529</v>
      </c>
      <c r="E31" s="41">
        <f t="shared" si="3"/>
        <v>71501</v>
      </c>
      <c r="F31" s="41">
        <f t="shared" si="3"/>
        <v>81801</v>
      </c>
      <c r="G31" s="41">
        <f t="shared" si="3"/>
        <v>72788.050571261178</v>
      </c>
      <c r="H31" s="41">
        <f t="shared" si="3"/>
        <v>79008.989272865918</v>
      </c>
      <c r="I31" s="41">
        <f t="shared" si="3"/>
        <v>84455.896923123088</v>
      </c>
      <c r="J31" s="41">
        <f t="shared" si="3"/>
        <v>90578.804030818574</v>
      </c>
      <c r="K31" s="41">
        <f t="shared" si="3"/>
        <v>97144.577794125042</v>
      </c>
      <c r="M31" s="27" t="s">
        <v>80</v>
      </c>
    </row>
    <row r="32" spans="3:14" ht="15" customHeight="1">
      <c r="C32" s="30" t="s">
        <v>27</v>
      </c>
      <c r="D32" s="39">
        <v>4210</v>
      </c>
      <c r="E32" s="39">
        <v>4840</v>
      </c>
      <c r="F32" s="39">
        <v>5340</v>
      </c>
      <c r="G32" s="42">
        <f>F32*(1+G36)</f>
        <v>5126.3999999999996</v>
      </c>
      <c r="H32" s="42">
        <f>G32*(1+H36)</f>
        <v>5433.9839999999995</v>
      </c>
      <c r="I32" s="42">
        <f>H32*(1+I36)</f>
        <v>5808.9288959999994</v>
      </c>
      <c r="J32" s="42">
        <f>I32*(1+J36)</f>
        <v>6209.7449898239993</v>
      </c>
      <c r="K32" s="42">
        <f>J32*(1+K36)</f>
        <v>6638.2173941218552</v>
      </c>
      <c r="M32" t="s">
        <v>81</v>
      </c>
    </row>
    <row r="33" spans="2:20" ht="15" customHeight="1">
      <c r="C33" s="31" t="s">
        <v>28</v>
      </c>
      <c r="D33" s="41">
        <f t="shared" ref="D33:K33" si="4">SUM(D31:D32)</f>
        <v>74739</v>
      </c>
      <c r="E33" s="41">
        <f t="shared" si="4"/>
        <v>76341</v>
      </c>
      <c r="F33" s="41">
        <f t="shared" si="4"/>
        <v>87141</v>
      </c>
      <c r="G33" s="41">
        <f t="shared" si="4"/>
        <v>77914.450571261172</v>
      </c>
      <c r="H33" s="41">
        <f t="shared" si="4"/>
        <v>84442.973272865915</v>
      </c>
      <c r="I33" s="41">
        <f t="shared" si="4"/>
        <v>90264.825819123085</v>
      </c>
      <c r="J33" s="41">
        <f t="shared" si="4"/>
        <v>96788.549020642575</v>
      </c>
      <c r="K33" s="41">
        <f t="shared" si="4"/>
        <v>103782.79518824689</v>
      </c>
      <c r="M33" s="27" t="s">
        <v>82</v>
      </c>
    </row>
    <row r="34" spans="2:20" ht="15" customHeight="1">
      <c r="C34" s="29"/>
      <c r="G34" s="62"/>
    </row>
    <row r="35" spans="2:20" ht="15" customHeight="1">
      <c r="C35" s="32" t="s">
        <v>83</v>
      </c>
    </row>
    <row r="36" spans="2:20" ht="15" customHeight="1">
      <c r="C36" s="29" t="s">
        <v>30</v>
      </c>
      <c r="D36" s="63"/>
      <c r="E36" s="63">
        <f>E17/D17-1</f>
        <v>6.304518199398057E-2</v>
      </c>
      <c r="F36" s="63">
        <f>F17/E17-1</f>
        <v>0.15861957650261305</v>
      </c>
      <c r="G36" s="35">
        <v>-0.04</v>
      </c>
      <c r="H36" s="35">
        <v>0.06</v>
      </c>
      <c r="I36" s="35">
        <v>6.9000000000000006E-2</v>
      </c>
      <c r="J36" s="63">
        <f t="shared" ref="J36:K40" si="5">I36</f>
        <v>6.9000000000000006E-2</v>
      </c>
      <c r="K36" s="63">
        <f t="shared" si="5"/>
        <v>6.9000000000000006E-2</v>
      </c>
      <c r="M36" t="s">
        <v>84</v>
      </c>
      <c r="O36" s="35"/>
      <c r="P36" s="35"/>
      <c r="Q36" s="35"/>
      <c r="R36" s="35"/>
      <c r="S36" s="35"/>
      <c r="T36" s="35"/>
    </row>
    <row r="37" spans="2:20" ht="15" customHeight="1">
      <c r="C37" s="29" t="s">
        <v>31</v>
      </c>
      <c r="D37" s="63">
        <f>D19/D17</f>
        <v>0.39075955648097049</v>
      </c>
      <c r="E37" s="63">
        <f>E19/E17</f>
        <v>0.38469860491899105</v>
      </c>
      <c r="F37" s="63">
        <f>F19/F17</f>
        <v>0.38343718820007905</v>
      </c>
      <c r="G37" s="35">
        <v>0.378</v>
      </c>
      <c r="H37" s="35">
        <v>0.38100000000000001</v>
      </c>
      <c r="I37" s="35">
        <v>0.38200000000000001</v>
      </c>
      <c r="J37" s="63">
        <f t="shared" si="5"/>
        <v>0.38200000000000001</v>
      </c>
      <c r="K37" s="63">
        <f t="shared" si="5"/>
        <v>0.38200000000000001</v>
      </c>
      <c r="M37" t="s">
        <v>85</v>
      </c>
      <c r="O37" s="35"/>
      <c r="P37" s="35"/>
      <c r="Q37" s="35"/>
      <c r="R37" s="35"/>
      <c r="S37" s="35"/>
      <c r="T37" s="35"/>
    </row>
    <row r="38" spans="2:20" ht="15" customHeight="1">
      <c r="C38" s="29" t="s">
        <v>32</v>
      </c>
      <c r="D38" s="63">
        <f>-D20/D17</f>
        <v>4.6582482760539605E-2</v>
      </c>
      <c r="E38" s="63">
        <f>-E20/E17</f>
        <v>5.0520428906706681E-2</v>
      </c>
      <c r="F38" s="63">
        <f>-F20/F17</f>
        <v>5.3600406634161032E-2</v>
      </c>
      <c r="G38" s="35">
        <v>6.2E-2</v>
      </c>
      <c r="H38" s="35">
        <v>6.3E-2</v>
      </c>
      <c r="I38" s="35">
        <v>6.3E-2</v>
      </c>
      <c r="J38" s="63">
        <f t="shared" si="5"/>
        <v>6.3E-2</v>
      </c>
      <c r="K38" s="63">
        <f t="shared" si="5"/>
        <v>6.3E-2</v>
      </c>
      <c r="M38" t="s">
        <v>86</v>
      </c>
      <c r="O38" s="35"/>
      <c r="P38" s="35"/>
      <c r="Q38" s="35"/>
      <c r="R38" s="35"/>
      <c r="S38" s="35"/>
      <c r="T38" s="35"/>
    </row>
    <row r="39" spans="2:20" ht="15" customHeight="1">
      <c r="C39" s="29" t="s">
        <v>33</v>
      </c>
      <c r="D39" s="63">
        <f>-D21/D17</f>
        <v>6.5822972653369755E-2</v>
      </c>
      <c r="E39" s="63">
        <f>-E21/E17</f>
        <v>6.6573893924984945E-2</v>
      </c>
      <c r="F39" s="63">
        <f>-F21/F17</f>
        <v>6.2896515371147807E-2</v>
      </c>
      <c r="G39" s="35">
        <v>7.3999999999999996E-2</v>
      </c>
      <c r="H39" s="35">
        <v>6.9000000000000006E-2</v>
      </c>
      <c r="I39" s="35">
        <v>6.9000000000000006E-2</v>
      </c>
      <c r="J39" s="63">
        <f t="shared" si="5"/>
        <v>6.9000000000000006E-2</v>
      </c>
      <c r="K39" s="63">
        <f t="shared" si="5"/>
        <v>6.9000000000000006E-2</v>
      </c>
      <c r="M39" t="s">
        <v>86</v>
      </c>
      <c r="O39" s="35"/>
      <c r="P39" s="35"/>
      <c r="Q39" s="35"/>
      <c r="R39" s="35"/>
      <c r="S39" s="35"/>
      <c r="T39" s="35"/>
    </row>
    <row r="40" spans="2:20" ht="15" customHeight="1">
      <c r="C40" s="29" t="s">
        <v>34</v>
      </c>
      <c r="D40" s="63">
        <f>-(D27/D26)</f>
        <v>0.25557257381216192</v>
      </c>
      <c r="E40" s="63">
        <f>-(E27/E26)</f>
        <v>0.24556476150353415</v>
      </c>
      <c r="F40" s="63">
        <f>-(F27/F26)</f>
        <v>0.18342180705869443</v>
      </c>
      <c r="G40" s="35">
        <v>0.16700000000000001</v>
      </c>
      <c r="H40" s="35">
        <v>0.17</v>
      </c>
      <c r="I40" s="35">
        <v>0.16900000000000001</v>
      </c>
      <c r="J40" s="63">
        <f t="shared" si="5"/>
        <v>0.16900000000000001</v>
      </c>
      <c r="K40" s="63">
        <f t="shared" si="5"/>
        <v>0.16900000000000001</v>
      </c>
      <c r="M40" t="s">
        <v>86</v>
      </c>
      <c r="O40" s="35"/>
      <c r="P40" s="35"/>
      <c r="Q40" s="35"/>
      <c r="R40" s="35"/>
      <c r="S40" s="35"/>
      <c r="T40" s="35"/>
    </row>
    <row r="41" spans="2:20" ht="15" customHeight="1">
      <c r="C41" s="29"/>
      <c r="G41" s="62"/>
    </row>
    <row r="42" spans="2:20" ht="15" customHeight="1">
      <c r="C42" s="16" t="s">
        <v>35</v>
      </c>
      <c r="D42" s="20"/>
      <c r="E42" s="20"/>
      <c r="F42" s="20"/>
      <c r="G42" s="17"/>
      <c r="H42" s="17"/>
      <c r="I42" s="17"/>
      <c r="J42" s="17"/>
      <c r="K42" s="17"/>
    </row>
    <row r="43" spans="2:20" ht="15" customHeight="1">
      <c r="C43" s="36" t="str">
        <f>C14</f>
        <v xml:space="preserve">Fiscal year  </v>
      </c>
      <c r="D43" s="37"/>
      <c r="E43" s="37">
        <f t="shared" ref="E43:K44" si="6">E14</f>
        <v>2017</v>
      </c>
      <c r="F43" s="37">
        <f t="shared" si="6"/>
        <v>2018</v>
      </c>
      <c r="G43" s="65">
        <f t="shared" si="6"/>
        <v>2019</v>
      </c>
      <c r="H43" s="65">
        <f t="shared" si="6"/>
        <v>2020</v>
      </c>
      <c r="I43" s="65">
        <f t="shared" si="6"/>
        <v>2021</v>
      </c>
      <c r="J43" s="65">
        <f t="shared" si="6"/>
        <v>2022</v>
      </c>
      <c r="K43" s="65">
        <f t="shared" si="6"/>
        <v>2023</v>
      </c>
    </row>
    <row r="44" spans="2:20" ht="15" customHeight="1">
      <c r="C44" s="17" t="str">
        <f>C15</f>
        <v>Fiscal year end date</v>
      </c>
      <c r="D44" s="38"/>
      <c r="E44" s="38">
        <f t="shared" si="6"/>
        <v>43008</v>
      </c>
      <c r="F44" s="38">
        <f t="shared" si="6"/>
        <v>43372</v>
      </c>
      <c r="G44" s="38">
        <f t="shared" si="6"/>
        <v>43738</v>
      </c>
      <c r="H44" s="38">
        <f t="shared" si="6"/>
        <v>44104</v>
      </c>
      <c r="I44" s="38">
        <f t="shared" si="6"/>
        <v>44469</v>
      </c>
      <c r="J44" s="38">
        <f t="shared" si="6"/>
        <v>44834</v>
      </c>
      <c r="K44" s="38">
        <f t="shared" si="6"/>
        <v>45199</v>
      </c>
    </row>
    <row r="45" spans="2:20" ht="15" customHeight="1">
      <c r="B45" t="s">
        <v>187</v>
      </c>
      <c r="C45" t="s">
        <v>38</v>
      </c>
      <c r="D45" s="39"/>
      <c r="E45" s="39">
        <f>20289+53892+194714</f>
        <v>268895</v>
      </c>
      <c r="F45" s="39">
        <f>25913+40388+170799</f>
        <v>237100</v>
      </c>
      <c r="G45" s="42">
        <f ca="1">G90+F45</f>
        <v>202199.73246575586</v>
      </c>
      <c r="H45" s="42">
        <f ca="1">H90+G45</f>
        <v>176523.72487352614</v>
      </c>
      <c r="I45" s="42">
        <f ca="1">I90+H45</f>
        <v>156076.92943323214</v>
      </c>
      <c r="J45" s="42">
        <f ca="1">J90+I45</f>
        <v>140273.77732642859</v>
      </c>
      <c r="K45" s="42">
        <f ca="1">K90+J45</f>
        <v>129472.4557012212</v>
      </c>
      <c r="M45" t="s">
        <v>87</v>
      </c>
    </row>
    <row r="46" spans="2:20" ht="15" customHeight="1">
      <c r="B46" t="s">
        <v>187</v>
      </c>
      <c r="C46" t="s">
        <v>39</v>
      </c>
      <c r="D46" s="39"/>
      <c r="E46" s="39">
        <v>17874</v>
      </c>
      <c r="F46" s="39">
        <v>23186</v>
      </c>
      <c r="G46" s="42">
        <f>F46*(1+G36)</f>
        <v>22258.559999999998</v>
      </c>
      <c r="H46" s="42">
        <f>G46*(1+H36)</f>
        <v>23594.0736</v>
      </c>
      <c r="I46" s="42">
        <f>H46*(1+I36)</f>
        <v>25222.064678399998</v>
      </c>
      <c r="J46" s="42">
        <f>I46*(1+J36)</f>
        <v>26962.387141209598</v>
      </c>
      <c r="K46" s="42">
        <f>J46*(1+K36)</f>
        <v>28822.791853953058</v>
      </c>
      <c r="M46" t="s">
        <v>88</v>
      </c>
    </row>
    <row r="47" spans="2:20" ht="15" customHeight="1">
      <c r="B47" t="s">
        <v>187</v>
      </c>
      <c r="C47" t="s">
        <v>40</v>
      </c>
      <c r="D47" s="39"/>
      <c r="E47" s="39">
        <v>4855</v>
      </c>
      <c r="F47" s="39">
        <v>3956</v>
      </c>
      <c r="G47" s="42">
        <f>F47*G18/F18</f>
        <v>3831.2507254598299</v>
      </c>
      <c r="H47" s="42">
        <f>G47*H18/G18</f>
        <v>4041.5383456643303</v>
      </c>
      <c r="I47" s="42">
        <f>H47*I18/H18</f>
        <v>4313.4248396710409</v>
      </c>
      <c r="J47" s="42">
        <f>I47*J18/I18</f>
        <v>4611.0511536083422</v>
      </c>
      <c r="K47" s="42">
        <f>J47*K18/J18</f>
        <v>4929.2136832073174</v>
      </c>
      <c r="M47" t="s">
        <v>89</v>
      </c>
    </row>
    <row r="48" spans="2:20" ht="15" customHeight="1">
      <c r="B48" t="s">
        <v>187</v>
      </c>
      <c r="C48" t="s">
        <v>41</v>
      </c>
      <c r="D48" s="39"/>
      <c r="E48" s="39">
        <f>17799+13936</f>
        <v>31735</v>
      </c>
      <c r="F48" s="39">
        <f>25809+12087</f>
        <v>37896</v>
      </c>
      <c r="G48" s="42">
        <f>F48*(1+G36)</f>
        <v>36380.159999999996</v>
      </c>
      <c r="H48" s="42">
        <f>G48*(1+H36)</f>
        <v>38562.969599999997</v>
      </c>
      <c r="I48" s="42">
        <f>H48*(1+I36)</f>
        <v>41223.814502399997</v>
      </c>
      <c r="J48" s="42">
        <f>I48*(1+J36)</f>
        <v>44068.257703065596</v>
      </c>
      <c r="K48" s="42">
        <f>J48*(1+K36)</f>
        <v>47108.967484577122</v>
      </c>
      <c r="M48" t="s">
        <v>88</v>
      </c>
      <c r="N48" s="42"/>
    </row>
    <row r="49" spans="2:14" ht="15" customHeight="1">
      <c r="B49" t="s">
        <v>187</v>
      </c>
      <c r="C49" t="s">
        <v>42</v>
      </c>
      <c r="D49" s="39"/>
      <c r="E49" s="39">
        <v>33783</v>
      </c>
      <c r="F49" s="39">
        <v>41304</v>
      </c>
      <c r="G49" s="42">
        <f>G99</f>
        <v>45042.85982873883</v>
      </c>
      <c r="H49" s="42">
        <f>H99</f>
        <v>48611.181883872909</v>
      </c>
      <c r="I49" s="42">
        <f>I99</f>
        <v>51947.567835949827</v>
      </c>
      <c r="J49" s="42">
        <f>J99</f>
        <v>55218.714198720052</v>
      </c>
      <c r="K49" s="42">
        <f>K99</f>
        <v>58399.73337534142</v>
      </c>
      <c r="M49" t="s">
        <v>90</v>
      </c>
    </row>
    <row r="50" spans="2:14" ht="15" customHeight="1">
      <c r="B50" t="s">
        <v>187</v>
      </c>
      <c r="C50" t="s">
        <v>43</v>
      </c>
      <c r="D50" s="39"/>
      <c r="E50" s="39">
        <v>18177</v>
      </c>
      <c r="F50" s="39">
        <v>22283</v>
      </c>
      <c r="G50" s="42">
        <f>F50*(1+G36)</f>
        <v>21391.68</v>
      </c>
      <c r="H50" s="42">
        <f>G50*(1+H36)</f>
        <v>22675.180800000002</v>
      </c>
      <c r="I50" s="42">
        <f>H50*(1+I36)</f>
        <v>24239.7682752</v>
      </c>
      <c r="J50" s="42">
        <f>I50*(1+J36)</f>
        <v>25912.3122861888</v>
      </c>
      <c r="K50" s="42">
        <f>J50*(1+K36)</f>
        <v>27700.261833935827</v>
      </c>
      <c r="M50" t="s">
        <v>88</v>
      </c>
    </row>
    <row r="51" spans="2:14" ht="15" customHeight="1">
      <c r="C51" s="31" t="s">
        <v>44</v>
      </c>
      <c r="D51" s="41"/>
      <c r="E51" s="41">
        <f t="shared" ref="E51:K51" si="7">SUM(E45:E50)</f>
        <v>375319</v>
      </c>
      <c r="F51" s="41">
        <f t="shared" si="7"/>
        <v>365725</v>
      </c>
      <c r="G51" s="45">
        <f t="shared" ca="1" si="7"/>
        <v>331104.24301995453</v>
      </c>
      <c r="H51" s="45">
        <f t="shared" ca="1" si="7"/>
        <v>314008.66910306341</v>
      </c>
      <c r="I51" s="45">
        <f t="shared" ca="1" si="7"/>
        <v>303023.56956485298</v>
      </c>
      <c r="J51" s="45">
        <f t="shared" ca="1" si="7"/>
        <v>297046.49980922102</v>
      </c>
      <c r="K51" s="45">
        <f t="shared" ca="1" si="7"/>
        <v>296433.42393223592</v>
      </c>
    </row>
    <row r="52" spans="2:14" ht="15" customHeight="1">
      <c r="C52" s="30"/>
      <c r="D52" s="42"/>
      <c r="E52" s="42"/>
      <c r="F52" s="42"/>
      <c r="G52" s="42"/>
      <c r="H52" s="42"/>
      <c r="I52" s="42"/>
      <c r="J52" s="42"/>
      <c r="K52" s="42"/>
    </row>
    <row r="53" spans="2:14" ht="15" customHeight="1">
      <c r="B53" t="s">
        <v>187</v>
      </c>
      <c r="C53" s="30" t="s">
        <v>45</v>
      </c>
      <c r="D53" s="39"/>
      <c r="E53" s="39">
        <v>44242</v>
      </c>
      <c r="F53" s="39">
        <v>55888</v>
      </c>
      <c r="G53" s="42">
        <f>F53*G18/F18</f>
        <v>54125.616922269706</v>
      </c>
      <c r="H53" s="42">
        <f>G53*H18/G18</f>
        <v>57096.434545623881</v>
      </c>
      <c r="I53" s="42">
        <f>H53*I18/H18</f>
        <v>60937.484185928995</v>
      </c>
      <c r="J53" s="42">
        <f>I53*J18/I18</f>
        <v>65142.170594758099</v>
      </c>
      <c r="K53" s="42">
        <f>J53*K18/J18</f>
        <v>69636.980365796408</v>
      </c>
      <c r="M53" t="s">
        <v>89</v>
      </c>
    </row>
    <row r="54" spans="2:14" ht="15" customHeight="1">
      <c r="B54" t="s">
        <v>187</v>
      </c>
      <c r="C54" s="30" t="s">
        <v>46</v>
      </c>
      <c r="D54" s="39"/>
      <c r="E54" s="39">
        <v>30551</v>
      </c>
      <c r="F54" s="39">
        <v>32687</v>
      </c>
      <c r="G54" s="42">
        <f>F54*(1+G36)</f>
        <v>31379.52</v>
      </c>
      <c r="H54" s="42">
        <f>G54*(1+H36)</f>
        <v>33262.2912</v>
      </c>
      <c r="I54" s="42">
        <f>H54*(1+I36)</f>
        <v>35557.389292799999</v>
      </c>
      <c r="J54" s="42">
        <f>I54*(1+J36)</f>
        <v>38010.849154003197</v>
      </c>
      <c r="K54" s="42">
        <f>J54*(1+K36)</f>
        <v>40633.597745629413</v>
      </c>
      <c r="M54" t="s">
        <v>88</v>
      </c>
    </row>
    <row r="55" spans="2:14" ht="15" customHeight="1">
      <c r="B55" t="s">
        <v>187</v>
      </c>
      <c r="C55" s="30" t="s">
        <v>47</v>
      </c>
      <c r="D55" s="39"/>
      <c r="E55" s="39">
        <f>7548+2836</f>
        <v>10384</v>
      </c>
      <c r="F55" s="39">
        <f>7543+2797</f>
        <v>10340</v>
      </c>
      <c r="G55" s="42">
        <f>F55*(1+G36)</f>
        <v>9926.4</v>
      </c>
      <c r="H55" s="42">
        <f>G55*(1+H36)</f>
        <v>10521.984</v>
      </c>
      <c r="I55" s="42">
        <f>H55*(1+I36)</f>
        <v>11248.000896</v>
      </c>
      <c r="J55" s="42">
        <f>I55*(1+J36)</f>
        <v>12024.112957824</v>
      </c>
      <c r="K55" s="42">
        <f>J55*(1+K36)</f>
        <v>12853.776751913854</v>
      </c>
      <c r="M55" t="s">
        <v>88</v>
      </c>
      <c r="N55" s="42"/>
    </row>
    <row r="56" spans="2:14" ht="15" customHeight="1">
      <c r="B56" t="s">
        <v>187</v>
      </c>
      <c r="C56" s="30" t="s">
        <v>48</v>
      </c>
      <c r="D56" s="39"/>
      <c r="E56" s="39">
        <v>11977</v>
      </c>
      <c r="F56" s="39">
        <v>11964</v>
      </c>
      <c r="G56" s="42">
        <f ca="1">G135</f>
        <v>12000</v>
      </c>
      <c r="H56" s="42">
        <f ca="1">H135</f>
        <v>12000</v>
      </c>
      <c r="I56" s="42">
        <f ca="1">I135</f>
        <v>12000</v>
      </c>
      <c r="J56" s="42">
        <f ca="1">J135</f>
        <v>12000</v>
      </c>
      <c r="K56" s="42">
        <f ca="1">K135</f>
        <v>12000</v>
      </c>
      <c r="M56" t="s">
        <v>91</v>
      </c>
    </row>
    <row r="57" spans="2:14" ht="15" customHeight="1">
      <c r="B57" t="s">
        <v>187</v>
      </c>
      <c r="C57" s="30" t="s">
        <v>92</v>
      </c>
      <c r="D57" s="39"/>
      <c r="E57" s="39">
        <f>6496+97207</f>
        <v>103703</v>
      </c>
      <c r="F57" s="39">
        <f>8784+93735</f>
        <v>102519</v>
      </c>
      <c r="G57" s="42">
        <f>F57</f>
        <v>102519</v>
      </c>
      <c r="H57" s="42">
        <f>G57</f>
        <v>102519</v>
      </c>
      <c r="I57" s="42">
        <f>H57</f>
        <v>102519</v>
      </c>
      <c r="J57" s="42">
        <f>I57</f>
        <v>102519</v>
      </c>
      <c r="K57" s="42">
        <f>J57</f>
        <v>102519</v>
      </c>
      <c r="M57" t="s">
        <v>93</v>
      </c>
    </row>
    <row r="58" spans="2:14" ht="15.75" customHeight="1">
      <c r="B58" t="s">
        <v>187</v>
      </c>
      <c r="C58" s="30" t="s">
        <v>50</v>
      </c>
      <c r="D58" s="39"/>
      <c r="E58" s="39">
        <v>40415</v>
      </c>
      <c r="F58" s="39">
        <v>45180</v>
      </c>
      <c r="G58" s="42">
        <f>F58*(1+G36)</f>
        <v>43372.799999999996</v>
      </c>
      <c r="H58" s="42">
        <f>G58*(1+H36)</f>
        <v>45975.167999999998</v>
      </c>
      <c r="I58" s="42">
        <f>H58*(1+I36)</f>
        <v>49147.454591999995</v>
      </c>
      <c r="J58" s="42">
        <f>I58*(1+J36)</f>
        <v>52538.628958847992</v>
      </c>
      <c r="K58" s="42">
        <f>J58*(1+K36)</f>
        <v>56163.794357008504</v>
      </c>
      <c r="M58" t="s">
        <v>88</v>
      </c>
    </row>
    <row r="59" spans="2:14" ht="15" customHeight="1">
      <c r="C59" s="31" t="s">
        <v>51</v>
      </c>
      <c r="D59" s="41"/>
      <c r="E59" s="41">
        <f t="shared" ref="E59:K59" si="8">SUM(E53:E58)</f>
        <v>241272</v>
      </c>
      <c r="F59" s="41">
        <f t="shared" si="8"/>
        <v>258578</v>
      </c>
      <c r="G59" s="45">
        <f t="shared" ca="1" si="8"/>
        <v>253323.33692226969</v>
      </c>
      <c r="H59" s="45">
        <f t="shared" ca="1" si="8"/>
        <v>261374.87774562387</v>
      </c>
      <c r="I59" s="45">
        <f t="shared" ca="1" si="8"/>
        <v>271409.32896672899</v>
      </c>
      <c r="J59" s="45">
        <f t="shared" ca="1" si="8"/>
        <v>282234.7616654333</v>
      </c>
      <c r="K59" s="45">
        <f t="shared" ca="1" si="8"/>
        <v>293807.14922034822</v>
      </c>
    </row>
    <row r="60" spans="2:14" ht="15" customHeight="1">
      <c r="C60" s="31"/>
      <c r="D60" s="41"/>
      <c r="E60" s="41"/>
      <c r="F60" s="41"/>
      <c r="G60" s="42"/>
      <c r="H60" s="42"/>
      <c r="I60" s="42"/>
      <c r="J60" s="42"/>
      <c r="K60" s="42"/>
    </row>
    <row r="61" spans="2:14" ht="15" customHeight="1">
      <c r="B61" t="s">
        <v>187</v>
      </c>
      <c r="C61" s="30" t="s">
        <v>52</v>
      </c>
      <c r="D61" s="39"/>
      <c r="E61" s="39">
        <v>35867</v>
      </c>
      <c r="F61" s="39">
        <v>40201</v>
      </c>
      <c r="G61" s="42">
        <f>F61+G32</f>
        <v>45327.4</v>
      </c>
      <c r="H61" s="42">
        <f>G61+H32</f>
        <v>50761.383999999998</v>
      </c>
      <c r="I61" s="42">
        <f>H61+I32</f>
        <v>56570.312895999996</v>
      </c>
      <c r="J61" s="42">
        <f>I61+J32</f>
        <v>62780.057885823997</v>
      </c>
      <c r="K61" s="42">
        <f>J61+K32</f>
        <v>69418.275279945854</v>
      </c>
      <c r="M61" t="s">
        <v>94</v>
      </c>
    </row>
    <row r="62" spans="2:14" ht="15.75" customHeight="1">
      <c r="B62" t="s">
        <v>187</v>
      </c>
      <c r="C62" s="30" t="s">
        <v>53</v>
      </c>
      <c r="D62" s="44"/>
      <c r="E62" s="44">
        <f>98330</f>
        <v>98330</v>
      </c>
      <c r="F62" s="39">
        <v>70400</v>
      </c>
      <c r="G62" s="42">
        <f ca="1">G119</f>
        <v>35907.506097684833</v>
      </c>
      <c r="H62" s="42">
        <f ca="1">H119</f>
        <v>5326.4073574395152</v>
      </c>
      <c r="I62" s="42">
        <f ca="1">I119</f>
        <v>-21502.07229787598</v>
      </c>
      <c r="J62" s="42">
        <f ca="1">J119</f>
        <v>-44514.319742036285</v>
      </c>
      <c r="K62" s="42">
        <f ca="1">K119</f>
        <v>-63338.000568058094</v>
      </c>
      <c r="M62" t="s">
        <v>95</v>
      </c>
      <c r="N62" s="42"/>
    </row>
    <row r="63" spans="2:14" ht="15.75" customHeight="1">
      <c r="B63" t="s">
        <v>187</v>
      </c>
      <c r="C63" s="30" t="s">
        <v>54</v>
      </c>
      <c r="D63" s="39"/>
      <c r="E63" s="39">
        <v>-150</v>
      </c>
      <c r="F63" s="39">
        <v>-3454</v>
      </c>
      <c r="G63" s="42">
        <f>F63</f>
        <v>-3454</v>
      </c>
      <c r="H63" s="42">
        <f>G63</f>
        <v>-3454</v>
      </c>
      <c r="I63" s="42">
        <f>H63</f>
        <v>-3454</v>
      </c>
      <c r="J63" s="42">
        <f>I63</f>
        <v>-3454</v>
      </c>
      <c r="K63" s="42">
        <f>J63</f>
        <v>-3454</v>
      </c>
      <c r="M63" t="s">
        <v>93</v>
      </c>
    </row>
    <row r="64" spans="2:14" ht="15" customHeight="1">
      <c r="C64" s="31" t="s">
        <v>55</v>
      </c>
      <c r="D64" s="45"/>
      <c r="E64" s="45">
        <f t="shared" ref="E64:K64" si="9">SUM(E61:E63)</f>
        <v>134047</v>
      </c>
      <c r="F64" s="45">
        <f t="shared" si="9"/>
        <v>107147</v>
      </c>
      <c r="G64" s="45">
        <f t="shared" ca="1" si="9"/>
        <v>77780.906097684841</v>
      </c>
      <c r="H64" s="45">
        <f t="shared" ca="1" si="9"/>
        <v>52633.791357439513</v>
      </c>
      <c r="I64" s="45">
        <f t="shared" ca="1" si="9"/>
        <v>31614.240598124015</v>
      </c>
      <c r="J64" s="45">
        <f t="shared" ca="1" si="9"/>
        <v>14811.738143787712</v>
      </c>
      <c r="K64" s="45">
        <f t="shared" ca="1" si="9"/>
        <v>2626.2747118877596</v>
      </c>
    </row>
    <row r="65" spans="2:13" ht="15" customHeight="1">
      <c r="D65" s="42"/>
      <c r="E65" s="42"/>
      <c r="F65" s="42"/>
    </row>
    <row r="66" spans="2:13" ht="15" customHeight="1">
      <c r="C66" s="23" t="s">
        <v>56</v>
      </c>
      <c r="D66" s="46"/>
      <c r="E66" s="46">
        <f t="shared" ref="E66:K66" si="10">ROUND(E51-E59-E64,3)</f>
        <v>0</v>
      </c>
      <c r="F66" s="46">
        <f t="shared" si="10"/>
        <v>0</v>
      </c>
      <c r="G66" s="46">
        <f t="shared" ca="1" si="10"/>
        <v>0</v>
      </c>
      <c r="H66" s="46">
        <f t="shared" ca="1" si="10"/>
        <v>0</v>
      </c>
      <c r="I66" s="46">
        <f t="shared" ca="1" si="10"/>
        <v>0</v>
      </c>
      <c r="J66" s="46">
        <f t="shared" ca="1" si="10"/>
        <v>0</v>
      </c>
      <c r="K66" s="46">
        <f t="shared" ca="1" si="10"/>
        <v>0</v>
      </c>
    </row>
    <row r="67" spans="2:13" ht="15" customHeight="1">
      <c r="E67" s="42"/>
      <c r="F67" s="42"/>
      <c r="H67" s="42"/>
      <c r="I67" s="42"/>
      <c r="J67" s="42"/>
      <c r="K67" s="42"/>
    </row>
    <row r="68" spans="2:13" ht="15" customHeight="1">
      <c r="C68" s="16" t="s">
        <v>96</v>
      </c>
      <c r="D68" s="20"/>
      <c r="E68" s="20"/>
      <c r="F68" s="20"/>
      <c r="G68" s="20"/>
      <c r="H68" s="20"/>
      <c r="I68" s="20"/>
      <c r="J68" s="20"/>
      <c r="K68" s="20"/>
    </row>
    <row r="69" spans="2:13" ht="15" customHeight="1">
      <c r="C69" s="36" t="str">
        <f>C14</f>
        <v xml:space="preserve">Fiscal year  </v>
      </c>
      <c r="D69" s="37"/>
      <c r="E69" s="37"/>
      <c r="F69" s="37"/>
      <c r="G69" s="65">
        <f t="shared" ref="G69:K70" si="11">G14</f>
        <v>2019</v>
      </c>
      <c r="H69" s="65">
        <f t="shared" si="11"/>
        <v>2020</v>
      </c>
      <c r="I69" s="65">
        <f t="shared" si="11"/>
        <v>2021</v>
      </c>
      <c r="J69" s="65">
        <f t="shared" si="11"/>
        <v>2022</v>
      </c>
      <c r="K69" s="65">
        <f t="shared" si="11"/>
        <v>2023</v>
      </c>
    </row>
    <row r="70" spans="2:13" ht="15" customHeight="1">
      <c r="C70" s="17" t="str">
        <f>C15</f>
        <v>Fiscal year end date</v>
      </c>
      <c r="D70" s="38"/>
      <c r="E70" s="38"/>
      <c r="F70" s="38"/>
      <c r="G70" s="38">
        <f t="shared" si="11"/>
        <v>43738</v>
      </c>
      <c r="H70" s="38">
        <f t="shared" si="11"/>
        <v>44104</v>
      </c>
      <c r="I70" s="38">
        <f t="shared" si="11"/>
        <v>44469</v>
      </c>
      <c r="J70" s="38">
        <f t="shared" si="11"/>
        <v>44834</v>
      </c>
      <c r="K70" s="38">
        <f t="shared" si="11"/>
        <v>45199</v>
      </c>
    </row>
    <row r="72" spans="2:13" ht="15" customHeight="1">
      <c r="B72" t="s">
        <v>187</v>
      </c>
      <c r="C72" t="s">
        <v>24</v>
      </c>
      <c r="D72" s="40"/>
      <c r="E72" s="40"/>
      <c r="F72" s="40"/>
      <c r="G72" s="42">
        <f ca="1">G28</f>
        <v>52298.506097684833</v>
      </c>
      <c r="H72" s="42">
        <f ca="1">H28</f>
        <v>56209.901259754675</v>
      </c>
      <c r="I72" s="42">
        <f ca="1">I28</f>
        <v>59962.520344684504</v>
      </c>
      <c r="J72" s="42">
        <f ca="1">J28</f>
        <v>63778.752555839696</v>
      </c>
      <c r="K72" s="42">
        <f ca="1">K28</f>
        <v>67967.319173978191</v>
      </c>
      <c r="M72" s="27"/>
    </row>
    <row r="73" spans="2:13" ht="15" customHeight="1">
      <c r="B73" t="s">
        <v>187</v>
      </c>
      <c r="C73" t="s">
        <v>97</v>
      </c>
      <c r="D73" s="40"/>
      <c r="E73" s="40"/>
      <c r="F73" s="40"/>
      <c r="G73" s="42">
        <f>G30</f>
        <v>11085.020171261172</v>
      </c>
      <c r="H73" s="42">
        <f>H30</f>
        <v>11711.890744865921</v>
      </c>
      <c r="I73" s="42">
        <f>I30</f>
        <v>12226.380531123083</v>
      </c>
      <c r="J73" s="42">
        <f>J30</f>
        <v>13365.451007770575</v>
      </c>
      <c r="K73" s="42">
        <f>K30</f>
        <v>14603.503412486743</v>
      </c>
      <c r="M73" t="s">
        <v>98</v>
      </c>
    </row>
    <row r="74" spans="2:13" ht="15" customHeight="1">
      <c r="B74" t="s">
        <v>187</v>
      </c>
      <c r="C74" t="s">
        <v>27</v>
      </c>
      <c r="D74" s="40"/>
      <c r="E74" s="40"/>
      <c r="F74" s="40"/>
      <c r="G74" s="42">
        <f>G32</f>
        <v>5126.3999999999996</v>
      </c>
      <c r="H74" s="42">
        <f>H32</f>
        <v>5433.9839999999995</v>
      </c>
      <c r="I74" s="42">
        <f>I32</f>
        <v>5808.9288959999994</v>
      </c>
      <c r="J74" s="42">
        <f>J32</f>
        <v>6209.7449898239993</v>
      </c>
      <c r="K74" s="42">
        <f>K32</f>
        <v>6638.2173941218552</v>
      </c>
    </row>
    <row r="75" spans="2:13" ht="15" customHeight="1">
      <c r="B75" t="s">
        <v>187</v>
      </c>
      <c r="C75" t="s">
        <v>99</v>
      </c>
      <c r="D75" s="42"/>
      <c r="E75" s="42"/>
      <c r="F75" s="42"/>
      <c r="G75" s="42">
        <f>SUM(F46:F48)-SUM(G46:G48)</f>
        <v>2568.0292745401748</v>
      </c>
      <c r="H75" s="42">
        <f>SUM(G46:G48)-SUM(H46:H48)</f>
        <v>-3728.6108202044925</v>
      </c>
      <c r="I75" s="42">
        <f>SUM(H46:H48)-SUM(I46:I48)</f>
        <v>-4560.7224748067092</v>
      </c>
      <c r="J75" s="42">
        <f>SUM(I46:I48)-SUM(J46:J48)</f>
        <v>-4882.3919774125097</v>
      </c>
      <c r="K75" s="42">
        <f>SUM(J46:J48)-SUM(K46:K48)</f>
        <v>-5219.277023853967</v>
      </c>
    </row>
    <row r="76" spans="2:13" ht="15" customHeight="1">
      <c r="B76" t="s">
        <v>187</v>
      </c>
      <c r="C76" t="s">
        <v>100</v>
      </c>
      <c r="D76" s="42"/>
      <c r="E76" s="42"/>
      <c r="F76" s="42"/>
      <c r="G76" s="42">
        <f>SUM(G53:G55)-SUM(F53:F55)</f>
        <v>-3483.4630777302955</v>
      </c>
      <c r="H76" s="42">
        <f>SUM(H53:H55)-SUM(G53:G55)</f>
        <v>5449.1728233541653</v>
      </c>
      <c r="I76" s="42">
        <f>SUM(I53:I55)-SUM(H53:H55)</f>
        <v>6862.1646291051147</v>
      </c>
      <c r="J76" s="42">
        <f>SUM(J53:J55)-SUM(I53:I55)</f>
        <v>7434.2583318562974</v>
      </c>
      <c r="K76" s="42">
        <f>SUM(K53:K55)-SUM(J53:J55)</f>
        <v>7947.2221567544038</v>
      </c>
    </row>
    <row r="77" spans="2:13" ht="15" customHeight="1">
      <c r="B77" t="s">
        <v>187</v>
      </c>
      <c r="C77" t="s">
        <v>43</v>
      </c>
      <c r="G77" s="42">
        <f>-G111</f>
        <v>-647.56000000000131</v>
      </c>
      <c r="H77" s="42">
        <f>-H111</f>
        <v>-2914.7136000000028</v>
      </c>
      <c r="I77" s="42">
        <f>-I111</f>
        <v>-3308.3539583999991</v>
      </c>
      <c r="J77" s="42">
        <f>-J111</f>
        <v>-3536.6303815296014</v>
      </c>
      <c r="K77" s="42">
        <f>-K111</f>
        <v>-3780.6578778551411</v>
      </c>
      <c r="M77" t="s">
        <v>101</v>
      </c>
    </row>
    <row r="78" spans="2:13" ht="15" customHeight="1">
      <c r="B78" t="s">
        <v>187</v>
      </c>
      <c r="C78" t="s">
        <v>50</v>
      </c>
      <c r="G78" s="42">
        <f>G58-F58</f>
        <v>-1807.2000000000044</v>
      </c>
      <c r="H78" s="42">
        <f>H58-G58</f>
        <v>2602.3680000000022</v>
      </c>
      <c r="I78" s="42">
        <f>I58-H58</f>
        <v>3172.2865919999967</v>
      </c>
      <c r="J78" s="42">
        <f>J58-I58</f>
        <v>3391.1743668479976</v>
      </c>
      <c r="K78" s="42">
        <f>K58-J58</f>
        <v>3625.1653981605123</v>
      </c>
      <c r="M78" s="27"/>
    </row>
    <row r="79" spans="2:13" ht="15" customHeight="1">
      <c r="C79" s="27" t="s">
        <v>102</v>
      </c>
      <c r="G79" s="45">
        <f ca="1">SUM(G72:G78)</f>
        <v>65139.732465755871</v>
      </c>
      <c r="H79" s="45">
        <f ca="1">SUM(H72:H78)</f>
        <v>74763.992407770274</v>
      </c>
      <c r="I79" s="45">
        <f ca="1">SUM(I72:I78)</f>
        <v>80163.204559706006</v>
      </c>
      <c r="J79" s="45">
        <f ca="1">SUM(J72:J78)</f>
        <v>85760.358893196448</v>
      </c>
      <c r="K79" s="45">
        <f ca="1">SUM(K72:K78)</f>
        <v>91781.492633792601</v>
      </c>
    </row>
    <row r="80" spans="2:13" ht="15" customHeight="1">
      <c r="G80" s="42"/>
      <c r="H80" s="42"/>
      <c r="I80" s="42"/>
      <c r="J80" s="42"/>
      <c r="K80" s="42"/>
    </row>
    <row r="81" spans="2:13" ht="15" customHeight="1">
      <c r="B81" t="s">
        <v>187</v>
      </c>
      <c r="C81" t="s">
        <v>103</v>
      </c>
      <c r="G81" s="42">
        <f>-(G97)</f>
        <v>-13285</v>
      </c>
      <c r="H81" s="42">
        <f>-(H97)</f>
        <v>-13649</v>
      </c>
      <c r="I81" s="42">
        <f>-(I97)</f>
        <v>-13819</v>
      </c>
      <c r="J81" s="42">
        <f>-(J97)</f>
        <v>-14772.510999999999</v>
      </c>
      <c r="K81" s="42">
        <f>-(K97)</f>
        <v>-15791.814258999997</v>
      </c>
      <c r="M81" t="s">
        <v>90</v>
      </c>
    </row>
    <row r="82" spans="2:13" ht="15" customHeight="1">
      <c r="C82" s="27" t="s">
        <v>104</v>
      </c>
      <c r="G82" s="45">
        <f>IFERROR(G81,"NA")</f>
        <v>-13285</v>
      </c>
      <c r="H82" s="45">
        <f>IFERROR(H81,"NA")</f>
        <v>-13649</v>
      </c>
      <c r="I82" s="45">
        <f>IFERROR(I81,"NA")</f>
        <v>-13819</v>
      </c>
      <c r="J82" s="45">
        <f>IFERROR(J81,"NA")</f>
        <v>-14772.510999999999</v>
      </c>
      <c r="K82" s="45">
        <f>IFERROR(K81,"NA")</f>
        <v>-15791.814258999997</v>
      </c>
    </row>
    <row r="83" spans="2:13" ht="15" customHeight="1">
      <c r="G83" s="42"/>
      <c r="H83" s="42"/>
      <c r="I83" s="42"/>
      <c r="J83" s="42"/>
      <c r="K83" s="42"/>
    </row>
    <row r="84" spans="2:13" ht="15" customHeight="1">
      <c r="B84" t="s">
        <v>187</v>
      </c>
      <c r="C84" t="s">
        <v>105</v>
      </c>
      <c r="G84" s="42">
        <f>G57-F57</f>
        <v>0</v>
      </c>
      <c r="H84" s="42">
        <f>H57-G57</f>
        <v>0</v>
      </c>
      <c r="I84" s="42">
        <f>I57-H57</f>
        <v>0</v>
      </c>
      <c r="J84" s="42">
        <f>J57-I57</f>
        <v>0</v>
      </c>
      <c r="K84" s="42">
        <f>K57-J57</f>
        <v>0</v>
      </c>
    </row>
    <row r="85" spans="2:13" ht="15" customHeight="1">
      <c r="B85" t="s">
        <v>187</v>
      </c>
      <c r="C85" t="s">
        <v>186</v>
      </c>
      <c r="G85" s="42">
        <f ca="1">G56-F56</f>
        <v>36</v>
      </c>
      <c r="H85" s="42">
        <f ca="1">H56-G56</f>
        <v>0</v>
      </c>
      <c r="I85" s="42">
        <f ca="1">I56-H56</f>
        <v>0</v>
      </c>
      <c r="J85" s="42">
        <f ca="1">J56-I56</f>
        <v>0</v>
      </c>
      <c r="K85" s="42">
        <f ca="1">K56-J56</f>
        <v>0</v>
      </c>
      <c r="M85" t="s">
        <v>107</v>
      </c>
    </row>
    <row r="86" spans="2:13" ht="15" customHeight="1">
      <c r="B86" t="s">
        <v>187</v>
      </c>
      <c r="C86" t="s">
        <v>108</v>
      </c>
      <c r="G86" s="42">
        <f>G118</f>
        <v>-73056</v>
      </c>
      <c r="H86" s="42">
        <f>H118</f>
        <v>-73056</v>
      </c>
      <c r="I86" s="42">
        <f>I118</f>
        <v>-73056</v>
      </c>
      <c r="J86" s="42">
        <f>J118</f>
        <v>-73056</v>
      </c>
      <c r="K86" s="42">
        <f>K118</f>
        <v>-73056</v>
      </c>
      <c r="M86" t="s">
        <v>95</v>
      </c>
    </row>
    <row r="87" spans="2:13" ht="15" customHeight="1">
      <c r="B87" t="s">
        <v>187</v>
      </c>
      <c r="C87" t="s">
        <v>109</v>
      </c>
      <c r="G87" s="42">
        <f>G117</f>
        <v>-13735</v>
      </c>
      <c r="H87" s="42">
        <f>H117</f>
        <v>-13735</v>
      </c>
      <c r="I87" s="42">
        <f>I117</f>
        <v>-13735</v>
      </c>
      <c r="J87" s="42">
        <f>J117</f>
        <v>-13735</v>
      </c>
      <c r="K87" s="42">
        <f>K117</f>
        <v>-13735</v>
      </c>
      <c r="M87" t="s">
        <v>95</v>
      </c>
    </row>
    <row r="88" spans="2:13" ht="15" customHeight="1">
      <c r="C88" s="27" t="s">
        <v>110</v>
      </c>
      <c r="G88" s="45">
        <f ca="1">SUM(G84:G87)</f>
        <v>-86755</v>
      </c>
      <c r="H88" s="45">
        <f ca="1">SUM(H84:H87)</f>
        <v>-86791</v>
      </c>
      <c r="I88" s="45">
        <f ca="1">SUM(I84:I87)</f>
        <v>-86791</v>
      </c>
      <c r="J88" s="45">
        <f ca="1">SUM(J84:J87)</f>
        <v>-86791</v>
      </c>
      <c r="K88" s="45">
        <f ca="1">SUM(K84:K87)</f>
        <v>-86791</v>
      </c>
    </row>
    <row r="89" spans="2:13" ht="15" customHeight="1">
      <c r="G89" s="42"/>
      <c r="H89" s="42"/>
      <c r="I89" s="42"/>
      <c r="J89" s="42"/>
      <c r="K89" s="42"/>
    </row>
    <row r="90" spans="2:13" ht="15" customHeight="1">
      <c r="C90" s="27" t="s">
        <v>111</v>
      </c>
      <c r="G90" s="45">
        <f ca="1">G79+G82+G88</f>
        <v>-34900.267534244129</v>
      </c>
      <c r="H90" s="45">
        <f ca="1">H79+H82+H88</f>
        <v>-25676.007592229726</v>
      </c>
      <c r="I90" s="45">
        <f ca="1">I79+I82+I88</f>
        <v>-20446.795440293994</v>
      </c>
      <c r="J90" s="45">
        <f ca="1">J79+J82+J88</f>
        <v>-15803.152106803551</v>
      </c>
      <c r="K90" s="45">
        <f ca="1">K79+K82+K88</f>
        <v>-10801.321625207391</v>
      </c>
    </row>
    <row r="92" spans="2:13" ht="15" customHeight="1">
      <c r="C92" s="16" t="s">
        <v>112</v>
      </c>
      <c r="D92" s="17"/>
      <c r="E92" s="17"/>
      <c r="F92" s="17"/>
      <c r="G92" s="17"/>
      <c r="H92" s="17"/>
      <c r="I92" s="17"/>
      <c r="J92" s="17"/>
      <c r="K92" s="17"/>
    </row>
    <row r="93" spans="2:13" ht="15" customHeight="1">
      <c r="C93" s="36" t="str">
        <f t="shared" ref="C93:K93" si="12">C14</f>
        <v xml:space="preserve">Fiscal year  </v>
      </c>
      <c r="D93" s="37">
        <f t="shared" si="12"/>
        <v>2016</v>
      </c>
      <c r="E93" s="37">
        <f t="shared" si="12"/>
        <v>2017</v>
      </c>
      <c r="F93" s="37">
        <f t="shared" si="12"/>
        <v>2018</v>
      </c>
      <c r="G93" s="65">
        <f t="shared" si="12"/>
        <v>2019</v>
      </c>
      <c r="H93" s="65">
        <f t="shared" si="12"/>
        <v>2020</v>
      </c>
      <c r="I93" s="65">
        <f t="shared" si="12"/>
        <v>2021</v>
      </c>
      <c r="J93" s="65">
        <f t="shared" si="12"/>
        <v>2022</v>
      </c>
      <c r="K93" s="65">
        <f t="shared" si="12"/>
        <v>2023</v>
      </c>
    </row>
    <row r="94" spans="2:13" ht="15" customHeight="1">
      <c r="C94" s="17" t="str">
        <f t="shared" ref="C94:K94" si="13">C15</f>
        <v>Fiscal year end date</v>
      </c>
      <c r="D94" s="38">
        <f t="shared" si="13"/>
        <v>42643</v>
      </c>
      <c r="E94" s="38">
        <f t="shared" si="13"/>
        <v>43008</v>
      </c>
      <c r="F94" s="38">
        <f t="shared" si="13"/>
        <v>43372</v>
      </c>
      <c r="G94" s="38">
        <f t="shared" si="13"/>
        <v>43738</v>
      </c>
      <c r="H94" s="38">
        <f t="shared" si="13"/>
        <v>44104</v>
      </c>
      <c r="I94" s="38">
        <f t="shared" si="13"/>
        <v>44469</v>
      </c>
      <c r="J94" s="38">
        <f t="shared" si="13"/>
        <v>44834</v>
      </c>
      <c r="K94" s="38">
        <f t="shared" si="13"/>
        <v>45199</v>
      </c>
    </row>
    <row r="95" spans="2:13" ht="15" customHeight="1">
      <c r="C95" s="27"/>
      <c r="G95" s="3" t="s">
        <v>113</v>
      </c>
      <c r="H95" s="3"/>
      <c r="I95" s="3"/>
      <c r="J95" s="3"/>
      <c r="K95" s="3"/>
    </row>
    <row r="96" spans="2:13" ht="15" customHeight="1">
      <c r="C96" s="30" t="s">
        <v>114</v>
      </c>
      <c r="G96" s="42">
        <f>F99</f>
        <v>41304</v>
      </c>
      <c r="H96" s="42">
        <f>G99</f>
        <v>45042.85982873883</v>
      </c>
      <c r="I96" s="42">
        <f>H99</f>
        <v>48611.181883872909</v>
      </c>
      <c r="J96" s="42">
        <f>I99</f>
        <v>51947.567835949827</v>
      </c>
      <c r="K96" s="42">
        <f>J99</f>
        <v>55218.714198720052</v>
      </c>
      <c r="M96" t="s">
        <v>115</v>
      </c>
    </row>
    <row r="97" spans="3:17" ht="15" customHeight="1">
      <c r="C97" s="29" t="s">
        <v>116</v>
      </c>
      <c r="D97" s="39">
        <v>12734</v>
      </c>
      <c r="E97" s="39">
        <v>12451</v>
      </c>
      <c r="F97" s="39">
        <v>13313</v>
      </c>
      <c r="G97" s="39">
        <v>13285</v>
      </c>
      <c r="H97" s="39">
        <v>13649</v>
      </c>
      <c r="I97" s="39">
        <v>13819</v>
      </c>
      <c r="J97" s="39">
        <f>I97*(1+J36)</f>
        <v>14772.510999999999</v>
      </c>
      <c r="K97" s="39">
        <f>J97*(1+K36)</f>
        <v>15791.814258999997</v>
      </c>
      <c r="M97" t="s">
        <v>117</v>
      </c>
    </row>
    <row r="98" spans="3:17" ht="15" customHeight="1">
      <c r="C98" s="67" t="s">
        <v>118</v>
      </c>
      <c r="D98" s="68">
        <v>-8300</v>
      </c>
      <c r="E98" s="68">
        <v>-8200</v>
      </c>
      <c r="F98" s="68">
        <v>-9300</v>
      </c>
      <c r="G98" s="85">
        <f>-(G101*G97)</f>
        <v>-9546.1401712611732</v>
      </c>
      <c r="H98" s="85">
        <f>-(H101*H97)</f>
        <v>-10080.677944865922</v>
      </c>
      <c r="I98" s="85">
        <f>-(I101*I97)</f>
        <v>-10482.614047923083</v>
      </c>
      <c r="J98" s="85">
        <f>-(J101*J97)</f>
        <v>-11501.364637229775</v>
      </c>
      <c r="K98" s="85">
        <f>-(K101*K97)</f>
        <v>-12610.795082378629</v>
      </c>
      <c r="M98" t="s">
        <v>119</v>
      </c>
    </row>
    <row r="99" spans="3:17" ht="15" customHeight="1">
      <c r="C99" s="70" t="s">
        <v>120</v>
      </c>
      <c r="D99" s="45"/>
      <c r="E99" s="45">
        <f>E49</f>
        <v>33783</v>
      </c>
      <c r="F99" s="45">
        <f>F49</f>
        <v>41304</v>
      </c>
      <c r="G99" s="45">
        <f>SUM(G96:G98)</f>
        <v>45042.85982873883</v>
      </c>
      <c r="H99" s="45">
        <f>SUM(H96:H98)</f>
        <v>48611.181883872909</v>
      </c>
      <c r="I99" s="45">
        <f>SUM(I96:I98)</f>
        <v>51947.567835949827</v>
      </c>
      <c r="J99" s="45">
        <f>SUM(J96:J98)</f>
        <v>55218.714198720052</v>
      </c>
      <c r="K99" s="45">
        <f>SUM(K96:K98)</f>
        <v>58399.73337534142</v>
      </c>
      <c r="M99" t="s">
        <v>121</v>
      </c>
    </row>
    <row r="100" spans="3:17" ht="15" customHeight="1">
      <c r="C100" s="30"/>
      <c r="M100" s="32" t="s">
        <v>122</v>
      </c>
    </row>
    <row r="101" spans="3:17" ht="15" customHeight="1">
      <c r="C101" s="30" t="s">
        <v>123</v>
      </c>
      <c r="D101" s="71">
        <f>-(D98/D97)</f>
        <v>0.65179833516569818</v>
      </c>
      <c r="E101" s="71">
        <f>-(E98/E97)</f>
        <v>0.6585816400289134</v>
      </c>
      <c r="F101" s="71">
        <f>-(F98/F97)</f>
        <v>0.69856531210095396</v>
      </c>
      <c r="G101" s="63">
        <f>F101+$M$101</f>
        <v>0.71856531210095398</v>
      </c>
      <c r="H101" s="63">
        <f>G101+$M$101</f>
        <v>0.738565312100954</v>
      </c>
      <c r="I101" s="63">
        <f>H101+$M$101</f>
        <v>0.75856531210095401</v>
      </c>
      <c r="J101" s="63">
        <f>I101+$M$101</f>
        <v>0.77856531210095403</v>
      </c>
      <c r="K101" s="63">
        <f>J101+$M$101</f>
        <v>0.79856531210095405</v>
      </c>
      <c r="M101" s="115">
        <v>0.02</v>
      </c>
      <c r="O101" s="74"/>
      <c r="P101" s="74"/>
      <c r="Q101" s="74"/>
    </row>
    <row r="102" spans="3:17" ht="15" customHeight="1">
      <c r="C102" s="30"/>
      <c r="D102" s="71"/>
      <c r="E102" s="71"/>
      <c r="F102" s="71"/>
      <c r="G102" s="63"/>
      <c r="H102" s="63"/>
      <c r="I102" s="63"/>
      <c r="J102" s="63"/>
      <c r="K102" s="63"/>
      <c r="O102" s="74"/>
      <c r="P102" s="74"/>
      <c r="Q102" s="74"/>
    </row>
    <row r="103" spans="3:17" ht="15" customHeight="1">
      <c r="C103" s="75" t="s">
        <v>124</v>
      </c>
      <c r="D103" s="76"/>
      <c r="E103" s="76"/>
      <c r="F103" s="76"/>
      <c r="G103" s="77"/>
      <c r="H103" s="77"/>
      <c r="I103" s="77"/>
      <c r="J103" s="77"/>
      <c r="K103" s="77"/>
      <c r="O103" s="74"/>
      <c r="P103" s="74"/>
      <c r="Q103" s="74"/>
    </row>
    <row r="104" spans="3:17" ht="15" customHeight="1">
      <c r="C104" s="30" t="s">
        <v>125</v>
      </c>
      <c r="D104" s="42">
        <f>D106+D98</f>
        <v>2205</v>
      </c>
      <c r="E104" s="42">
        <f>E106+E98</f>
        <v>1957</v>
      </c>
      <c r="F104" s="42">
        <f>F106+F98</f>
        <v>1603</v>
      </c>
      <c r="G104" s="44">
        <f>G105*G17</f>
        <v>1538.8799999999999</v>
      </c>
      <c r="H104" s="44">
        <f>H105*H17</f>
        <v>1631.2128</v>
      </c>
      <c r="I104" s="44">
        <f>I105*I17</f>
        <v>1743.7664832</v>
      </c>
      <c r="J104" s="44">
        <f>J105*J17</f>
        <v>1864.0863705407999</v>
      </c>
      <c r="K104" s="44">
        <f>K105*K17</f>
        <v>1992.708330108115</v>
      </c>
      <c r="M104" t="s">
        <v>126</v>
      </c>
      <c r="O104" s="74"/>
      <c r="P104" s="74"/>
      <c r="Q104" s="74"/>
    </row>
    <row r="105" spans="3:17" ht="15" customHeight="1">
      <c r="C105" s="29" t="s">
        <v>127</v>
      </c>
      <c r="D105" s="51">
        <f>D104/D17</f>
        <v>1.0225423044996499E-2</v>
      </c>
      <c r="E105" s="51">
        <f>E104/E17</f>
        <v>8.537128000209393E-3</v>
      </c>
      <c r="F105" s="51">
        <f>F104/F17</f>
        <v>6.0355051864681188E-3</v>
      </c>
      <c r="G105" s="63">
        <f>F105</f>
        <v>6.0355051864681188E-3</v>
      </c>
      <c r="H105" s="63">
        <f>G105</f>
        <v>6.0355051864681188E-3</v>
      </c>
      <c r="I105" s="63">
        <f>H105</f>
        <v>6.0355051864681188E-3</v>
      </c>
      <c r="J105" s="63">
        <f>I105</f>
        <v>6.0355051864681188E-3</v>
      </c>
      <c r="K105" s="63">
        <f>J105</f>
        <v>6.0355051864681188E-3</v>
      </c>
      <c r="M105" t="s">
        <v>128</v>
      </c>
    </row>
    <row r="106" spans="3:17" ht="15" customHeight="1">
      <c r="C106" s="31" t="s">
        <v>129</v>
      </c>
      <c r="D106" s="45">
        <f>D30</f>
        <v>10505</v>
      </c>
      <c r="E106" s="45">
        <f>E30</f>
        <v>10157</v>
      </c>
      <c r="F106" s="45">
        <f>F30</f>
        <v>10903</v>
      </c>
      <c r="G106" s="41">
        <f>-G98+G104</f>
        <v>11085.020171261172</v>
      </c>
      <c r="H106" s="41">
        <f>-H98+H104</f>
        <v>11711.890744865921</v>
      </c>
      <c r="I106" s="41">
        <f>-I98+I104</f>
        <v>12226.380531123083</v>
      </c>
      <c r="J106" s="41">
        <f>-J98+J104</f>
        <v>13365.451007770575</v>
      </c>
      <c r="K106" s="41">
        <f>-K98+K104</f>
        <v>14603.503412486743</v>
      </c>
      <c r="M106" t="s">
        <v>130</v>
      </c>
    </row>
    <row r="107" spans="3:17" ht="15" customHeight="1">
      <c r="C107" s="30"/>
      <c r="D107" s="42"/>
      <c r="E107" s="42"/>
      <c r="F107" s="42"/>
      <c r="H107" s="42"/>
      <c r="I107" s="42"/>
      <c r="J107" s="42"/>
      <c r="K107" s="42"/>
    </row>
    <row r="108" spans="3:17" ht="15" customHeight="1">
      <c r="C108" s="78" t="s">
        <v>131</v>
      </c>
      <c r="D108" s="17"/>
      <c r="E108" s="17"/>
      <c r="F108" s="17"/>
      <c r="H108" s="42"/>
      <c r="I108" s="42"/>
      <c r="J108" s="42"/>
      <c r="K108" s="42"/>
    </row>
    <row r="109" spans="3:17" ht="15" customHeight="1">
      <c r="C109" s="30" t="s">
        <v>114</v>
      </c>
      <c r="D109" s="42"/>
      <c r="G109" s="123">
        <f>F112</f>
        <v>22283</v>
      </c>
      <c r="H109" s="123">
        <f>G112</f>
        <v>21391.68</v>
      </c>
      <c r="I109" s="123">
        <f>H112</f>
        <v>22675.180800000002</v>
      </c>
      <c r="J109" s="123">
        <f>I112</f>
        <v>24239.7682752</v>
      </c>
      <c r="K109" s="123">
        <f>J112</f>
        <v>25912.3122861888</v>
      </c>
      <c r="M109" t="s">
        <v>115</v>
      </c>
    </row>
    <row r="110" spans="3:17" ht="15" customHeight="1">
      <c r="C110" s="29" t="s">
        <v>132</v>
      </c>
      <c r="G110" s="42">
        <f>-(G104)</f>
        <v>-1538.8799999999999</v>
      </c>
      <c r="H110" s="42">
        <f>-(H104)</f>
        <v>-1631.2128</v>
      </c>
      <c r="I110" s="42">
        <f>-(I104)</f>
        <v>-1743.7664832</v>
      </c>
      <c r="J110" s="42">
        <f>-(J104)</f>
        <v>-1864.0863705407999</v>
      </c>
      <c r="K110" s="42">
        <f>-(K104)</f>
        <v>-1992.708330108115</v>
      </c>
      <c r="M110" t="s">
        <v>133</v>
      </c>
    </row>
    <row r="111" spans="3:17" ht="15" customHeight="1">
      <c r="C111" s="67" t="s">
        <v>134</v>
      </c>
      <c r="D111" s="80"/>
      <c r="E111" s="80"/>
      <c r="F111" s="80"/>
      <c r="G111" s="124">
        <f>G112-G110-G109</f>
        <v>647.56000000000131</v>
      </c>
      <c r="H111" s="124">
        <f>H112-H110-H109</f>
        <v>2914.7136000000028</v>
      </c>
      <c r="I111" s="124">
        <f>I112-I110-I109</f>
        <v>3308.3539583999991</v>
      </c>
      <c r="J111" s="124">
        <f>J112-J110-J109</f>
        <v>3536.6303815296014</v>
      </c>
      <c r="K111" s="124">
        <f>K112-K110-K109</f>
        <v>3780.6578778551411</v>
      </c>
      <c r="M111" t="s">
        <v>135</v>
      </c>
    </row>
    <row r="112" spans="3:17" ht="15" customHeight="1">
      <c r="C112" s="70" t="s">
        <v>120</v>
      </c>
      <c r="E112" s="45">
        <f t="shared" ref="E112:K112" si="14">E50</f>
        <v>18177</v>
      </c>
      <c r="F112" s="45">
        <f t="shared" si="14"/>
        <v>22283</v>
      </c>
      <c r="G112" s="45">
        <f t="shared" si="14"/>
        <v>21391.68</v>
      </c>
      <c r="H112" s="45">
        <f t="shared" si="14"/>
        <v>22675.180800000002</v>
      </c>
      <c r="I112" s="45">
        <f t="shared" si="14"/>
        <v>24239.7682752</v>
      </c>
      <c r="J112" s="45">
        <f t="shared" si="14"/>
        <v>25912.3122861888</v>
      </c>
      <c r="K112" s="45">
        <f t="shared" si="14"/>
        <v>27700.261833935827</v>
      </c>
      <c r="M112" t="s">
        <v>136</v>
      </c>
    </row>
    <row r="113" spans="3:17" ht="15" customHeight="1">
      <c r="C113" s="29"/>
      <c r="E113" s="42"/>
      <c r="F113" s="42"/>
      <c r="H113" s="42"/>
      <c r="I113" s="42"/>
      <c r="J113" s="42"/>
      <c r="K113" s="42"/>
    </row>
    <row r="114" spans="3:17" ht="15" customHeight="1">
      <c r="C114" s="82" t="s">
        <v>137</v>
      </c>
      <c r="D114" s="78"/>
      <c r="E114" s="78"/>
      <c r="F114" s="78"/>
      <c r="G114" s="17"/>
      <c r="H114" s="17"/>
      <c r="I114" s="17"/>
      <c r="J114" s="17"/>
      <c r="K114" s="17"/>
    </row>
    <row r="115" spans="3:17" ht="15" customHeight="1">
      <c r="C115" s="30" t="s">
        <v>114</v>
      </c>
      <c r="G115" s="42">
        <f>F119</f>
        <v>70400</v>
      </c>
      <c r="H115" s="42">
        <f ca="1">G119</f>
        <v>35907.506097684833</v>
      </c>
      <c r="I115" s="42">
        <f ca="1">H119</f>
        <v>5326.4073574395152</v>
      </c>
      <c r="J115" s="42">
        <f ca="1">I119</f>
        <v>-21502.07229787598</v>
      </c>
      <c r="K115" s="42">
        <f ca="1">J119</f>
        <v>-44514.319742036285</v>
      </c>
      <c r="M115" t="s">
        <v>115</v>
      </c>
    </row>
    <row r="116" spans="3:17" ht="15" customHeight="1">
      <c r="C116" s="29" t="s">
        <v>138</v>
      </c>
      <c r="D116" s="44">
        <f t="shared" ref="D116:K116" si="15">D28</f>
        <v>45687</v>
      </c>
      <c r="E116" s="44">
        <f t="shared" si="15"/>
        <v>48351</v>
      </c>
      <c r="F116" s="44">
        <f t="shared" si="15"/>
        <v>59531</v>
      </c>
      <c r="G116" s="42">
        <f t="shared" ca="1" si="15"/>
        <v>52298.506097684833</v>
      </c>
      <c r="H116" s="42">
        <f t="shared" ca="1" si="15"/>
        <v>56209.901259754675</v>
      </c>
      <c r="I116" s="42">
        <f t="shared" ca="1" si="15"/>
        <v>59962.520344684504</v>
      </c>
      <c r="J116" s="42">
        <f t="shared" ca="1" si="15"/>
        <v>63778.752555839696</v>
      </c>
      <c r="K116" s="42">
        <f t="shared" ca="1" si="15"/>
        <v>67967.319173978191</v>
      </c>
      <c r="M116" t="s">
        <v>139</v>
      </c>
    </row>
    <row r="117" spans="3:17" ht="15" customHeight="1">
      <c r="C117" s="29" t="s">
        <v>140</v>
      </c>
      <c r="D117" s="39">
        <v>-12188</v>
      </c>
      <c r="E117" s="39">
        <v>-12803</v>
      </c>
      <c r="F117" s="39">
        <v>-13735</v>
      </c>
      <c r="G117" s="42">
        <f t="shared" ref="G117:K118" si="16">F117</f>
        <v>-13735</v>
      </c>
      <c r="H117" s="42">
        <f t="shared" si="16"/>
        <v>-13735</v>
      </c>
      <c r="I117" s="42">
        <f t="shared" si="16"/>
        <v>-13735</v>
      </c>
      <c r="J117" s="42">
        <f t="shared" si="16"/>
        <v>-13735</v>
      </c>
      <c r="K117" s="42">
        <f t="shared" si="16"/>
        <v>-13735</v>
      </c>
      <c r="M117" t="s">
        <v>141</v>
      </c>
    </row>
    <row r="118" spans="3:17" ht="15" customHeight="1">
      <c r="C118" s="67" t="s">
        <v>142</v>
      </c>
      <c r="D118" s="68">
        <v>-29000</v>
      </c>
      <c r="E118" s="68">
        <v>-33001</v>
      </c>
      <c r="F118" s="68">
        <v>-73056</v>
      </c>
      <c r="G118" s="85">
        <f t="shared" si="16"/>
        <v>-73056</v>
      </c>
      <c r="H118" s="85">
        <f t="shared" si="16"/>
        <v>-73056</v>
      </c>
      <c r="I118" s="85">
        <f t="shared" si="16"/>
        <v>-73056</v>
      </c>
      <c r="J118" s="85">
        <f t="shared" si="16"/>
        <v>-73056</v>
      </c>
      <c r="K118" s="85">
        <f t="shared" si="16"/>
        <v>-73056</v>
      </c>
      <c r="M118" t="s">
        <v>143</v>
      </c>
    </row>
    <row r="119" spans="3:17" ht="15" customHeight="1">
      <c r="C119" s="70" t="s">
        <v>120</v>
      </c>
      <c r="D119" s="41">
        <f>D62</f>
        <v>0</v>
      </c>
      <c r="E119" s="41">
        <f>E62</f>
        <v>98330</v>
      </c>
      <c r="F119" s="41">
        <f>F62</f>
        <v>70400</v>
      </c>
      <c r="G119" s="45">
        <f ca="1">SUM(G115:G118)</f>
        <v>35907.506097684833</v>
      </c>
      <c r="H119" s="45">
        <f ca="1">SUM(H115:H118)</f>
        <v>5326.4073574395152</v>
      </c>
      <c r="I119" s="45">
        <f ca="1">SUM(I115:I118)</f>
        <v>-21502.07229787598</v>
      </c>
      <c r="J119" s="45">
        <f ca="1">SUM(J115:J118)</f>
        <v>-44514.319742036285</v>
      </c>
      <c r="K119" s="45">
        <f ca="1">SUM(K115:K118)</f>
        <v>-63338.000568058094</v>
      </c>
      <c r="M119" t="s">
        <v>144</v>
      </c>
    </row>
    <row r="120" spans="3:17" ht="15" customHeight="1">
      <c r="E120" s="40"/>
      <c r="F120" s="40"/>
    </row>
    <row r="121" spans="3:17" ht="15" customHeight="1">
      <c r="C121" s="16" t="s">
        <v>145</v>
      </c>
      <c r="D121" s="17"/>
      <c r="E121" s="17"/>
      <c r="F121" s="17"/>
      <c r="G121" s="17"/>
      <c r="H121" s="17"/>
      <c r="I121" s="17"/>
      <c r="J121" s="17"/>
      <c r="K121" s="17"/>
      <c r="O121" s="74"/>
      <c r="P121" s="74"/>
    </row>
    <row r="122" spans="3:17" ht="15" customHeight="1">
      <c r="C122" s="36" t="str">
        <f t="shared" ref="C122:K122" si="17">C14</f>
        <v xml:space="preserve">Fiscal year  </v>
      </c>
      <c r="D122" s="37">
        <f t="shared" si="17"/>
        <v>2016</v>
      </c>
      <c r="E122" s="37">
        <f t="shared" si="17"/>
        <v>2017</v>
      </c>
      <c r="F122" s="37">
        <f t="shared" si="17"/>
        <v>2018</v>
      </c>
      <c r="G122" s="65">
        <f t="shared" si="17"/>
        <v>2019</v>
      </c>
      <c r="H122" s="65">
        <f t="shared" si="17"/>
        <v>2020</v>
      </c>
      <c r="I122" s="65">
        <f t="shared" si="17"/>
        <v>2021</v>
      </c>
      <c r="J122" s="65">
        <f t="shared" si="17"/>
        <v>2022</v>
      </c>
      <c r="K122" s="65">
        <f t="shared" si="17"/>
        <v>2023</v>
      </c>
      <c r="O122" s="74"/>
      <c r="P122" s="74"/>
    </row>
    <row r="123" spans="3:17" ht="15" customHeight="1">
      <c r="C123" s="17" t="str">
        <f t="shared" ref="C123:K123" si="18">C15</f>
        <v>Fiscal year end date</v>
      </c>
      <c r="D123" s="38">
        <f t="shared" si="18"/>
        <v>42643</v>
      </c>
      <c r="E123" s="38">
        <f t="shared" si="18"/>
        <v>43008</v>
      </c>
      <c r="F123" s="38">
        <f t="shared" si="18"/>
        <v>43372</v>
      </c>
      <c r="G123" s="38">
        <f t="shared" si="18"/>
        <v>43738</v>
      </c>
      <c r="H123" s="38">
        <f t="shared" si="18"/>
        <v>44104</v>
      </c>
      <c r="I123" s="38">
        <f t="shared" si="18"/>
        <v>44469</v>
      </c>
      <c r="J123" s="38">
        <f t="shared" si="18"/>
        <v>44834</v>
      </c>
      <c r="K123" s="38">
        <f t="shared" si="18"/>
        <v>45199</v>
      </c>
      <c r="O123" s="74"/>
      <c r="P123" s="74"/>
    </row>
    <row r="124" spans="3:17" ht="15" customHeight="1">
      <c r="C124" s="27"/>
      <c r="O124" s="74"/>
      <c r="P124" s="74"/>
    </row>
    <row r="125" spans="3:17" ht="15" customHeight="1">
      <c r="C125" s="32" t="s">
        <v>146</v>
      </c>
      <c r="O125" s="74"/>
      <c r="P125" s="74"/>
      <c r="Q125" s="74"/>
    </row>
    <row r="126" spans="3:17" ht="15" customHeight="1">
      <c r="C126" s="29" t="s">
        <v>147</v>
      </c>
      <c r="G126" s="42">
        <f>F45</f>
        <v>237100</v>
      </c>
      <c r="H126" s="42">
        <f ca="1">G45</f>
        <v>202199.73246575586</v>
      </c>
      <c r="I126" s="42">
        <f ca="1">H45</f>
        <v>176523.72487352614</v>
      </c>
      <c r="J126" s="42">
        <f ca="1">I45</f>
        <v>156076.92943323214</v>
      </c>
      <c r="K126" s="42">
        <f ca="1">J45</f>
        <v>140273.77732642859</v>
      </c>
      <c r="M126" t="s">
        <v>148</v>
      </c>
      <c r="O126" s="74"/>
      <c r="P126" s="74"/>
    </row>
    <row r="127" spans="3:17" ht="15" customHeight="1">
      <c r="C127" s="29" t="s">
        <v>149</v>
      </c>
      <c r="G127" s="39">
        <v>-50000</v>
      </c>
      <c r="H127" s="39">
        <v>-50000</v>
      </c>
      <c r="I127" s="39">
        <v>-50000</v>
      </c>
      <c r="J127" s="39">
        <v>-50000</v>
      </c>
      <c r="K127" s="39">
        <v>-50000</v>
      </c>
      <c r="M127" t="s">
        <v>150</v>
      </c>
      <c r="O127" s="74"/>
      <c r="P127" s="74"/>
    </row>
    <row r="128" spans="3:17" ht="15" customHeight="1">
      <c r="C128" s="67" t="s">
        <v>151</v>
      </c>
      <c r="D128" s="80"/>
      <c r="E128" s="80"/>
      <c r="F128" s="80"/>
      <c r="G128" s="85">
        <f ca="1">SUM(G79,G82,G84,G86,G87)</f>
        <v>-34936.267534244129</v>
      </c>
      <c r="H128" s="85">
        <f ca="1">SUM(H79,H82,H84,H86,H87)</f>
        <v>-25676.007592229726</v>
      </c>
      <c r="I128" s="85">
        <f ca="1">SUM(I79,I82,I84,I86,I87)</f>
        <v>-20446.795440293994</v>
      </c>
      <c r="J128" s="85">
        <f ca="1">SUM(J79,J82,J84,J86,J87)</f>
        <v>-15803.152106803551</v>
      </c>
      <c r="K128" s="85">
        <f ca="1">SUM(K79,K82,K84,K86,K87)</f>
        <v>-10801.321625207391</v>
      </c>
      <c r="M128" t="s">
        <v>152</v>
      </c>
    </row>
    <row r="129" spans="3:19" ht="15" customHeight="1">
      <c r="C129" s="70" t="s">
        <v>153</v>
      </c>
      <c r="G129" s="45">
        <f ca="1">SUM(G126:G128)</f>
        <v>152163.73246575586</v>
      </c>
      <c r="H129" s="45">
        <f ca="1">SUM(H126:H128)</f>
        <v>126523.72487352614</v>
      </c>
      <c r="I129" s="45">
        <f ca="1">SUM(I126:I128)</f>
        <v>106076.92943323214</v>
      </c>
      <c r="J129" s="45">
        <f ca="1">SUM(J126:J128)</f>
        <v>90273.777326428593</v>
      </c>
      <c r="K129" s="45">
        <f ca="1">SUM(K126:K128)</f>
        <v>79472.455701221203</v>
      </c>
    </row>
    <row r="131" spans="3:19" ht="15" customHeight="1">
      <c r="C131" s="27" t="s">
        <v>154</v>
      </c>
    </row>
    <row r="132" spans="3:19" ht="15" customHeight="1">
      <c r="C132" s="29" t="s">
        <v>114</v>
      </c>
      <c r="G132" s="42">
        <f>F135</f>
        <v>11964</v>
      </c>
      <c r="H132" s="42">
        <f ca="1">G135</f>
        <v>12000</v>
      </c>
      <c r="I132" s="42">
        <f ca="1">H135</f>
        <v>12000</v>
      </c>
      <c r="J132" s="42">
        <f ca="1">I135</f>
        <v>12000</v>
      </c>
      <c r="K132" s="42">
        <f ca="1">J135</f>
        <v>12000</v>
      </c>
      <c r="M132" t="s">
        <v>115</v>
      </c>
    </row>
    <row r="133" spans="3:19" ht="15" customHeight="1">
      <c r="C133" s="29" t="s">
        <v>155</v>
      </c>
      <c r="G133" s="42">
        <f ca="1">-MIN(G129,G132)</f>
        <v>-11964</v>
      </c>
      <c r="H133" s="42">
        <f ca="1">-MIN(H129,H132)</f>
        <v>-12000</v>
      </c>
      <c r="I133" s="42">
        <f ca="1">-MIN(I129,I132)</f>
        <v>-12000</v>
      </c>
      <c r="J133" s="42">
        <f ca="1">-MIN(J129,J132)</f>
        <v>-12000</v>
      </c>
      <c r="K133" s="42">
        <f ca="1">-MIN(K129,K132)</f>
        <v>-12000</v>
      </c>
      <c r="M133" t="s">
        <v>156</v>
      </c>
    </row>
    <row r="134" spans="3:19" ht="15" customHeight="1">
      <c r="C134" s="67" t="s">
        <v>157</v>
      </c>
      <c r="D134" s="80"/>
      <c r="E134" s="80"/>
      <c r="F134" s="80"/>
      <c r="G134" s="68">
        <v>12000</v>
      </c>
      <c r="H134" s="68">
        <v>12000</v>
      </c>
      <c r="I134" s="68">
        <v>12000</v>
      </c>
      <c r="J134" s="68">
        <v>12000</v>
      </c>
      <c r="K134" s="68">
        <v>12000</v>
      </c>
      <c r="M134" t="s">
        <v>150</v>
      </c>
    </row>
    <row r="135" spans="3:19" ht="15" customHeight="1">
      <c r="C135" s="29" t="s">
        <v>120</v>
      </c>
      <c r="D135" s="85">
        <f>D56</f>
        <v>0</v>
      </c>
      <c r="E135" s="85">
        <f>E56</f>
        <v>11977</v>
      </c>
      <c r="F135" s="85">
        <f>F56</f>
        <v>11964</v>
      </c>
      <c r="G135" s="86">
        <f ca="1">SUM(G132:G134)</f>
        <v>12000</v>
      </c>
      <c r="H135" s="86">
        <f ca="1">SUM(H132:H134)</f>
        <v>12000</v>
      </c>
      <c r="I135" s="86">
        <f ca="1">SUM(I132:I134)</f>
        <v>12000</v>
      </c>
      <c r="J135" s="86">
        <f ca="1">SUM(J132:J134)</f>
        <v>12000</v>
      </c>
      <c r="K135" s="86">
        <f ca="1">SUM(K132:K134)</f>
        <v>12000</v>
      </c>
    </row>
    <row r="136" spans="3:19" ht="15" customHeight="1">
      <c r="C136" s="87" t="s">
        <v>158</v>
      </c>
      <c r="D136" s="88"/>
      <c r="E136" s="88"/>
      <c r="F136" s="89"/>
      <c r="G136" s="90" t="str">
        <f ca="1">IF(G135&lt;0,"Negative Debt","OK")</f>
        <v>OK</v>
      </c>
      <c r="H136" s="90" t="str">
        <f ca="1">IF(H135&lt;0,"Negative Debt","OK")</f>
        <v>OK</v>
      </c>
      <c r="I136" s="90" t="str">
        <f ca="1">IF(I135&lt;0,"Negative Debt","OK")</f>
        <v>OK</v>
      </c>
      <c r="J136" s="90" t="str">
        <f ca="1">IF(J135&lt;0,"Negative Debt","OK")</f>
        <v>OK</v>
      </c>
      <c r="K136" s="91" t="str">
        <f ca="1">IF(K135&lt;0,"Negative Debt","OK")</f>
        <v>OK</v>
      </c>
      <c r="S136" s="40"/>
    </row>
    <row r="137" spans="3:19" ht="15" customHeight="1">
      <c r="D137" s="42"/>
      <c r="E137" s="42"/>
      <c r="F137" s="92"/>
      <c r="G137" s="93"/>
      <c r="H137" s="93"/>
      <c r="I137" s="93"/>
      <c r="J137" s="93"/>
      <c r="K137" s="93"/>
      <c r="S137" s="40"/>
    </row>
    <row r="138" spans="3:19" ht="15" customHeight="1">
      <c r="C138" s="16" t="s">
        <v>159</v>
      </c>
      <c r="D138" s="76"/>
      <c r="E138" s="76"/>
      <c r="F138" s="76"/>
      <c r="G138" s="94"/>
      <c r="H138" s="94"/>
      <c r="I138" s="94"/>
      <c r="J138" s="94"/>
      <c r="K138" s="94"/>
      <c r="R138" s="95"/>
    </row>
    <row r="139" spans="3:19" ht="15" customHeight="1">
      <c r="C139" s="36" t="str">
        <f t="shared" ref="C139:K139" si="19">C14</f>
        <v xml:space="preserve">Fiscal year  </v>
      </c>
      <c r="D139" s="37">
        <f t="shared" si="19"/>
        <v>2016</v>
      </c>
      <c r="E139" s="37">
        <f t="shared" si="19"/>
        <v>2017</v>
      </c>
      <c r="F139" s="37">
        <f t="shared" si="19"/>
        <v>2018</v>
      </c>
      <c r="G139" s="65">
        <f t="shared" si="19"/>
        <v>2019</v>
      </c>
      <c r="H139" s="65">
        <f t="shared" si="19"/>
        <v>2020</v>
      </c>
      <c r="I139" s="65">
        <f t="shared" si="19"/>
        <v>2021</v>
      </c>
      <c r="J139" s="65">
        <f t="shared" si="19"/>
        <v>2022</v>
      </c>
      <c r="K139" s="65">
        <f t="shared" si="19"/>
        <v>2023</v>
      </c>
      <c r="R139" s="95"/>
      <c r="S139" s="40"/>
    </row>
    <row r="140" spans="3:19" ht="15" customHeight="1">
      <c r="C140" s="17" t="str">
        <f t="shared" ref="C140:K140" si="20">C15</f>
        <v>Fiscal year end date</v>
      </c>
      <c r="D140" s="38">
        <f t="shared" si="20"/>
        <v>42643</v>
      </c>
      <c r="E140" s="38">
        <f t="shared" si="20"/>
        <v>43008</v>
      </c>
      <c r="F140" s="38">
        <f t="shared" si="20"/>
        <v>43372</v>
      </c>
      <c r="G140" s="38">
        <f t="shared" si="20"/>
        <v>43738</v>
      </c>
      <c r="H140" s="38">
        <f t="shared" si="20"/>
        <v>44104</v>
      </c>
      <c r="I140" s="38">
        <f t="shared" si="20"/>
        <v>44469</v>
      </c>
      <c r="J140" s="38">
        <f t="shared" si="20"/>
        <v>44834</v>
      </c>
      <c r="K140" s="38">
        <f t="shared" si="20"/>
        <v>45199</v>
      </c>
      <c r="R140" s="95"/>
    </row>
    <row r="141" spans="3:19" ht="15" customHeight="1">
      <c r="C141" s="29"/>
      <c r="D141" s="42"/>
      <c r="E141" s="42"/>
      <c r="F141" s="42"/>
      <c r="G141" s="96"/>
      <c r="H141" s="96"/>
      <c r="I141" s="96"/>
      <c r="J141" s="96"/>
      <c r="K141" s="96"/>
      <c r="R141" s="95"/>
    </row>
    <row r="142" spans="3:19" ht="15" customHeight="1">
      <c r="C142" s="30" t="s">
        <v>160</v>
      </c>
      <c r="D142" s="42">
        <f>-(D24)</f>
        <v>1456</v>
      </c>
      <c r="E142" s="42">
        <f>-(E24)</f>
        <v>2323</v>
      </c>
      <c r="F142" s="42">
        <f>-(F24)</f>
        <v>3240</v>
      </c>
      <c r="G142" s="42">
        <f ca="1">G147+G152</f>
        <v>3223.1468651501777</v>
      </c>
      <c r="H142" s="42">
        <f ca="1">H147+H152</f>
        <v>3223.5392651501775</v>
      </c>
      <c r="I142" s="42">
        <f ca="1">I147+I152</f>
        <v>3223.5392651501775</v>
      </c>
      <c r="J142" s="42">
        <f ca="1">J147+J152</f>
        <v>3223.5392651501775</v>
      </c>
      <c r="K142" s="42">
        <f ca="1">K147+K152</f>
        <v>3223.5392651501775</v>
      </c>
      <c r="M142" t="s">
        <v>161</v>
      </c>
      <c r="R142" s="40"/>
    </row>
    <row r="143" spans="3:19" ht="15" customHeight="1">
      <c r="C143" s="97"/>
      <c r="R143" s="40"/>
    </row>
    <row r="144" spans="3:19" ht="15" customHeight="1">
      <c r="C144" s="98" t="s">
        <v>162</v>
      </c>
      <c r="R144" s="40"/>
    </row>
    <row r="145" spans="3:18" ht="15" customHeight="1">
      <c r="C145" s="29" t="s">
        <v>163</v>
      </c>
      <c r="E145" s="99">
        <v>1.2E-2</v>
      </c>
      <c r="F145" s="99">
        <v>2.18E-2</v>
      </c>
      <c r="G145" s="125">
        <f>F145</f>
        <v>2.18E-2</v>
      </c>
      <c r="H145" s="125">
        <f>G145</f>
        <v>2.18E-2</v>
      </c>
      <c r="I145" s="125">
        <f>H145</f>
        <v>2.18E-2</v>
      </c>
      <c r="J145" s="125">
        <f>I145</f>
        <v>2.18E-2</v>
      </c>
      <c r="K145" s="125">
        <f>J145</f>
        <v>2.18E-2</v>
      </c>
      <c r="M145" t="s">
        <v>164</v>
      </c>
    </row>
    <row r="146" spans="3:18" ht="15" customHeight="1">
      <c r="C146" s="29" t="s">
        <v>165</v>
      </c>
      <c r="D146" s="85"/>
      <c r="E146" s="85">
        <f t="shared" ref="E146:K146" si="21">E56</f>
        <v>11977</v>
      </c>
      <c r="F146" s="85">
        <f t="shared" si="21"/>
        <v>11964</v>
      </c>
      <c r="G146" s="42">
        <f t="shared" ca="1" si="21"/>
        <v>12000</v>
      </c>
      <c r="H146" s="42">
        <f t="shared" ca="1" si="21"/>
        <v>12000</v>
      </c>
      <c r="I146" s="42">
        <f t="shared" ca="1" si="21"/>
        <v>12000</v>
      </c>
      <c r="J146" s="42">
        <f t="shared" ca="1" si="21"/>
        <v>12000</v>
      </c>
      <c r="K146" s="42">
        <f t="shared" ca="1" si="21"/>
        <v>12000</v>
      </c>
      <c r="M146" t="s">
        <v>166</v>
      </c>
    </row>
    <row r="147" spans="3:18" ht="15" customHeight="1">
      <c r="C147" s="101" t="s">
        <v>167</v>
      </c>
      <c r="D147" s="42"/>
      <c r="E147" s="45">
        <f>AVERAGE(D146:E146)*E145</f>
        <v>143.72399999999999</v>
      </c>
      <c r="F147" s="45">
        <f>AVERAGE(E146:F146)*F145</f>
        <v>260.95690000000002</v>
      </c>
      <c r="G147" s="119">
        <f ca="1">IF($D$7=1,AVERAGE(F146,G146)*G145,0)</f>
        <v>261.20760000000001</v>
      </c>
      <c r="H147" s="119">
        <f ca="1">IF($D$7=1,AVERAGE(G146,H146)*H145,0)</f>
        <v>261.60000000000002</v>
      </c>
      <c r="I147" s="119">
        <f ca="1">IF($D$7=1,AVERAGE(H146,I146)*I145,0)</f>
        <v>261.60000000000002</v>
      </c>
      <c r="J147" s="119">
        <f ca="1">IF($D$7=1,AVERAGE(I146,J146)*J145,0)</f>
        <v>261.60000000000002</v>
      </c>
      <c r="K147" s="119">
        <f ca="1">IF($D$7=1,AVERAGE(J146,K146)*K145,0)</f>
        <v>261.60000000000002</v>
      </c>
      <c r="M147" t="s">
        <v>168</v>
      </c>
    </row>
    <row r="148" spans="3:18" ht="15" customHeight="1">
      <c r="C148" s="103"/>
      <c r="D148" s="42"/>
      <c r="E148" s="42"/>
      <c r="F148" s="42"/>
    </row>
    <row r="149" spans="3:18" ht="15" customHeight="1">
      <c r="C149" s="98" t="s">
        <v>105</v>
      </c>
      <c r="D149" s="42"/>
      <c r="E149" s="42"/>
      <c r="F149" s="42"/>
    </row>
    <row r="150" spans="3:18" ht="15" customHeight="1">
      <c r="C150" s="29" t="s">
        <v>165</v>
      </c>
      <c r="D150" s="42"/>
      <c r="E150" s="42">
        <f t="shared" ref="E150:K150" si="22">E57</f>
        <v>103703</v>
      </c>
      <c r="F150" s="42">
        <f t="shared" si="22"/>
        <v>102519</v>
      </c>
      <c r="G150" s="42">
        <f t="shared" si="22"/>
        <v>102519</v>
      </c>
      <c r="H150" s="42">
        <f t="shared" si="22"/>
        <v>102519</v>
      </c>
      <c r="I150" s="42">
        <f t="shared" si="22"/>
        <v>102519</v>
      </c>
      <c r="J150" s="42">
        <f t="shared" si="22"/>
        <v>102519</v>
      </c>
      <c r="K150" s="42">
        <f t="shared" si="22"/>
        <v>102519</v>
      </c>
      <c r="M150" t="s">
        <v>107</v>
      </c>
    </row>
    <row r="151" spans="3:18" ht="15" customHeight="1">
      <c r="C151" s="29" t="s">
        <v>163</v>
      </c>
      <c r="E151" s="51">
        <f>E152/AVERAGE(D150:E150)</f>
        <v>2.101458974185896E-2</v>
      </c>
      <c r="F151" s="51">
        <f>F152/AVERAGE(E150:F150)</f>
        <v>2.8891612921996681E-2</v>
      </c>
      <c r="G151" s="126">
        <f>F151</f>
        <v>2.8891612921996681E-2</v>
      </c>
      <c r="H151" s="126">
        <f>G151</f>
        <v>2.8891612921996681E-2</v>
      </c>
      <c r="I151" s="126">
        <f>H151</f>
        <v>2.8891612921996681E-2</v>
      </c>
      <c r="J151" s="126">
        <f>I151</f>
        <v>2.8891612921996681E-2</v>
      </c>
      <c r="K151" s="126">
        <f>J151</f>
        <v>2.8891612921996681E-2</v>
      </c>
      <c r="M151" t="s">
        <v>164</v>
      </c>
      <c r="R151" s="95"/>
    </row>
    <row r="152" spans="3:18" ht="15" customHeight="1">
      <c r="C152" s="70" t="s">
        <v>169</v>
      </c>
      <c r="D152" s="45"/>
      <c r="E152" s="45">
        <f>E142-E147</f>
        <v>2179.2759999999998</v>
      </c>
      <c r="F152" s="45">
        <f>F142-F147</f>
        <v>2979.0430999999999</v>
      </c>
      <c r="G152" s="41">
        <f>G151*AVERAGE(F150:G150)</f>
        <v>2961.9392651501776</v>
      </c>
      <c r="H152" s="41">
        <f>H151*AVERAGE(G150:H150)</f>
        <v>2961.9392651501776</v>
      </c>
      <c r="I152" s="41">
        <f>I151*AVERAGE(H150:I150)</f>
        <v>2961.9392651501776</v>
      </c>
      <c r="J152" s="41">
        <f>J151*AVERAGE(I150:J150)</f>
        <v>2961.9392651501776</v>
      </c>
      <c r="K152" s="41">
        <f>K151*AVERAGE(J150:K150)</f>
        <v>2961.9392651501776</v>
      </c>
      <c r="M152" t="s">
        <v>170</v>
      </c>
    </row>
    <row r="153" spans="3:18" ht="15" customHeight="1">
      <c r="E153" s="42"/>
    </row>
    <row r="154" spans="3:18" ht="15" customHeight="1">
      <c r="C154" s="97" t="s">
        <v>171</v>
      </c>
      <c r="E154" s="42"/>
      <c r="F154" s="42"/>
    </row>
    <row r="155" spans="3:18" ht="15" customHeight="1">
      <c r="C155" s="29" t="s">
        <v>172</v>
      </c>
      <c r="D155" s="49">
        <v>1.7299999999999999E-2</v>
      </c>
      <c r="E155" s="99">
        <v>1.9900000000000001E-2</v>
      </c>
      <c r="F155" s="99">
        <v>2.1600000000000001E-2</v>
      </c>
      <c r="G155" s="127">
        <f>F155</f>
        <v>2.1600000000000001E-2</v>
      </c>
      <c r="H155" s="127">
        <f>G155</f>
        <v>2.1600000000000001E-2</v>
      </c>
      <c r="I155" s="127">
        <f>H155</f>
        <v>2.1600000000000001E-2</v>
      </c>
      <c r="J155" s="127">
        <f>I155</f>
        <v>2.1600000000000001E-2</v>
      </c>
      <c r="K155" s="127">
        <f>J155</f>
        <v>2.1600000000000001E-2</v>
      </c>
      <c r="M155" t="s">
        <v>164</v>
      </c>
    </row>
    <row r="156" spans="3:18" ht="15" customHeight="1">
      <c r="C156" s="29" t="s">
        <v>19</v>
      </c>
      <c r="D156" s="42">
        <f>D23</f>
        <v>3999</v>
      </c>
      <c r="E156" s="42">
        <f>E23</f>
        <v>5201</v>
      </c>
      <c r="F156" s="42">
        <f>F23</f>
        <v>5686</v>
      </c>
      <c r="G156" s="44">
        <f ca="1">IF($D$7=1,AVERAGE(F45,G45)*G155,0)</f>
        <v>4744.4371106301642</v>
      </c>
      <c r="H156" s="44">
        <f ca="1">IF($D$7=1,AVERAGE(G45,H45)*H155,0)</f>
        <v>4090.2133392642463</v>
      </c>
      <c r="I156" s="44">
        <f ca="1">IF($D$7=1,AVERAGE(H45,I45)*I155,0)</f>
        <v>3592.0870665129901</v>
      </c>
      <c r="J156" s="44">
        <f ca="1">IF($D$7=1,AVERAGE(I45,J45)*J155,0)</f>
        <v>3200.5876330043361</v>
      </c>
      <c r="K156" s="44">
        <f ca="1">IF($D$7=1,AVERAGE(J45,K45)*K155,0)</f>
        <v>2913.259316698618</v>
      </c>
      <c r="M156" t="s">
        <v>173</v>
      </c>
    </row>
    <row r="157" spans="3:18" ht="15" customHeight="1">
      <c r="C157" s="50"/>
      <c r="D157" s="51"/>
      <c r="E157" s="51"/>
      <c r="F157" s="51"/>
      <c r="G157" s="51"/>
      <c r="H157" s="51"/>
    </row>
  </sheetData>
  <mergeCells count="1">
    <mergeCell ref="G95:K95"/>
  </mergeCells>
  <conditionalFormatting sqref="C39">
    <cfRule type="expression" dxfId="19" priority="2">
      <formula>#REF!=$C39</formula>
    </cfRule>
  </conditionalFormatting>
  <dataValidations count="2">
    <dataValidation type="list" allowBlank="1" showInputMessage="1" showErrorMessage="1" sqref="D7" xr:uid="{00000000-0002-0000-0800-000000000000}">
      <formula1>"0,1"</formula1>
      <formula2>0</formula2>
    </dataValidation>
    <dataValidation type="list" allowBlank="1" showInputMessage="1" showErrorMessage="1" sqref="C3" xr:uid="{00000000-0002-0000-0800-000001000000}">
      <formula1>"$ bns except per share,$ mm except per share,$ in thousands except per share"</formula1>
      <formula2>0</formula2>
    </dataValidation>
  </dataValidations>
  <pageMargins left="0.7" right="0.7" top="0.75" bottom="0.75" header="0.511811023622047" footer="0.511811023622047"/>
  <pageSetup orientation="portrait" horizontalDpi="300" verticalDpi="300"/>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C1:T219"/>
  <sheetViews>
    <sheetView topLeftCell="A184" zoomScaleNormal="100" workbookViewId="0">
      <selection activeCell="I33" sqref="I33"/>
    </sheetView>
  </sheetViews>
  <sheetFormatPr baseColWidth="10" defaultColWidth="8.83203125" defaultRowHeight="15"/>
  <cols>
    <col min="1" max="2" width="1.6640625" customWidth="1"/>
    <col min="3" max="3" width="46.6640625" customWidth="1"/>
    <col min="4" max="4" width="13.33203125" customWidth="1"/>
    <col min="5" max="11" width="11.5" customWidth="1"/>
    <col min="12" max="12" width="2.33203125" customWidth="1"/>
    <col min="13" max="13" width="11.5" customWidth="1"/>
    <col min="14" max="14" width="11.83203125" customWidth="1"/>
    <col min="15" max="17" width="10.33203125" customWidth="1"/>
    <col min="18" max="19" width="9.5" customWidth="1"/>
  </cols>
  <sheetData>
    <row r="1" spans="3:19" ht="15.75" customHeight="1"/>
    <row r="2" spans="3:19" ht="15.75" customHeight="1">
      <c r="C2" s="4" t="str">
        <f>"Financial Statement Model for "&amp;D5</f>
        <v>Financial Statement Model for Apple</v>
      </c>
      <c r="D2" s="5"/>
      <c r="E2" s="5"/>
      <c r="F2" s="5"/>
      <c r="G2" s="5"/>
      <c r="H2" s="5"/>
      <c r="I2" s="5"/>
      <c r="J2" s="5"/>
      <c r="K2" s="5"/>
    </row>
    <row r="3" spans="3:19" ht="15" customHeight="1">
      <c r="C3" s="6" t="s">
        <v>0</v>
      </c>
      <c r="D3" s="7"/>
      <c r="E3" s="7"/>
      <c r="F3" s="7"/>
      <c r="G3" s="7"/>
      <c r="H3" s="7"/>
    </row>
    <row r="5" spans="3:19" ht="15" customHeight="1">
      <c r="C5" s="8" t="s">
        <v>1</v>
      </c>
      <c r="D5" s="9" t="s">
        <v>2</v>
      </c>
    </row>
    <row r="6" spans="3:19" ht="15" customHeight="1">
      <c r="C6" s="8" t="s">
        <v>3</v>
      </c>
      <c r="D6" s="9" t="s">
        <v>4</v>
      </c>
    </row>
    <row r="7" spans="3:19" ht="15" customHeight="1">
      <c r="C7" t="s">
        <v>5</v>
      </c>
      <c r="D7" s="10">
        <v>1</v>
      </c>
    </row>
    <row r="8" spans="3:19" ht="15" customHeight="1">
      <c r="C8" t="s">
        <v>6</v>
      </c>
      <c r="D8" s="11">
        <v>171.25</v>
      </c>
    </row>
    <row r="9" spans="3:19" ht="15" customHeight="1">
      <c r="C9" t="s">
        <v>7</v>
      </c>
      <c r="D9" s="12">
        <v>43500</v>
      </c>
    </row>
    <row r="10" spans="3:19" ht="15" customHeight="1">
      <c r="C10" s="8" t="s">
        <v>8</v>
      </c>
      <c r="D10" s="13">
        <v>43372</v>
      </c>
    </row>
    <row r="11" spans="3:19" ht="15" customHeight="1">
      <c r="C11" t="s">
        <v>9</v>
      </c>
      <c r="D11" s="54">
        <v>4745.3980000000001</v>
      </c>
    </row>
    <row r="12" spans="3:19" ht="15" customHeight="1">
      <c r="C12" t="s">
        <v>188</v>
      </c>
      <c r="D12" s="10" t="s">
        <v>189</v>
      </c>
    </row>
    <row r="13" spans="3:19" ht="15" customHeight="1">
      <c r="C13" s="27"/>
      <c r="D13" s="27"/>
    </row>
    <row r="14" spans="3:19" ht="15" customHeight="1">
      <c r="C14" s="16" t="s">
        <v>10</v>
      </c>
      <c r="D14" s="17"/>
      <c r="E14" s="17"/>
      <c r="F14" s="17"/>
      <c r="G14" s="17"/>
      <c r="H14" s="17"/>
      <c r="I14" s="17"/>
      <c r="J14" s="17"/>
      <c r="K14" s="17"/>
    </row>
    <row r="15" spans="3:19" ht="15" customHeight="1">
      <c r="C15" t="s">
        <v>11</v>
      </c>
      <c r="D15" s="18">
        <f>E15-1</f>
        <v>2016</v>
      </c>
      <c r="E15" s="18">
        <f>F15-1</f>
        <v>2017</v>
      </c>
      <c r="F15" s="18">
        <f>YEAR(D10)</f>
        <v>2018</v>
      </c>
      <c r="G15" s="55">
        <f>F15+1</f>
        <v>2019</v>
      </c>
      <c r="H15" s="55">
        <f>G15+1</f>
        <v>2020</v>
      </c>
      <c r="I15" s="55">
        <f>H15+1</f>
        <v>2021</v>
      </c>
      <c r="J15" s="55">
        <f>I15+1</f>
        <v>2022</v>
      </c>
      <c r="K15" s="55">
        <f>J15+1</f>
        <v>2023</v>
      </c>
    </row>
    <row r="16" spans="3:19" ht="15" customHeight="1">
      <c r="C16" s="19" t="s">
        <v>12</v>
      </c>
      <c r="D16" s="20">
        <f>EOMONTH(E16,-12)</f>
        <v>42643</v>
      </c>
      <c r="E16" s="20">
        <f>EOMONTH(F16,-12)</f>
        <v>43008</v>
      </c>
      <c r="F16" s="20">
        <f>D10</f>
        <v>43372</v>
      </c>
      <c r="G16" s="20">
        <f>EOMONTH(F16,12)</f>
        <v>43738</v>
      </c>
      <c r="H16" s="20">
        <f>EOMONTH(G16,12)</f>
        <v>44104</v>
      </c>
      <c r="I16" s="20">
        <f>EOMONTH(H16,12)</f>
        <v>44469</v>
      </c>
      <c r="J16" s="20">
        <f>EOMONTH(I16,12)</f>
        <v>44834</v>
      </c>
      <c r="K16" s="20">
        <f>EOMONTH(J16,12)</f>
        <v>45199</v>
      </c>
      <c r="M16" s="16" t="s">
        <v>66</v>
      </c>
      <c r="N16" s="17"/>
      <c r="O16" s="17"/>
      <c r="P16" s="17"/>
      <c r="Q16" s="17"/>
      <c r="R16" s="17"/>
      <c r="S16" s="17"/>
    </row>
    <row r="17" spans="3:14" ht="15" customHeight="1">
      <c r="C17" s="23"/>
      <c r="D17" s="24"/>
      <c r="E17" s="25"/>
      <c r="F17" s="25"/>
      <c r="G17" s="56"/>
      <c r="H17" s="57"/>
      <c r="I17" s="57"/>
      <c r="J17" s="25"/>
      <c r="K17" s="25"/>
    </row>
    <row r="18" spans="3:14" ht="15" customHeight="1">
      <c r="C18" t="s">
        <v>13</v>
      </c>
      <c r="D18" s="39">
        <v>215639</v>
      </c>
      <c r="E18" s="39">
        <v>229234</v>
      </c>
      <c r="F18" s="39">
        <v>265595</v>
      </c>
      <c r="G18" s="44">
        <f>F18*(1+G37)</f>
        <v>254971.19999999998</v>
      </c>
      <c r="H18" s="44">
        <f>G18*(1+H37)</f>
        <v>270269.47200000001</v>
      </c>
      <c r="I18" s="44">
        <f>H18*(1+I37)</f>
        <v>288918.06556800002</v>
      </c>
      <c r="J18" s="44">
        <f>I18*(1+J37)</f>
        <v>308853.41209219198</v>
      </c>
      <c r="K18" s="44">
        <f>J18*(1+K37)</f>
        <v>330164.29752655321</v>
      </c>
      <c r="M18" t="s">
        <v>67</v>
      </c>
    </row>
    <row r="19" spans="3:14" ht="15" customHeight="1">
      <c r="C19" t="s">
        <v>14</v>
      </c>
      <c r="D19" s="39">
        <v>-131376</v>
      </c>
      <c r="E19" s="39">
        <v>-141048</v>
      </c>
      <c r="F19" s="39">
        <v>-163756</v>
      </c>
      <c r="G19" s="44">
        <f>G20-G18</f>
        <v>-158592.08639999997</v>
      </c>
      <c r="H19" s="44">
        <f>H20-H18</f>
        <v>-167296.80316800001</v>
      </c>
      <c r="I19" s="44">
        <f>I20-I18</f>
        <v>-178551.36452102399</v>
      </c>
      <c r="J19" s="44">
        <f>J20-J18</f>
        <v>-190871.40867297465</v>
      </c>
      <c r="K19" s="44">
        <f>K20-K18</f>
        <v>-204041.53587140987</v>
      </c>
      <c r="M19" t="s">
        <v>68</v>
      </c>
    </row>
    <row r="20" spans="3:14" ht="15" customHeight="1">
      <c r="C20" s="27" t="s">
        <v>15</v>
      </c>
      <c r="D20" s="41">
        <f>SUM(D18:D19)</f>
        <v>84263</v>
      </c>
      <c r="E20" s="41">
        <f>SUM(E18:E19)</f>
        <v>88186</v>
      </c>
      <c r="F20" s="41">
        <f>SUM(F18:F19)</f>
        <v>101839</v>
      </c>
      <c r="G20" s="41">
        <f>G18*G38</f>
        <v>96379.113599999997</v>
      </c>
      <c r="H20" s="41">
        <f>H18*H38</f>
        <v>102972.66883200001</v>
      </c>
      <c r="I20" s="41">
        <f>I18*I38</f>
        <v>110366.70104697601</v>
      </c>
      <c r="J20" s="41">
        <f>J18*J38</f>
        <v>117982.00341921733</v>
      </c>
      <c r="K20" s="41">
        <f>K18*K38</f>
        <v>126122.76165514333</v>
      </c>
      <c r="M20" t="s">
        <v>69</v>
      </c>
    </row>
    <row r="21" spans="3:14" ht="15" customHeight="1">
      <c r="C21" t="s">
        <v>16</v>
      </c>
      <c r="D21" s="39">
        <v>-10045</v>
      </c>
      <c r="E21" s="39">
        <v>-11581</v>
      </c>
      <c r="F21" s="39">
        <v>-14236</v>
      </c>
      <c r="G21" s="44">
        <f>-G39*G18</f>
        <v>-15808.214399999999</v>
      </c>
      <c r="H21" s="44">
        <f>-H39*H18</f>
        <v>-17026.976736000001</v>
      </c>
      <c r="I21" s="44">
        <f>-I39*I18</f>
        <v>-18201.838130784003</v>
      </c>
      <c r="J21" s="44">
        <f>-J39*J18</f>
        <v>-19457.764961808094</v>
      </c>
      <c r="K21" s="44">
        <f>-K39*K18</f>
        <v>-20800.350744172854</v>
      </c>
      <c r="M21" t="s">
        <v>70</v>
      </c>
    </row>
    <row r="22" spans="3:14" ht="15" customHeight="1">
      <c r="C22" t="s">
        <v>17</v>
      </c>
      <c r="D22" s="39">
        <v>-14194</v>
      </c>
      <c r="E22" s="39">
        <v>-15261</v>
      </c>
      <c r="F22" s="39">
        <v>-16705</v>
      </c>
      <c r="G22" s="44">
        <f>-G18*G40</f>
        <v>-18867.868799999997</v>
      </c>
      <c r="H22" s="44">
        <f>-H18*H40</f>
        <v>-18648.593568000004</v>
      </c>
      <c r="I22" s="44">
        <f>-I18*I40</f>
        <v>-19935.346524192002</v>
      </c>
      <c r="J22" s="44">
        <f>-J18*J40</f>
        <v>-21310.885434361247</v>
      </c>
      <c r="K22" s="44">
        <f>-K18*K40</f>
        <v>-22781.336529332173</v>
      </c>
      <c r="M22" t="s">
        <v>71</v>
      </c>
    </row>
    <row r="23" spans="3:14" ht="15" customHeight="1">
      <c r="C23" s="27" t="s">
        <v>18</v>
      </c>
      <c r="D23" s="41">
        <f t="shared" ref="D23:K23" si="0">D20+D21+D22</f>
        <v>60024</v>
      </c>
      <c r="E23" s="41">
        <f t="shared" si="0"/>
        <v>61344</v>
      </c>
      <c r="F23" s="41">
        <f t="shared" si="0"/>
        <v>70898</v>
      </c>
      <c r="G23" s="41">
        <f t="shared" si="0"/>
        <v>61703.030400000003</v>
      </c>
      <c r="H23" s="41">
        <f t="shared" si="0"/>
        <v>67297.098528000002</v>
      </c>
      <c r="I23" s="41">
        <f t="shared" si="0"/>
        <v>72229.516392000005</v>
      </c>
      <c r="J23" s="41">
        <f t="shared" si="0"/>
        <v>77213.353023047996</v>
      </c>
      <c r="K23" s="41">
        <f t="shared" si="0"/>
        <v>82541.074381638304</v>
      </c>
      <c r="M23" s="27" t="s">
        <v>72</v>
      </c>
    </row>
    <row r="24" spans="3:14" ht="15" customHeight="1">
      <c r="C24" t="s">
        <v>19</v>
      </c>
      <c r="D24" s="39">
        <v>3999</v>
      </c>
      <c r="E24" s="39">
        <v>5201</v>
      </c>
      <c r="F24" s="39">
        <v>5686</v>
      </c>
      <c r="G24" s="42">
        <f ca="1">G157</f>
        <v>4744.4371106301642</v>
      </c>
      <c r="H24" s="42">
        <f ca="1">H157</f>
        <v>4090.2133392642463</v>
      </c>
      <c r="I24" s="42">
        <f ca="1">I157</f>
        <v>3592.0870665129901</v>
      </c>
      <c r="J24" s="42">
        <f ca="1">J157</f>
        <v>3200.5876330043361</v>
      </c>
      <c r="K24" s="42">
        <f ca="1">K157</f>
        <v>2913.259316698618</v>
      </c>
      <c r="M24" t="s">
        <v>73</v>
      </c>
    </row>
    <row r="25" spans="3:14" ht="15" customHeight="1">
      <c r="C25" t="s">
        <v>20</v>
      </c>
      <c r="D25" s="39">
        <v>-1456</v>
      </c>
      <c r="E25" s="39">
        <v>-2323</v>
      </c>
      <c r="F25" s="39">
        <v>-3240</v>
      </c>
      <c r="G25" s="42">
        <f ca="1">-G143</f>
        <v>-3223.1468651501777</v>
      </c>
      <c r="H25" s="42">
        <f ca="1">-H143</f>
        <v>-3223.5392651501775</v>
      </c>
      <c r="I25" s="42">
        <f ca="1">-I143</f>
        <v>-3223.5392651501775</v>
      </c>
      <c r="J25" s="42">
        <f ca="1">-J143</f>
        <v>-3223.5392651501775</v>
      </c>
      <c r="K25" s="42">
        <f ca="1">-K143</f>
        <v>-3223.5392651501775</v>
      </c>
      <c r="M25" t="s">
        <v>74</v>
      </c>
    </row>
    <row r="26" spans="3:14" ht="15" customHeight="1">
      <c r="C26" t="s">
        <v>21</v>
      </c>
      <c r="D26" s="39">
        <v>-1195</v>
      </c>
      <c r="E26" s="39">
        <v>-133</v>
      </c>
      <c r="F26" s="39">
        <v>-441</v>
      </c>
      <c r="G26" s="42">
        <f>F26</f>
        <v>-441</v>
      </c>
      <c r="H26" s="42">
        <f>G26</f>
        <v>-441</v>
      </c>
      <c r="I26" s="42">
        <f>H26</f>
        <v>-441</v>
      </c>
      <c r="J26" s="42">
        <f>I26</f>
        <v>-441</v>
      </c>
      <c r="K26" s="42">
        <f>J26</f>
        <v>-441</v>
      </c>
      <c r="M26" t="s">
        <v>75</v>
      </c>
    </row>
    <row r="27" spans="3:14" ht="15" customHeight="1">
      <c r="C27" s="27" t="s">
        <v>22</v>
      </c>
      <c r="D27" s="41">
        <f t="shared" ref="D27:K27" si="1">SUM(D23:D26)</f>
        <v>61372</v>
      </c>
      <c r="E27" s="41">
        <f t="shared" si="1"/>
        <v>64089</v>
      </c>
      <c r="F27" s="41">
        <f t="shared" si="1"/>
        <v>72903</v>
      </c>
      <c r="G27" s="41">
        <f t="shared" ca="1" si="1"/>
        <v>62783.320645479995</v>
      </c>
      <c r="H27" s="41">
        <f t="shared" ca="1" si="1"/>
        <v>67722.77260211407</v>
      </c>
      <c r="I27" s="41">
        <f t="shared" ca="1" si="1"/>
        <v>72157.064193362821</v>
      </c>
      <c r="J27" s="41">
        <f t="shared" ca="1" si="1"/>
        <v>76749.40139090216</v>
      </c>
      <c r="K27" s="41">
        <f t="shared" ca="1" si="1"/>
        <v>81789.794433186747</v>
      </c>
      <c r="M27" s="27" t="s">
        <v>76</v>
      </c>
      <c r="N27" s="27"/>
    </row>
    <row r="28" spans="3:14" ht="15" customHeight="1">
      <c r="C28" t="s">
        <v>23</v>
      </c>
      <c r="D28" s="39">
        <v>-15685</v>
      </c>
      <c r="E28" s="39">
        <v>-15738</v>
      </c>
      <c r="F28" s="39">
        <v>-13372</v>
      </c>
      <c r="G28" s="44">
        <f ca="1">-G41*G27</f>
        <v>-10484.81454779516</v>
      </c>
      <c r="H28" s="44">
        <f ca="1">-H41*H27</f>
        <v>-11512.871342359393</v>
      </c>
      <c r="I28" s="44">
        <f ca="1">-I41*I27</f>
        <v>-12194.543848678317</v>
      </c>
      <c r="J28" s="44">
        <f ca="1">-J41*J27</f>
        <v>-12970.648835062466</v>
      </c>
      <c r="K28" s="44">
        <f ca="1">-K41*K27</f>
        <v>-13822.475259208561</v>
      </c>
      <c r="M28" t="s">
        <v>77</v>
      </c>
    </row>
    <row r="29" spans="3:14" ht="15" customHeight="1">
      <c r="C29" s="27" t="s">
        <v>24</v>
      </c>
      <c r="D29" s="41">
        <f t="shared" ref="D29:K29" si="2">SUM(D27:D28)</f>
        <v>45687</v>
      </c>
      <c r="E29" s="41">
        <f t="shared" si="2"/>
        <v>48351</v>
      </c>
      <c r="F29" s="41">
        <f t="shared" si="2"/>
        <v>59531</v>
      </c>
      <c r="G29" s="41">
        <f t="shared" ca="1" si="2"/>
        <v>52298.506097684833</v>
      </c>
      <c r="H29" s="41">
        <f t="shared" ca="1" si="2"/>
        <v>56209.901259754675</v>
      </c>
      <c r="I29" s="41">
        <f t="shared" ca="1" si="2"/>
        <v>59962.520344684504</v>
      </c>
      <c r="J29" s="41">
        <f t="shared" ca="1" si="2"/>
        <v>63778.752555839696</v>
      </c>
      <c r="K29" s="41">
        <f t="shared" ca="1" si="2"/>
        <v>67967.319173978191</v>
      </c>
      <c r="M29" s="27" t="s">
        <v>78</v>
      </c>
    </row>
    <row r="30" spans="3:14" ht="15" customHeight="1">
      <c r="C30" s="29"/>
      <c r="D30" s="42"/>
      <c r="E30" s="42"/>
      <c r="F30" s="42"/>
      <c r="G30" s="42"/>
      <c r="H30" s="42"/>
      <c r="I30" s="42"/>
      <c r="J30" s="42"/>
      <c r="K30" s="42"/>
    </row>
    <row r="31" spans="3:14" ht="15" customHeight="1">
      <c r="C31" s="30" t="s">
        <v>25</v>
      </c>
      <c r="D31" s="39">
        <v>10505</v>
      </c>
      <c r="E31" s="39">
        <v>10157</v>
      </c>
      <c r="F31" s="39">
        <v>10903</v>
      </c>
      <c r="G31" s="42">
        <f>G107</f>
        <v>11085.020171261172</v>
      </c>
      <c r="H31" s="42">
        <f>H107</f>
        <v>11711.890744865921</v>
      </c>
      <c r="I31" s="42">
        <f>I107</f>
        <v>12226.380531123083</v>
      </c>
      <c r="J31" s="42">
        <f>J107</f>
        <v>13365.451007770575</v>
      </c>
      <c r="K31" s="42">
        <f>K107</f>
        <v>14603.503412486743</v>
      </c>
      <c r="M31" t="s">
        <v>79</v>
      </c>
    </row>
    <row r="32" spans="3:14" ht="15" customHeight="1">
      <c r="C32" s="31" t="s">
        <v>26</v>
      </c>
      <c r="D32" s="41">
        <f t="shared" ref="D32:K32" si="3">D23+D31</f>
        <v>70529</v>
      </c>
      <c r="E32" s="41">
        <f t="shared" si="3"/>
        <v>71501</v>
      </c>
      <c r="F32" s="41">
        <f t="shared" si="3"/>
        <v>81801</v>
      </c>
      <c r="G32" s="41">
        <f t="shared" si="3"/>
        <v>72788.050571261178</v>
      </c>
      <c r="H32" s="41">
        <f t="shared" si="3"/>
        <v>79008.989272865918</v>
      </c>
      <c r="I32" s="41">
        <f t="shared" si="3"/>
        <v>84455.896923123088</v>
      </c>
      <c r="J32" s="41">
        <f t="shared" si="3"/>
        <v>90578.804030818574</v>
      </c>
      <c r="K32" s="41">
        <f t="shared" si="3"/>
        <v>97144.577794125042</v>
      </c>
      <c r="M32" s="27" t="s">
        <v>80</v>
      </c>
    </row>
    <row r="33" spans="3:20" ht="15" customHeight="1">
      <c r="C33" s="30" t="s">
        <v>27</v>
      </c>
      <c r="D33" s="39">
        <v>4210</v>
      </c>
      <c r="E33" s="39">
        <v>4840</v>
      </c>
      <c r="F33" s="39">
        <v>5340</v>
      </c>
      <c r="G33" s="42">
        <f>F33*(1+G37)</f>
        <v>5126.3999999999996</v>
      </c>
      <c r="H33" s="42">
        <f>G33*(1+H37)</f>
        <v>5433.9839999999995</v>
      </c>
      <c r="I33" s="42">
        <f>H33*(1+I37)</f>
        <v>5808.9288959999994</v>
      </c>
      <c r="J33" s="42">
        <f>I33*(1+J37)</f>
        <v>6209.7449898239993</v>
      </c>
      <c r="K33" s="42">
        <f>J33*(1+K37)</f>
        <v>6638.2173941218552</v>
      </c>
      <c r="M33" t="s">
        <v>81</v>
      </c>
    </row>
    <row r="34" spans="3:20" ht="15" customHeight="1">
      <c r="C34" s="31" t="s">
        <v>28</v>
      </c>
      <c r="D34" s="41">
        <f t="shared" ref="D34:K34" si="4">SUM(D32:D33)</f>
        <v>74739</v>
      </c>
      <c r="E34" s="41">
        <f t="shared" si="4"/>
        <v>76341</v>
      </c>
      <c r="F34" s="41">
        <f t="shared" si="4"/>
        <v>87141</v>
      </c>
      <c r="G34" s="41">
        <f t="shared" si="4"/>
        <v>77914.450571261172</v>
      </c>
      <c r="H34" s="41">
        <f t="shared" si="4"/>
        <v>84442.973272865915</v>
      </c>
      <c r="I34" s="41">
        <f t="shared" si="4"/>
        <v>90264.825819123085</v>
      </c>
      <c r="J34" s="41">
        <f t="shared" si="4"/>
        <v>96788.549020642575</v>
      </c>
      <c r="K34" s="41">
        <f t="shared" si="4"/>
        <v>103782.79518824689</v>
      </c>
      <c r="M34" s="27" t="s">
        <v>82</v>
      </c>
    </row>
    <row r="35" spans="3:20" ht="15" customHeight="1">
      <c r="C35" s="29"/>
      <c r="G35" s="62"/>
    </row>
    <row r="36" spans="3:20" ht="15" customHeight="1">
      <c r="C36" s="32" t="s">
        <v>83</v>
      </c>
    </row>
    <row r="37" spans="3:20" ht="15" customHeight="1">
      <c r="C37" s="29" t="s">
        <v>30</v>
      </c>
      <c r="D37" s="63"/>
      <c r="E37" s="63">
        <f>E18/D18-1</f>
        <v>6.304518199398057E-2</v>
      </c>
      <c r="F37" s="63">
        <f>F18/E18-1</f>
        <v>0.15861957650261305</v>
      </c>
      <c r="G37" s="113">
        <v>-0.04</v>
      </c>
      <c r="H37" s="113">
        <v>0.06</v>
      </c>
      <c r="I37" s="113">
        <v>6.9000000000000006E-2</v>
      </c>
      <c r="J37" s="72">
        <f t="shared" ref="J37:K41" si="5">I37</f>
        <v>6.9000000000000006E-2</v>
      </c>
      <c r="K37" s="72">
        <f t="shared" si="5"/>
        <v>6.9000000000000006E-2</v>
      </c>
      <c r="M37" t="s">
        <v>190</v>
      </c>
      <c r="O37" s="35"/>
      <c r="P37" s="35"/>
      <c r="Q37" s="35"/>
      <c r="R37" s="35"/>
      <c r="S37" s="35"/>
      <c r="T37" s="35"/>
    </row>
    <row r="38" spans="3:20" ht="15" customHeight="1">
      <c r="C38" s="29" t="s">
        <v>31</v>
      </c>
      <c r="D38" s="63">
        <f>D20/D18</f>
        <v>0.39075955648097049</v>
      </c>
      <c r="E38" s="63">
        <f>E20/E18</f>
        <v>0.38469860491899105</v>
      </c>
      <c r="F38" s="63">
        <f>F20/F18</f>
        <v>0.38343718820007905</v>
      </c>
      <c r="G38" s="113">
        <v>0.378</v>
      </c>
      <c r="H38" s="113">
        <v>0.38100000000000001</v>
      </c>
      <c r="I38" s="113">
        <v>0.38200000000000001</v>
      </c>
      <c r="J38" s="72">
        <f t="shared" si="5"/>
        <v>0.38200000000000001</v>
      </c>
      <c r="K38" s="72">
        <f t="shared" si="5"/>
        <v>0.38200000000000001</v>
      </c>
      <c r="M38" t="s">
        <v>190</v>
      </c>
      <c r="O38" s="35"/>
      <c r="P38" s="35"/>
      <c r="Q38" s="35"/>
      <c r="R38" s="35"/>
      <c r="S38" s="35"/>
      <c r="T38" s="35"/>
    </row>
    <row r="39" spans="3:20" ht="15" customHeight="1">
      <c r="C39" s="29" t="s">
        <v>32</v>
      </c>
      <c r="D39" s="63">
        <f>-D21/D18</f>
        <v>4.6582482760539605E-2</v>
      </c>
      <c r="E39" s="63">
        <f>-E21/E18</f>
        <v>5.0520428906706681E-2</v>
      </c>
      <c r="F39" s="63">
        <f>-F21/F18</f>
        <v>5.3600406634161032E-2</v>
      </c>
      <c r="G39" s="113">
        <v>6.2E-2</v>
      </c>
      <c r="H39" s="113">
        <v>6.3E-2</v>
      </c>
      <c r="I39" s="113">
        <v>6.3E-2</v>
      </c>
      <c r="J39" s="72">
        <f t="shared" si="5"/>
        <v>6.3E-2</v>
      </c>
      <c r="K39" s="72">
        <f t="shared" si="5"/>
        <v>6.3E-2</v>
      </c>
      <c r="M39" t="s">
        <v>190</v>
      </c>
      <c r="O39" s="35"/>
      <c r="P39" s="35"/>
      <c r="Q39" s="35"/>
      <c r="R39" s="35"/>
      <c r="S39" s="35"/>
      <c r="T39" s="35"/>
    </row>
    <row r="40" spans="3:20" ht="15" customHeight="1">
      <c r="C40" s="29" t="s">
        <v>33</v>
      </c>
      <c r="D40" s="63">
        <f>-D22/D18</f>
        <v>6.5822972653369755E-2</v>
      </c>
      <c r="E40" s="63">
        <f>-E22/E18</f>
        <v>6.6573893924984945E-2</v>
      </c>
      <c r="F40" s="63">
        <f>-F22/F18</f>
        <v>6.2896515371147807E-2</v>
      </c>
      <c r="G40" s="113">
        <v>7.3999999999999996E-2</v>
      </c>
      <c r="H40" s="113">
        <v>6.9000000000000006E-2</v>
      </c>
      <c r="I40" s="113">
        <v>6.9000000000000006E-2</v>
      </c>
      <c r="J40" s="72">
        <f t="shared" si="5"/>
        <v>6.9000000000000006E-2</v>
      </c>
      <c r="K40" s="72">
        <f t="shared" si="5"/>
        <v>6.9000000000000006E-2</v>
      </c>
      <c r="M40" t="s">
        <v>190</v>
      </c>
      <c r="O40" s="35"/>
      <c r="P40" s="35"/>
      <c r="Q40" s="35"/>
      <c r="R40" s="35"/>
      <c r="S40" s="35"/>
      <c r="T40" s="35"/>
    </row>
    <row r="41" spans="3:20" ht="15" customHeight="1">
      <c r="C41" s="29" t="s">
        <v>34</v>
      </c>
      <c r="D41" s="63">
        <f>-(D28/D27)</f>
        <v>0.25557257381216192</v>
      </c>
      <c r="E41" s="63">
        <f>-(E28/E27)</f>
        <v>0.24556476150353415</v>
      </c>
      <c r="F41" s="63">
        <f>-(F28/F27)</f>
        <v>0.18342180705869443</v>
      </c>
      <c r="G41" s="113">
        <v>0.16700000000000001</v>
      </c>
      <c r="H41" s="113">
        <v>0.17</v>
      </c>
      <c r="I41" s="113">
        <v>0.16900000000000001</v>
      </c>
      <c r="J41" s="72">
        <f t="shared" si="5"/>
        <v>0.16900000000000001</v>
      </c>
      <c r="K41" s="72">
        <f t="shared" si="5"/>
        <v>0.16900000000000001</v>
      </c>
      <c r="M41" t="s">
        <v>86</v>
      </c>
      <c r="O41" s="35"/>
      <c r="P41" s="35"/>
      <c r="Q41" s="35"/>
      <c r="R41" s="35"/>
      <c r="S41" s="35"/>
      <c r="T41" s="35"/>
    </row>
    <row r="42" spans="3:20" ht="15" customHeight="1">
      <c r="C42" s="29"/>
      <c r="G42" s="62"/>
    </row>
    <row r="43" spans="3:20" ht="15" customHeight="1">
      <c r="C43" s="16" t="s">
        <v>35</v>
      </c>
      <c r="D43" s="20"/>
      <c r="E43" s="20"/>
      <c r="F43" s="20"/>
      <c r="G43" s="17"/>
      <c r="H43" s="17"/>
      <c r="I43" s="17"/>
      <c r="J43" s="17"/>
      <c r="K43" s="17"/>
    </row>
    <row r="44" spans="3:20" ht="15" customHeight="1">
      <c r="C44" s="36" t="str">
        <f>C15</f>
        <v xml:space="preserve">Fiscal year  </v>
      </c>
      <c r="D44" s="37"/>
      <c r="E44" s="37">
        <f t="shared" ref="E44:K45" si="6">E15</f>
        <v>2017</v>
      </c>
      <c r="F44" s="37">
        <f t="shared" si="6"/>
        <v>2018</v>
      </c>
      <c r="G44" s="65">
        <f t="shared" si="6"/>
        <v>2019</v>
      </c>
      <c r="H44" s="65">
        <f t="shared" si="6"/>
        <v>2020</v>
      </c>
      <c r="I44" s="65">
        <f t="shared" si="6"/>
        <v>2021</v>
      </c>
      <c r="J44" s="65">
        <f t="shared" si="6"/>
        <v>2022</v>
      </c>
      <c r="K44" s="65">
        <f t="shared" si="6"/>
        <v>2023</v>
      </c>
    </row>
    <row r="45" spans="3:20" ht="15" customHeight="1">
      <c r="C45" s="17" t="str">
        <f>C16</f>
        <v>Fiscal year end date</v>
      </c>
      <c r="D45" s="38"/>
      <c r="E45" s="38">
        <f t="shared" si="6"/>
        <v>43008</v>
      </c>
      <c r="F45" s="38">
        <f t="shared" si="6"/>
        <v>43372</v>
      </c>
      <c r="G45" s="38">
        <f t="shared" si="6"/>
        <v>43738</v>
      </c>
      <c r="H45" s="38">
        <f t="shared" si="6"/>
        <v>44104</v>
      </c>
      <c r="I45" s="38">
        <f t="shared" si="6"/>
        <v>44469</v>
      </c>
      <c r="J45" s="38">
        <f t="shared" si="6"/>
        <v>44834</v>
      </c>
      <c r="K45" s="38">
        <f t="shared" si="6"/>
        <v>45199</v>
      </c>
    </row>
    <row r="46" spans="3:20" ht="15" customHeight="1">
      <c r="C46" t="s">
        <v>38</v>
      </c>
      <c r="D46" s="39"/>
      <c r="E46" s="39">
        <f>20289+53892+194714</f>
        <v>268895</v>
      </c>
      <c r="F46" s="39">
        <f>25913+40388+170799</f>
        <v>237100</v>
      </c>
      <c r="G46" s="42">
        <f ca="1">G91+F46</f>
        <v>202199.73246575586</v>
      </c>
      <c r="H46" s="42">
        <f ca="1">H91+G46</f>
        <v>176523.72487352614</v>
      </c>
      <c r="I46" s="42">
        <f ca="1">I91+H46</f>
        <v>156076.92943323214</v>
      </c>
      <c r="J46" s="42">
        <f ca="1">J91+I46</f>
        <v>140273.77732642859</v>
      </c>
      <c r="K46" s="42">
        <f ca="1">K91+J46</f>
        <v>129472.4557012212</v>
      </c>
      <c r="M46" t="s">
        <v>87</v>
      </c>
    </row>
    <row r="47" spans="3:20" ht="15" customHeight="1">
      <c r="C47" t="s">
        <v>39</v>
      </c>
      <c r="D47" s="39"/>
      <c r="E47" s="39">
        <v>17874</v>
      </c>
      <c r="F47" s="39">
        <v>23186</v>
      </c>
      <c r="G47" s="42">
        <f>F47*(1+G37)</f>
        <v>22258.559999999998</v>
      </c>
      <c r="H47" s="42">
        <f>G47*(1+H37)</f>
        <v>23594.0736</v>
      </c>
      <c r="I47" s="42">
        <f>H47*(1+I37)</f>
        <v>25222.064678399998</v>
      </c>
      <c r="J47" s="42">
        <f>I47*(1+J37)</f>
        <v>26962.387141209598</v>
      </c>
      <c r="K47" s="42">
        <f>J47*(1+K37)</f>
        <v>28822.791853953058</v>
      </c>
      <c r="M47" t="s">
        <v>88</v>
      </c>
    </row>
    <row r="48" spans="3:20" ht="15" customHeight="1">
      <c r="C48" t="s">
        <v>40</v>
      </c>
      <c r="D48" s="39"/>
      <c r="E48" s="39">
        <v>4855</v>
      </c>
      <c r="F48" s="39">
        <v>3956</v>
      </c>
      <c r="G48" s="42">
        <f>F48*G19/F19</f>
        <v>3831.2507254598299</v>
      </c>
      <c r="H48" s="42">
        <f>G48*H19/G19</f>
        <v>4041.5383456643303</v>
      </c>
      <c r="I48" s="42">
        <f>H48*I19/H19</f>
        <v>4313.4248396710409</v>
      </c>
      <c r="J48" s="42">
        <f>I48*J19/I19</f>
        <v>4611.0511536083422</v>
      </c>
      <c r="K48" s="42">
        <f>J48*K19/J19</f>
        <v>4929.2136832073174</v>
      </c>
      <c r="M48" t="s">
        <v>89</v>
      </c>
    </row>
    <row r="49" spans="3:13" ht="15" customHeight="1">
      <c r="C49" t="s">
        <v>41</v>
      </c>
      <c r="D49" s="39"/>
      <c r="E49" s="39">
        <f>17799+13936</f>
        <v>31735</v>
      </c>
      <c r="F49" s="39">
        <f>25809+12087</f>
        <v>37896</v>
      </c>
      <c r="G49" s="42">
        <f>F49*(1+G37)</f>
        <v>36380.159999999996</v>
      </c>
      <c r="H49" s="42">
        <f>G49*(1+H37)</f>
        <v>38562.969599999997</v>
      </c>
      <c r="I49" s="42">
        <f>H49*(1+I37)</f>
        <v>41223.814502399997</v>
      </c>
      <c r="J49" s="42">
        <f>I49*(1+J37)</f>
        <v>44068.257703065596</v>
      </c>
      <c r="K49" s="42">
        <f>J49*(1+K37)</f>
        <v>47108.967484577122</v>
      </c>
      <c r="M49" t="s">
        <v>88</v>
      </c>
    </row>
    <row r="50" spans="3:13" ht="15" customHeight="1">
      <c r="C50" t="s">
        <v>42</v>
      </c>
      <c r="D50" s="39"/>
      <c r="E50" s="39">
        <v>33783</v>
      </c>
      <c r="F50" s="39">
        <v>41304</v>
      </c>
      <c r="G50" s="42">
        <f>G100</f>
        <v>45042.85982873883</v>
      </c>
      <c r="H50" s="42">
        <f>H100</f>
        <v>48611.181883872909</v>
      </c>
      <c r="I50" s="42">
        <f>I100</f>
        <v>51947.567835949827</v>
      </c>
      <c r="J50" s="42">
        <f>J100</f>
        <v>55218.714198720052</v>
      </c>
      <c r="K50" s="42">
        <f>K100</f>
        <v>58399.73337534142</v>
      </c>
      <c r="M50" t="s">
        <v>90</v>
      </c>
    </row>
    <row r="51" spans="3:13" ht="15" customHeight="1">
      <c r="C51" t="s">
        <v>43</v>
      </c>
      <c r="D51" s="39"/>
      <c r="E51" s="39">
        <v>18177</v>
      </c>
      <c r="F51" s="39">
        <v>22283</v>
      </c>
      <c r="G51" s="42">
        <f>F51*(1+G37)</f>
        <v>21391.68</v>
      </c>
      <c r="H51" s="42">
        <f>G51*(1+H37)</f>
        <v>22675.180800000002</v>
      </c>
      <c r="I51" s="42">
        <f>H51*(1+I37)</f>
        <v>24239.7682752</v>
      </c>
      <c r="J51" s="42">
        <f>I51*(1+J37)</f>
        <v>25912.3122861888</v>
      </c>
      <c r="K51" s="42">
        <f>J51*(1+K37)</f>
        <v>27700.261833935827</v>
      </c>
      <c r="M51" t="s">
        <v>88</v>
      </c>
    </row>
    <row r="52" spans="3:13" ht="15" customHeight="1">
      <c r="C52" s="31" t="s">
        <v>44</v>
      </c>
      <c r="D52" s="41"/>
      <c r="E52" s="41">
        <f t="shared" ref="E52:K52" si="7">SUM(E46:E51)</f>
        <v>375319</v>
      </c>
      <c r="F52" s="41">
        <f t="shared" si="7"/>
        <v>365725</v>
      </c>
      <c r="G52" s="45">
        <f t="shared" ca="1" si="7"/>
        <v>331104.24301995453</v>
      </c>
      <c r="H52" s="45">
        <f t="shared" ca="1" si="7"/>
        <v>314008.66910306341</v>
      </c>
      <c r="I52" s="45">
        <f t="shared" ca="1" si="7"/>
        <v>303023.56956485298</v>
      </c>
      <c r="J52" s="45">
        <f t="shared" ca="1" si="7"/>
        <v>297046.49980922102</v>
      </c>
      <c r="K52" s="45">
        <f t="shared" ca="1" si="7"/>
        <v>296433.42393223592</v>
      </c>
    </row>
    <row r="53" spans="3:13" ht="15" customHeight="1">
      <c r="C53" s="30"/>
      <c r="D53" s="42"/>
      <c r="E53" s="42"/>
      <c r="F53" s="42"/>
      <c r="G53" s="42"/>
      <c r="H53" s="42"/>
      <c r="I53" s="42"/>
      <c r="J53" s="42"/>
      <c r="K53" s="42"/>
    </row>
    <row r="54" spans="3:13" ht="15" customHeight="1">
      <c r="C54" s="30" t="s">
        <v>45</v>
      </c>
      <c r="D54" s="39"/>
      <c r="E54" s="39">
        <v>44242</v>
      </c>
      <c r="F54" s="39">
        <v>55888</v>
      </c>
      <c r="G54" s="42">
        <f>F54*G19/F19</f>
        <v>54125.616922269706</v>
      </c>
      <c r="H54" s="42">
        <f>G54*H19/G19</f>
        <v>57096.434545623881</v>
      </c>
      <c r="I54" s="42">
        <f>H54*I19/H19</f>
        <v>60937.484185928995</v>
      </c>
      <c r="J54" s="42">
        <f>I54*J19/I19</f>
        <v>65142.170594758099</v>
      </c>
      <c r="K54" s="42">
        <f>J54*K19/J19</f>
        <v>69636.980365796408</v>
      </c>
      <c r="M54" t="s">
        <v>89</v>
      </c>
    </row>
    <row r="55" spans="3:13" ht="15" customHeight="1">
      <c r="C55" s="30" t="s">
        <v>46</v>
      </c>
      <c r="D55" s="39"/>
      <c r="E55" s="39">
        <v>30551</v>
      </c>
      <c r="F55" s="39">
        <v>32687</v>
      </c>
      <c r="G55" s="42">
        <f>F55*(1+G37)</f>
        <v>31379.52</v>
      </c>
      <c r="H55" s="42">
        <f>G55*(1+H37)</f>
        <v>33262.2912</v>
      </c>
      <c r="I55" s="42">
        <f>H55*(1+I37)</f>
        <v>35557.389292799999</v>
      </c>
      <c r="J55" s="42">
        <f>I55*(1+J37)</f>
        <v>38010.849154003197</v>
      </c>
      <c r="K55" s="42">
        <f>J55*(1+K37)</f>
        <v>40633.597745629413</v>
      </c>
      <c r="M55" t="s">
        <v>88</v>
      </c>
    </row>
    <row r="56" spans="3:13" ht="15" customHeight="1">
      <c r="C56" s="30" t="s">
        <v>47</v>
      </c>
      <c r="D56" s="39"/>
      <c r="E56" s="39">
        <f>7548+2836</f>
        <v>10384</v>
      </c>
      <c r="F56" s="39">
        <f>7543+2797</f>
        <v>10340</v>
      </c>
      <c r="G56" s="42">
        <f>F56*(1+G37)</f>
        <v>9926.4</v>
      </c>
      <c r="H56" s="42">
        <f>G56*(1+H37)</f>
        <v>10521.984</v>
      </c>
      <c r="I56" s="42">
        <f>H56*(1+I37)</f>
        <v>11248.000896</v>
      </c>
      <c r="J56" s="42">
        <f>I56*(1+J37)</f>
        <v>12024.112957824</v>
      </c>
      <c r="K56" s="42">
        <f>J56*(1+K37)</f>
        <v>12853.776751913854</v>
      </c>
      <c r="M56" t="s">
        <v>88</v>
      </c>
    </row>
    <row r="57" spans="3:13" ht="15" customHeight="1">
      <c r="C57" s="30" t="s">
        <v>48</v>
      </c>
      <c r="D57" s="39"/>
      <c r="E57" s="39">
        <v>11977</v>
      </c>
      <c r="F57" s="39">
        <v>11964</v>
      </c>
      <c r="G57" s="42">
        <f ca="1">G136</f>
        <v>12000</v>
      </c>
      <c r="H57" s="42">
        <f ca="1">H136</f>
        <v>12000</v>
      </c>
      <c r="I57" s="42">
        <f ca="1">I136</f>
        <v>12000</v>
      </c>
      <c r="J57" s="42">
        <f ca="1">J136</f>
        <v>12000</v>
      </c>
      <c r="K57" s="42">
        <f ca="1">K136</f>
        <v>12000</v>
      </c>
      <c r="M57" t="s">
        <v>91</v>
      </c>
    </row>
    <row r="58" spans="3:13" ht="15" customHeight="1">
      <c r="C58" s="30" t="s">
        <v>92</v>
      </c>
      <c r="D58" s="39"/>
      <c r="E58" s="39">
        <f>6496+97207</f>
        <v>103703</v>
      </c>
      <c r="F58" s="39">
        <f>8784+93735</f>
        <v>102519</v>
      </c>
      <c r="G58" s="42">
        <f>F58</f>
        <v>102519</v>
      </c>
      <c r="H58" s="42">
        <f>G58</f>
        <v>102519</v>
      </c>
      <c r="I58" s="42">
        <f>H58</f>
        <v>102519</v>
      </c>
      <c r="J58" s="42">
        <f>I58</f>
        <v>102519</v>
      </c>
      <c r="K58" s="42">
        <f>J58</f>
        <v>102519</v>
      </c>
      <c r="M58" t="s">
        <v>93</v>
      </c>
    </row>
    <row r="59" spans="3:13" ht="15.75" customHeight="1">
      <c r="C59" s="30" t="s">
        <v>50</v>
      </c>
      <c r="D59" s="39"/>
      <c r="E59" s="39">
        <v>40415</v>
      </c>
      <c r="F59" s="39">
        <v>45180</v>
      </c>
      <c r="G59" s="42">
        <f>F59*(1+G37)</f>
        <v>43372.799999999996</v>
      </c>
      <c r="H59" s="42">
        <f>G59*(1+H37)</f>
        <v>45975.167999999998</v>
      </c>
      <c r="I59" s="42">
        <f>H59*(1+I37)</f>
        <v>49147.454591999995</v>
      </c>
      <c r="J59" s="42">
        <f>I59*(1+J37)</f>
        <v>52538.628958847992</v>
      </c>
      <c r="K59" s="42">
        <f>J59*(1+K37)</f>
        <v>56163.794357008504</v>
      </c>
      <c r="M59" t="s">
        <v>88</v>
      </c>
    </row>
    <row r="60" spans="3:13" ht="15" customHeight="1">
      <c r="C60" s="31" t="s">
        <v>51</v>
      </c>
      <c r="D60" s="41"/>
      <c r="E60" s="41">
        <f t="shared" ref="E60:K60" si="8">SUM(E54:E59)</f>
        <v>241272</v>
      </c>
      <c r="F60" s="41">
        <f t="shared" si="8"/>
        <v>258578</v>
      </c>
      <c r="G60" s="45">
        <f t="shared" ca="1" si="8"/>
        <v>253323.33692226969</v>
      </c>
      <c r="H60" s="45">
        <f t="shared" ca="1" si="8"/>
        <v>261374.87774562387</v>
      </c>
      <c r="I60" s="45">
        <f t="shared" ca="1" si="8"/>
        <v>271409.32896672899</v>
      </c>
      <c r="J60" s="45">
        <f t="shared" ca="1" si="8"/>
        <v>282234.7616654333</v>
      </c>
      <c r="K60" s="45">
        <f t="shared" ca="1" si="8"/>
        <v>293807.14922034822</v>
      </c>
    </row>
    <row r="61" spans="3:13" ht="15" customHeight="1">
      <c r="C61" s="31"/>
      <c r="D61" s="41"/>
      <c r="E61" s="41"/>
      <c r="F61" s="41"/>
      <c r="G61" s="42"/>
      <c r="H61" s="42"/>
      <c r="I61" s="42"/>
      <c r="J61" s="42"/>
      <c r="K61" s="42"/>
    </row>
    <row r="62" spans="3:13" ht="15" customHeight="1">
      <c r="C62" s="30" t="s">
        <v>52</v>
      </c>
      <c r="D62" s="39"/>
      <c r="E62" s="39">
        <v>35867</v>
      </c>
      <c r="F62" s="39">
        <v>40201</v>
      </c>
      <c r="G62" s="42">
        <f>F62+G33</f>
        <v>45327.4</v>
      </c>
      <c r="H62" s="42">
        <f>G62+H33</f>
        <v>50761.383999999998</v>
      </c>
      <c r="I62" s="42">
        <f>H62+I33</f>
        <v>56570.312895999996</v>
      </c>
      <c r="J62" s="42">
        <f>I62+J33</f>
        <v>62780.057885823997</v>
      </c>
      <c r="K62" s="42">
        <f>J62+K33</f>
        <v>69418.275279945854</v>
      </c>
      <c r="M62" t="s">
        <v>94</v>
      </c>
    </row>
    <row r="63" spans="3:13" ht="15.75" customHeight="1">
      <c r="C63" s="30" t="s">
        <v>53</v>
      </c>
      <c r="D63" s="44"/>
      <c r="E63" s="44">
        <f>98330</f>
        <v>98330</v>
      </c>
      <c r="F63" s="39">
        <v>70400</v>
      </c>
      <c r="G63" s="42">
        <f ca="1">G120</f>
        <v>35907.506097684833</v>
      </c>
      <c r="H63" s="42">
        <f ca="1">H120</f>
        <v>5326.4073574395152</v>
      </c>
      <c r="I63" s="42">
        <f ca="1">I120</f>
        <v>-21502.07229787598</v>
      </c>
      <c r="J63" s="42">
        <f ca="1">J120</f>
        <v>-44514.319742036285</v>
      </c>
      <c r="K63" s="42">
        <f ca="1">K120</f>
        <v>-63338.000568058094</v>
      </c>
      <c r="M63" t="s">
        <v>95</v>
      </c>
    </row>
    <row r="64" spans="3:13" ht="15.75" customHeight="1">
      <c r="C64" s="30" t="s">
        <v>54</v>
      </c>
      <c r="D64" s="39"/>
      <c r="E64" s="39">
        <v>-150</v>
      </c>
      <c r="F64" s="39">
        <v>-3454</v>
      </c>
      <c r="G64" s="42">
        <f>F64</f>
        <v>-3454</v>
      </c>
      <c r="H64" s="42">
        <f>G64</f>
        <v>-3454</v>
      </c>
      <c r="I64" s="42">
        <f>H64</f>
        <v>-3454</v>
      </c>
      <c r="J64" s="42">
        <f>I64</f>
        <v>-3454</v>
      </c>
      <c r="K64" s="42">
        <f>J64</f>
        <v>-3454</v>
      </c>
      <c r="M64" t="s">
        <v>93</v>
      </c>
    </row>
    <row r="65" spans="3:13" ht="15" customHeight="1">
      <c r="C65" s="31" t="s">
        <v>55</v>
      </c>
      <c r="D65" s="45"/>
      <c r="E65" s="45">
        <f t="shared" ref="E65:K65" si="9">SUM(E62:E64)</f>
        <v>134047</v>
      </c>
      <c r="F65" s="45">
        <f t="shared" si="9"/>
        <v>107147</v>
      </c>
      <c r="G65" s="45">
        <f t="shared" ca="1" si="9"/>
        <v>77780.906097684841</v>
      </c>
      <c r="H65" s="45">
        <f t="shared" ca="1" si="9"/>
        <v>52633.791357439513</v>
      </c>
      <c r="I65" s="45">
        <f t="shared" ca="1" si="9"/>
        <v>31614.240598124015</v>
      </c>
      <c r="J65" s="45">
        <f t="shared" ca="1" si="9"/>
        <v>14811.738143787712</v>
      </c>
      <c r="K65" s="45">
        <f t="shared" ca="1" si="9"/>
        <v>2626.2747118877596</v>
      </c>
    </row>
    <row r="66" spans="3:13" ht="15" customHeight="1">
      <c r="D66" s="42"/>
      <c r="E66" s="42"/>
      <c r="F66" s="42"/>
    </row>
    <row r="67" spans="3:13" ht="15" customHeight="1">
      <c r="C67" s="23" t="s">
        <v>56</v>
      </c>
      <c r="D67" s="46"/>
      <c r="E67" s="46">
        <f t="shared" ref="E67:K67" si="10">ROUND(E52-E60-E65,3)</f>
        <v>0</v>
      </c>
      <c r="F67" s="46">
        <f t="shared" si="10"/>
        <v>0</v>
      </c>
      <c r="G67" s="46">
        <f t="shared" ca="1" si="10"/>
        <v>0</v>
      </c>
      <c r="H67" s="46">
        <f t="shared" ca="1" si="10"/>
        <v>0</v>
      </c>
      <c r="I67" s="46">
        <f t="shared" ca="1" si="10"/>
        <v>0</v>
      </c>
      <c r="J67" s="46">
        <f t="shared" ca="1" si="10"/>
        <v>0</v>
      </c>
      <c r="K67" s="46">
        <f t="shared" ca="1" si="10"/>
        <v>0</v>
      </c>
    </row>
    <row r="68" spans="3:13" ht="15" customHeight="1">
      <c r="E68" s="42"/>
      <c r="F68" s="42"/>
      <c r="H68" s="42"/>
      <c r="I68" s="42"/>
      <c r="J68" s="42"/>
      <c r="K68" s="42"/>
    </row>
    <row r="69" spans="3:13" ht="15" customHeight="1">
      <c r="C69" s="16" t="s">
        <v>96</v>
      </c>
      <c r="D69" s="20"/>
      <c r="E69" s="20"/>
      <c r="F69" s="20"/>
      <c r="G69" s="20"/>
      <c r="H69" s="20"/>
      <c r="I69" s="20"/>
      <c r="J69" s="20"/>
      <c r="K69" s="20"/>
    </row>
    <row r="70" spans="3:13" ht="15" customHeight="1">
      <c r="C70" s="36" t="str">
        <f>C15</f>
        <v xml:space="preserve">Fiscal year  </v>
      </c>
      <c r="D70" s="37"/>
      <c r="E70" s="37"/>
      <c r="F70" s="37"/>
      <c r="G70" s="65">
        <f t="shared" ref="G70:K71" si="11">G15</f>
        <v>2019</v>
      </c>
      <c r="H70" s="65">
        <f t="shared" si="11"/>
        <v>2020</v>
      </c>
      <c r="I70" s="65">
        <f t="shared" si="11"/>
        <v>2021</v>
      </c>
      <c r="J70" s="65">
        <f t="shared" si="11"/>
        <v>2022</v>
      </c>
      <c r="K70" s="65">
        <f t="shared" si="11"/>
        <v>2023</v>
      </c>
    </row>
    <row r="71" spans="3:13" ht="15" customHeight="1">
      <c r="C71" s="17" t="str">
        <f>C16</f>
        <v>Fiscal year end date</v>
      </c>
      <c r="D71" s="38"/>
      <c r="E71" s="38"/>
      <c r="F71" s="38"/>
      <c r="G71" s="38">
        <f t="shared" si="11"/>
        <v>43738</v>
      </c>
      <c r="H71" s="38">
        <f t="shared" si="11"/>
        <v>44104</v>
      </c>
      <c r="I71" s="38">
        <f t="shared" si="11"/>
        <v>44469</v>
      </c>
      <c r="J71" s="38">
        <f t="shared" si="11"/>
        <v>44834</v>
      </c>
      <c r="K71" s="38">
        <f t="shared" si="11"/>
        <v>45199</v>
      </c>
    </row>
    <row r="73" spans="3:13" ht="15" customHeight="1">
      <c r="C73" t="s">
        <v>24</v>
      </c>
      <c r="D73" s="40"/>
      <c r="E73" s="40"/>
      <c r="F73" s="40"/>
      <c r="G73" s="42">
        <f ca="1">G29</f>
        <v>52298.506097684833</v>
      </c>
      <c r="H73" s="42">
        <f ca="1">H29</f>
        <v>56209.901259754675</v>
      </c>
      <c r="I73" s="42">
        <f ca="1">I29</f>
        <v>59962.520344684504</v>
      </c>
      <c r="J73" s="42">
        <f ca="1">J29</f>
        <v>63778.752555839696</v>
      </c>
      <c r="K73" s="42">
        <f ca="1">K29</f>
        <v>67967.319173978191</v>
      </c>
      <c r="M73" s="27"/>
    </row>
    <row r="74" spans="3:13" ht="15" customHeight="1">
      <c r="C74" t="s">
        <v>97</v>
      </c>
      <c r="D74" s="40"/>
      <c r="E74" s="40"/>
      <c r="F74" s="40"/>
      <c r="G74" s="42">
        <f>G31</f>
        <v>11085.020171261172</v>
      </c>
      <c r="H74" s="42">
        <f>H31</f>
        <v>11711.890744865921</v>
      </c>
      <c r="I74" s="42">
        <f>I31</f>
        <v>12226.380531123083</v>
      </c>
      <c r="J74" s="42">
        <f>J31</f>
        <v>13365.451007770575</v>
      </c>
      <c r="K74" s="42">
        <f>K31</f>
        <v>14603.503412486743</v>
      </c>
      <c r="M74" t="s">
        <v>98</v>
      </c>
    </row>
    <row r="75" spans="3:13" ht="15" customHeight="1">
      <c r="C75" t="s">
        <v>27</v>
      </c>
      <c r="D75" s="40"/>
      <c r="E75" s="40"/>
      <c r="F75" s="40"/>
      <c r="G75" s="42">
        <f>G33</f>
        <v>5126.3999999999996</v>
      </c>
      <c r="H75" s="42">
        <f>H33</f>
        <v>5433.9839999999995</v>
      </c>
      <c r="I75" s="42">
        <f>I33</f>
        <v>5808.9288959999994</v>
      </c>
      <c r="J75" s="42">
        <f>J33</f>
        <v>6209.7449898239993</v>
      </c>
      <c r="K75" s="42">
        <f>K33</f>
        <v>6638.2173941218552</v>
      </c>
    </row>
    <row r="76" spans="3:13" ht="15" customHeight="1">
      <c r="C76" t="s">
        <v>99</v>
      </c>
      <c r="D76" s="42"/>
      <c r="E76" s="42"/>
      <c r="F76" s="42"/>
      <c r="G76" s="42">
        <f>-1*(SUM(G47:G49)-SUM(F47:F49))</f>
        <v>2568.0292745401748</v>
      </c>
      <c r="H76" s="42">
        <f>-1*(SUM(H47:H49)-SUM(G47:G49))</f>
        <v>-3728.6108202044925</v>
      </c>
      <c r="I76" s="42">
        <f>-1*(SUM(I47:I49)-SUM(H47:H49))</f>
        <v>-4560.7224748067092</v>
      </c>
      <c r="J76" s="42">
        <f>-1*(SUM(J47:J49)-SUM(I47:I49))</f>
        <v>-4882.3919774125097</v>
      </c>
      <c r="K76" s="42">
        <f>-1*(SUM(K47:K49)-SUM(J47:J49))</f>
        <v>-5219.277023853967</v>
      </c>
    </row>
    <row r="77" spans="3:13" ht="15" customHeight="1">
      <c r="C77" t="s">
        <v>100</v>
      </c>
      <c r="D77" s="42"/>
      <c r="E77" s="42"/>
      <c r="F77" s="42"/>
      <c r="G77" s="42">
        <f>SUM(G54:G56)-SUM(F54:F56)</f>
        <v>-3483.4630777302955</v>
      </c>
      <c r="H77" s="42">
        <f>SUM(H54:H56)-SUM(G54:G56)</f>
        <v>5449.1728233541653</v>
      </c>
      <c r="I77" s="42">
        <f>SUM(I54:I56)-SUM(H54:H56)</f>
        <v>6862.1646291051147</v>
      </c>
      <c r="J77" s="42">
        <f>SUM(J54:J56)-SUM(I54:I56)</f>
        <v>7434.2583318562974</v>
      </c>
      <c r="K77" s="42">
        <f>SUM(K54:K56)-SUM(J54:J56)</f>
        <v>7947.2221567544038</v>
      </c>
    </row>
    <row r="78" spans="3:13" ht="15" customHeight="1">
      <c r="C78" t="s">
        <v>43</v>
      </c>
      <c r="G78" s="42">
        <f>-(G112)</f>
        <v>-647.56000000000131</v>
      </c>
      <c r="H78" s="42">
        <f>-(H112)</f>
        <v>-2914.7136000000028</v>
      </c>
      <c r="I78" s="42">
        <f>-(I112)</f>
        <v>-3308.3539583999991</v>
      </c>
      <c r="J78" s="42">
        <f>-(J112)</f>
        <v>-3536.6303815296014</v>
      </c>
      <c r="K78" s="42">
        <f>-(K112)</f>
        <v>-3780.6578778551411</v>
      </c>
      <c r="M78" t="s">
        <v>101</v>
      </c>
    </row>
    <row r="79" spans="3:13" ht="15" customHeight="1">
      <c r="C79" t="s">
        <v>50</v>
      </c>
      <c r="G79" s="42">
        <f>G59-F59</f>
        <v>-1807.2000000000044</v>
      </c>
      <c r="H79" s="42">
        <f>H59-G59</f>
        <v>2602.3680000000022</v>
      </c>
      <c r="I79" s="42">
        <f>I59-H59</f>
        <v>3172.2865919999967</v>
      </c>
      <c r="J79" s="42">
        <f>J59-I59</f>
        <v>3391.1743668479976</v>
      </c>
      <c r="K79" s="42">
        <f>K59-J59</f>
        <v>3625.1653981605123</v>
      </c>
      <c r="M79" s="27"/>
    </row>
    <row r="80" spans="3:13" ht="15" customHeight="1">
      <c r="C80" s="27" t="s">
        <v>102</v>
      </c>
      <c r="G80" s="45">
        <f ca="1">SUM(G73:G79)</f>
        <v>65139.732465755871</v>
      </c>
      <c r="H80" s="45">
        <f ca="1">SUM(H73:H79)</f>
        <v>74763.992407770274</v>
      </c>
      <c r="I80" s="45">
        <f ca="1">SUM(I73:I79)</f>
        <v>80163.204559706006</v>
      </c>
      <c r="J80" s="45">
        <f ca="1">SUM(J73:J79)</f>
        <v>85760.358893196448</v>
      </c>
      <c r="K80" s="45">
        <f ca="1">SUM(K73:K79)</f>
        <v>91781.492633792601</v>
      </c>
    </row>
    <row r="81" spans="3:13" ht="15" customHeight="1">
      <c r="G81" s="42"/>
      <c r="H81" s="42"/>
      <c r="I81" s="42"/>
      <c r="J81" s="42"/>
      <c r="K81" s="42"/>
    </row>
    <row r="82" spans="3:13" ht="15" customHeight="1">
      <c r="C82" t="s">
        <v>103</v>
      </c>
      <c r="G82" s="42">
        <f>-(G98)</f>
        <v>-13285</v>
      </c>
      <c r="H82" s="42">
        <f>-(H98)</f>
        <v>-13649</v>
      </c>
      <c r="I82" s="42">
        <f>-(I98)</f>
        <v>-13819</v>
      </c>
      <c r="J82" s="42">
        <f>-(J98)</f>
        <v>-14772.510999999999</v>
      </c>
      <c r="K82" s="42">
        <f>-(K98)</f>
        <v>-15791.814258999997</v>
      </c>
      <c r="M82" t="s">
        <v>90</v>
      </c>
    </row>
    <row r="83" spans="3:13" ht="15" customHeight="1">
      <c r="C83" s="27" t="s">
        <v>104</v>
      </c>
      <c r="G83" s="45">
        <f>IFERROR(G82,"NA")</f>
        <v>-13285</v>
      </c>
      <c r="H83" s="45">
        <f>IFERROR(H82,"NA")</f>
        <v>-13649</v>
      </c>
      <c r="I83" s="45">
        <f>IFERROR(I82,"NA")</f>
        <v>-13819</v>
      </c>
      <c r="J83" s="45">
        <f>IFERROR(J82,"NA")</f>
        <v>-14772.510999999999</v>
      </c>
      <c r="K83" s="45">
        <f>IFERROR(K82,"NA")</f>
        <v>-15791.814258999997</v>
      </c>
    </row>
    <row r="84" spans="3:13" ht="15" customHeight="1">
      <c r="G84" s="42"/>
      <c r="H84" s="42"/>
      <c r="I84" s="42"/>
      <c r="J84" s="42"/>
      <c r="K84" s="42"/>
    </row>
    <row r="85" spans="3:13" ht="15" customHeight="1">
      <c r="C85" t="s">
        <v>105</v>
      </c>
      <c r="G85" s="42">
        <f>G58-F58</f>
        <v>0</v>
      </c>
      <c r="H85" s="42">
        <f>H58-G58</f>
        <v>0</v>
      </c>
      <c r="I85" s="42">
        <f>I58-H58</f>
        <v>0</v>
      </c>
      <c r="J85" s="42">
        <f>J58-I58</f>
        <v>0</v>
      </c>
      <c r="K85" s="42">
        <f>K58-J58</f>
        <v>0</v>
      </c>
    </row>
    <row r="86" spans="3:13" ht="15" customHeight="1">
      <c r="C86" t="s">
        <v>106</v>
      </c>
      <c r="G86" s="42">
        <f ca="1">G57-F57</f>
        <v>36</v>
      </c>
      <c r="H86" s="42">
        <f ca="1">H57-G57</f>
        <v>0</v>
      </c>
      <c r="I86" s="42">
        <f ca="1">I57-H57</f>
        <v>0</v>
      </c>
      <c r="J86" s="42">
        <f ca="1">J57-I57</f>
        <v>0</v>
      </c>
      <c r="K86" s="42">
        <f ca="1">K57-J57</f>
        <v>0</v>
      </c>
      <c r="M86" t="s">
        <v>107</v>
      </c>
    </row>
    <row r="87" spans="3:13" ht="15" customHeight="1">
      <c r="C87" t="s">
        <v>108</v>
      </c>
      <c r="G87" s="42">
        <f>G119</f>
        <v>-73056</v>
      </c>
      <c r="H87" s="42">
        <f>H119</f>
        <v>-73056</v>
      </c>
      <c r="I87" s="42">
        <f>I119</f>
        <v>-73056</v>
      </c>
      <c r="J87" s="42">
        <f>J119</f>
        <v>-73056</v>
      </c>
      <c r="K87" s="42">
        <f>K119</f>
        <v>-73056</v>
      </c>
      <c r="M87" t="s">
        <v>95</v>
      </c>
    </row>
    <row r="88" spans="3:13" ht="15" customHeight="1">
      <c r="C88" t="s">
        <v>109</v>
      </c>
      <c r="G88" s="42">
        <f>G118</f>
        <v>-13735</v>
      </c>
      <c r="H88" s="42">
        <f>H118</f>
        <v>-13735</v>
      </c>
      <c r="I88" s="42">
        <f>I118</f>
        <v>-13735</v>
      </c>
      <c r="J88" s="42">
        <f>J118</f>
        <v>-13735</v>
      </c>
      <c r="K88" s="42">
        <f>K118</f>
        <v>-13735</v>
      </c>
      <c r="M88" t="s">
        <v>95</v>
      </c>
    </row>
    <row r="89" spans="3:13" ht="15" customHeight="1">
      <c r="C89" s="27" t="s">
        <v>110</v>
      </c>
      <c r="G89" s="45">
        <f ca="1">SUM(G85:G88)</f>
        <v>-86755</v>
      </c>
      <c r="H89" s="45">
        <f ca="1">SUM(H85:H88)</f>
        <v>-86791</v>
      </c>
      <c r="I89" s="45">
        <f ca="1">SUM(I85:I88)</f>
        <v>-86791</v>
      </c>
      <c r="J89" s="45">
        <f ca="1">SUM(J85:J88)</f>
        <v>-86791</v>
      </c>
      <c r="K89" s="45">
        <f ca="1">SUM(K85:K88)</f>
        <v>-86791</v>
      </c>
    </row>
    <row r="90" spans="3:13" ht="15" customHeight="1">
      <c r="G90" s="42"/>
      <c r="H90" s="42"/>
      <c r="I90" s="42"/>
      <c r="J90" s="42"/>
      <c r="K90" s="42"/>
    </row>
    <row r="91" spans="3:13" ht="15" customHeight="1">
      <c r="C91" s="27" t="s">
        <v>111</v>
      </c>
      <c r="G91" s="45">
        <f ca="1">G80+G83+G89</f>
        <v>-34900.267534244129</v>
      </c>
      <c r="H91" s="45">
        <f ca="1">H80+H83+H89</f>
        <v>-25676.007592229726</v>
      </c>
      <c r="I91" s="45">
        <f ca="1">I80+I83+I89</f>
        <v>-20446.795440293994</v>
      </c>
      <c r="J91" s="45">
        <f ca="1">J80+J83+J89</f>
        <v>-15803.152106803551</v>
      </c>
      <c r="K91" s="45">
        <f ca="1">K80+K83+K89</f>
        <v>-10801.321625207391</v>
      </c>
    </row>
    <row r="93" spans="3:13" ht="15" customHeight="1">
      <c r="C93" s="16" t="s">
        <v>112</v>
      </c>
      <c r="D93" s="17"/>
      <c r="E93" s="17"/>
      <c r="F93" s="17"/>
      <c r="G93" s="17"/>
      <c r="H93" s="17"/>
      <c r="I93" s="17"/>
      <c r="J93" s="17"/>
      <c r="K93" s="17"/>
    </row>
    <row r="94" spans="3:13" ht="15" customHeight="1">
      <c r="C94" s="36" t="str">
        <f t="shared" ref="C94:K94" si="12">C15</f>
        <v xml:space="preserve">Fiscal year  </v>
      </c>
      <c r="D94" s="37">
        <f t="shared" si="12"/>
        <v>2016</v>
      </c>
      <c r="E94" s="37">
        <f t="shared" si="12"/>
        <v>2017</v>
      </c>
      <c r="F94" s="37">
        <f t="shared" si="12"/>
        <v>2018</v>
      </c>
      <c r="G94" s="65">
        <f t="shared" si="12"/>
        <v>2019</v>
      </c>
      <c r="H94" s="65">
        <f t="shared" si="12"/>
        <v>2020</v>
      </c>
      <c r="I94" s="65">
        <f t="shared" si="12"/>
        <v>2021</v>
      </c>
      <c r="J94" s="65">
        <f t="shared" si="12"/>
        <v>2022</v>
      </c>
      <c r="K94" s="65">
        <f t="shared" si="12"/>
        <v>2023</v>
      </c>
    </row>
    <row r="95" spans="3:13" ht="15" customHeight="1">
      <c r="C95" s="17" t="str">
        <f t="shared" ref="C95:K95" si="13">C16</f>
        <v>Fiscal year end date</v>
      </c>
      <c r="D95" s="38">
        <f t="shared" si="13"/>
        <v>42643</v>
      </c>
      <c r="E95" s="38">
        <f t="shared" si="13"/>
        <v>43008</v>
      </c>
      <c r="F95" s="38">
        <f t="shared" si="13"/>
        <v>43372</v>
      </c>
      <c r="G95" s="38">
        <f t="shared" si="13"/>
        <v>43738</v>
      </c>
      <c r="H95" s="38">
        <f t="shared" si="13"/>
        <v>44104</v>
      </c>
      <c r="I95" s="38">
        <f t="shared" si="13"/>
        <v>44469</v>
      </c>
      <c r="J95" s="38">
        <f t="shared" si="13"/>
        <v>44834</v>
      </c>
      <c r="K95" s="38">
        <f t="shared" si="13"/>
        <v>45199</v>
      </c>
    </row>
    <row r="96" spans="3:13" ht="15" customHeight="1">
      <c r="C96" s="27"/>
      <c r="G96" s="3" t="s">
        <v>113</v>
      </c>
      <c r="H96" s="3"/>
      <c r="I96" s="3"/>
      <c r="J96" s="3"/>
      <c r="K96" s="3"/>
    </row>
    <row r="97" spans="3:17" ht="15" customHeight="1">
      <c r="C97" s="30" t="s">
        <v>114</v>
      </c>
      <c r="G97" s="42">
        <f>F100</f>
        <v>41304</v>
      </c>
      <c r="H97" s="42">
        <f>G100</f>
        <v>45042.85982873883</v>
      </c>
      <c r="I97" s="42">
        <f>H100</f>
        <v>48611.181883872909</v>
      </c>
      <c r="J97" s="42">
        <f>I100</f>
        <v>51947.567835949827</v>
      </c>
      <c r="K97" s="42">
        <f>J100</f>
        <v>55218.714198720052</v>
      </c>
      <c r="M97" t="s">
        <v>115</v>
      </c>
    </row>
    <row r="98" spans="3:17" ht="15" customHeight="1">
      <c r="C98" s="29" t="s">
        <v>116</v>
      </c>
      <c r="D98" s="39">
        <v>12734</v>
      </c>
      <c r="E98" s="39">
        <v>12451</v>
      </c>
      <c r="F98" s="39">
        <v>13313</v>
      </c>
      <c r="G98" s="39">
        <v>13285</v>
      </c>
      <c r="H98" s="39">
        <v>13649</v>
      </c>
      <c r="I98" s="39">
        <v>13819</v>
      </c>
      <c r="J98" s="39">
        <f>I98*(1+J37)</f>
        <v>14772.510999999999</v>
      </c>
      <c r="K98" s="39">
        <f>J98*(1+K37)</f>
        <v>15791.814258999997</v>
      </c>
      <c r="M98" t="s">
        <v>117</v>
      </c>
    </row>
    <row r="99" spans="3:17" ht="15" customHeight="1">
      <c r="C99" s="67" t="s">
        <v>118</v>
      </c>
      <c r="D99" s="68">
        <v>-8300</v>
      </c>
      <c r="E99" s="68">
        <v>-8200</v>
      </c>
      <c r="F99" s="68">
        <v>-9300</v>
      </c>
      <c r="G99" s="85">
        <f>-(G102*G98)</f>
        <v>-9546.1401712611732</v>
      </c>
      <c r="H99" s="85">
        <f>-(H102*H98)</f>
        <v>-10080.677944865922</v>
      </c>
      <c r="I99" s="85">
        <f>-(I102*I98)</f>
        <v>-10482.614047923083</v>
      </c>
      <c r="J99" s="85">
        <f>-(J102*J98)</f>
        <v>-11501.364637229775</v>
      </c>
      <c r="K99" s="85">
        <f>-(K102*K98)</f>
        <v>-12610.795082378629</v>
      </c>
      <c r="M99" t="s">
        <v>119</v>
      </c>
    </row>
    <row r="100" spans="3:17" ht="15" customHeight="1">
      <c r="C100" s="70" t="s">
        <v>120</v>
      </c>
      <c r="D100" s="45"/>
      <c r="E100" s="45">
        <f>E50</f>
        <v>33783</v>
      </c>
      <c r="F100" s="45">
        <f>F50</f>
        <v>41304</v>
      </c>
      <c r="G100" s="45">
        <f>SUM(G97:G99)</f>
        <v>45042.85982873883</v>
      </c>
      <c r="H100" s="45">
        <f>SUM(H97:H99)</f>
        <v>48611.181883872909</v>
      </c>
      <c r="I100" s="45">
        <f>SUM(I97:I99)</f>
        <v>51947.567835949827</v>
      </c>
      <c r="J100" s="45">
        <f>SUM(J97:J99)</f>
        <v>55218.714198720052</v>
      </c>
      <c r="K100" s="45">
        <f>SUM(K97:K99)</f>
        <v>58399.73337534142</v>
      </c>
      <c r="M100" t="s">
        <v>121</v>
      </c>
    </row>
    <row r="101" spans="3:17" ht="15" customHeight="1">
      <c r="C101" s="30"/>
      <c r="M101" s="32" t="s">
        <v>122</v>
      </c>
    </row>
    <row r="102" spans="3:17" ht="15" customHeight="1">
      <c r="C102" s="30" t="s">
        <v>123</v>
      </c>
      <c r="D102" s="71">
        <f>-(D99/D98)</f>
        <v>0.65179833516569818</v>
      </c>
      <c r="E102" s="71">
        <f>-(E99/E98)</f>
        <v>0.6585816400289134</v>
      </c>
      <c r="F102" s="71">
        <f>-(F99/F98)</f>
        <v>0.69856531210095396</v>
      </c>
      <c r="G102" s="63">
        <f>F102+$M$102</f>
        <v>0.71856531210095398</v>
      </c>
      <c r="H102" s="63">
        <f>G102+$M$102</f>
        <v>0.738565312100954</v>
      </c>
      <c r="I102" s="63">
        <f>H102+$M$102</f>
        <v>0.75856531210095401</v>
      </c>
      <c r="J102" s="63">
        <f>I102+$M$102</f>
        <v>0.77856531210095403</v>
      </c>
      <c r="K102" s="63">
        <f>J102+$M$102</f>
        <v>0.79856531210095405</v>
      </c>
      <c r="M102" s="73">
        <v>0.02</v>
      </c>
      <c r="O102" s="74"/>
      <c r="P102" s="74"/>
      <c r="Q102" s="74"/>
    </row>
    <row r="103" spans="3:17" ht="15" customHeight="1">
      <c r="C103" s="30"/>
      <c r="D103" s="71"/>
      <c r="E103" s="71"/>
      <c r="F103" s="71"/>
      <c r="G103" s="63"/>
      <c r="H103" s="63"/>
      <c r="I103" s="63"/>
      <c r="J103" s="63"/>
      <c r="K103" s="63"/>
      <c r="O103" s="74"/>
      <c r="P103" s="74"/>
      <c r="Q103" s="74"/>
    </row>
    <row r="104" spans="3:17" ht="15" customHeight="1">
      <c r="C104" s="75" t="s">
        <v>124</v>
      </c>
      <c r="D104" s="76"/>
      <c r="E104" s="76"/>
      <c r="F104" s="76"/>
      <c r="G104" s="77"/>
      <c r="H104" s="77"/>
      <c r="I104" s="77"/>
      <c r="J104" s="77"/>
      <c r="K104" s="77"/>
      <c r="O104" s="74"/>
      <c r="P104" s="74"/>
      <c r="Q104" s="74"/>
    </row>
    <row r="105" spans="3:17" ht="15" customHeight="1">
      <c r="C105" s="30" t="s">
        <v>125</v>
      </c>
      <c r="D105" s="42">
        <f>D107+D99</f>
        <v>2205</v>
      </c>
      <c r="E105" s="42">
        <f>E107+E99</f>
        <v>1957</v>
      </c>
      <c r="F105" s="42">
        <f>F107+F99</f>
        <v>1603</v>
      </c>
      <c r="G105" s="44">
        <f>G106*G18</f>
        <v>1538.8799999999999</v>
      </c>
      <c r="H105" s="44">
        <f>H106*H18</f>
        <v>1631.2128</v>
      </c>
      <c r="I105" s="44">
        <f>I106*I18</f>
        <v>1743.7664832</v>
      </c>
      <c r="J105" s="44">
        <f>J106*J18</f>
        <v>1864.0863705407999</v>
      </c>
      <c r="K105" s="44">
        <f>K106*K18</f>
        <v>1992.708330108115</v>
      </c>
      <c r="M105" t="s">
        <v>126</v>
      </c>
      <c r="O105" s="74"/>
      <c r="P105" s="74"/>
      <c r="Q105" s="74"/>
    </row>
    <row r="106" spans="3:17" ht="15" customHeight="1">
      <c r="C106" s="29" t="s">
        <v>127</v>
      </c>
      <c r="D106" s="51">
        <f>D105/D18</f>
        <v>1.0225423044996499E-2</v>
      </c>
      <c r="E106" s="51">
        <f>E105/E18</f>
        <v>8.537128000209393E-3</v>
      </c>
      <c r="F106" s="51">
        <f>F105/F18</f>
        <v>6.0355051864681188E-3</v>
      </c>
      <c r="G106" s="63">
        <f>F106</f>
        <v>6.0355051864681188E-3</v>
      </c>
      <c r="H106" s="63">
        <f>G106</f>
        <v>6.0355051864681188E-3</v>
      </c>
      <c r="I106" s="63">
        <f>H106</f>
        <v>6.0355051864681188E-3</v>
      </c>
      <c r="J106" s="63">
        <f>I106</f>
        <v>6.0355051864681188E-3</v>
      </c>
      <c r="K106" s="63">
        <f>J106</f>
        <v>6.0355051864681188E-3</v>
      </c>
      <c r="M106" t="s">
        <v>128</v>
      </c>
    </row>
    <row r="107" spans="3:17" ht="15" customHeight="1">
      <c r="C107" s="31" t="s">
        <v>129</v>
      </c>
      <c r="D107" s="45">
        <f>D31</f>
        <v>10505</v>
      </c>
      <c r="E107" s="45">
        <f>E31</f>
        <v>10157</v>
      </c>
      <c r="F107" s="45">
        <f>F31</f>
        <v>10903</v>
      </c>
      <c r="G107" s="41">
        <f>-G99+G105</f>
        <v>11085.020171261172</v>
      </c>
      <c r="H107" s="41">
        <f>-H99+H105</f>
        <v>11711.890744865921</v>
      </c>
      <c r="I107" s="41">
        <f>-I99+I105</f>
        <v>12226.380531123083</v>
      </c>
      <c r="J107" s="41">
        <f>-J99+J105</f>
        <v>13365.451007770575</v>
      </c>
      <c r="K107" s="41">
        <f>-K99+K105</f>
        <v>14603.503412486743</v>
      </c>
      <c r="M107" t="s">
        <v>130</v>
      </c>
    </row>
    <row r="108" spans="3:17" ht="15" customHeight="1">
      <c r="C108" s="30"/>
      <c r="D108" s="42"/>
      <c r="E108" s="42"/>
      <c r="F108" s="42"/>
      <c r="H108" s="42"/>
      <c r="I108" s="42"/>
      <c r="J108" s="42"/>
      <c r="K108" s="42"/>
    </row>
    <row r="109" spans="3:17" ht="15" customHeight="1">
      <c r="C109" s="78" t="s">
        <v>131</v>
      </c>
      <c r="D109" s="17"/>
      <c r="E109" s="17"/>
      <c r="F109" s="17"/>
      <c r="H109" s="42"/>
      <c r="I109" s="42"/>
      <c r="J109" s="42"/>
      <c r="K109" s="42"/>
    </row>
    <row r="110" spans="3:17" ht="15" customHeight="1">
      <c r="C110" s="30" t="s">
        <v>114</v>
      </c>
      <c r="D110" s="42"/>
      <c r="G110" s="123">
        <f>F113</f>
        <v>22283</v>
      </c>
      <c r="H110" s="123">
        <f>G113</f>
        <v>21391.68</v>
      </c>
      <c r="I110" s="123">
        <f>H113</f>
        <v>22675.180800000002</v>
      </c>
      <c r="J110" s="123">
        <f>I113</f>
        <v>24239.7682752</v>
      </c>
      <c r="K110" s="123">
        <f>J113</f>
        <v>25912.3122861888</v>
      </c>
      <c r="M110" t="s">
        <v>115</v>
      </c>
    </row>
    <row r="111" spans="3:17" ht="15" customHeight="1">
      <c r="C111" s="29" t="s">
        <v>132</v>
      </c>
      <c r="G111" s="42">
        <f>-(G105)</f>
        <v>-1538.8799999999999</v>
      </c>
      <c r="H111" s="42">
        <f>-(H105)</f>
        <v>-1631.2128</v>
      </c>
      <c r="I111" s="42">
        <f>-(I105)</f>
        <v>-1743.7664832</v>
      </c>
      <c r="J111" s="42">
        <f>-(J105)</f>
        <v>-1864.0863705407999</v>
      </c>
      <c r="K111" s="42">
        <f>-(K105)</f>
        <v>-1992.708330108115</v>
      </c>
      <c r="M111" t="s">
        <v>133</v>
      </c>
    </row>
    <row r="112" spans="3:17" ht="15" customHeight="1">
      <c r="C112" s="67" t="s">
        <v>134</v>
      </c>
      <c r="D112" s="80"/>
      <c r="E112" s="80"/>
      <c r="F112" s="80"/>
      <c r="G112" s="124">
        <f>G113-G111-G110</f>
        <v>647.56000000000131</v>
      </c>
      <c r="H112" s="124">
        <f>H113-H111-H110</f>
        <v>2914.7136000000028</v>
      </c>
      <c r="I112" s="124">
        <f>I113-I111-I110</f>
        <v>3308.3539583999991</v>
      </c>
      <c r="J112" s="124">
        <f>J113-J111-J110</f>
        <v>3536.6303815296014</v>
      </c>
      <c r="K112" s="124">
        <f>K113-K111-K110</f>
        <v>3780.6578778551411</v>
      </c>
      <c r="M112" t="s">
        <v>135</v>
      </c>
    </row>
    <row r="113" spans="3:17" ht="15" customHeight="1">
      <c r="C113" s="70" t="s">
        <v>120</v>
      </c>
      <c r="E113" s="45">
        <f t="shared" ref="E113:K113" si="14">E51</f>
        <v>18177</v>
      </c>
      <c r="F113" s="45">
        <f t="shared" si="14"/>
        <v>22283</v>
      </c>
      <c r="G113" s="45">
        <f t="shared" si="14"/>
        <v>21391.68</v>
      </c>
      <c r="H113" s="45">
        <f t="shared" si="14"/>
        <v>22675.180800000002</v>
      </c>
      <c r="I113" s="45">
        <f t="shared" si="14"/>
        <v>24239.7682752</v>
      </c>
      <c r="J113" s="45">
        <f t="shared" si="14"/>
        <v>25912.3122861888</v>
      </c>
      <c r="K113" s="45">
        <f t="shared" si="14"/>
        <v>27700.261833935827</v>
      </c>
      <c r="M113" t="s">
        <v>136</v>
      </c>
    </row>
    <row r="114" spans="3:17" ht="15" customHeight="1">
      <c r="C114" s="29"/>
      <c r="E114" s="42"/>
      <c r="F114" s="42"/>
      <c r="H114" s="42"/>
      <c r="I114" s="42"/>
      <c r="J114" s="42"/>
      <c r="K114" s="42"/>
    </row>
    <row r="115" spans="3:17" ht="15" customHeight="1">
      <c r="C115" s="82" t="s">
        <v>137</v>
      </c>
      <c r="D115" s="78"/>
      <c r="E115" s="78"/>
      <c r="F115" s="78"/>
      <c r="G115" s="17"/>
      <c r="H115" s="17"/>
      <c r="I115" s="17"/>
      <c r="J115" s="17"/>
      <c r="K115" s="17"/>
    </row>
    <row r="116" spans="3:17" ht="15" customHeight="1">
      <c r="C116" s="30" t="s">
        <v>114</v>
      </c>
      <c r="G116" s="42">
        <f>F120</f>
        <v>70400</v>
      </c>
      <c r="H116" s="42">
        <f ca="1">G120</f>
        <v>35907.506097684833</v>
      </c>
      <c r="I116" s="42">
        <f ca="1">H120</f>
        <v>5326.4073574395152</v>
      </c>
      <c r="J116" s="42">
        <f ca="1">I120</f>
        <v>-21502.07229787598</v>
      </c>
      <c r="K116" s="42">
        <f ca="1">J120</f>
        <v>-44514.319742036285</v>
      </c>
      <c r="M116" t="s">
        <v>115</v>
      </c>
    </row>
    <row r="117" spans="3:17" ht="15" customHeight="1">
      <c r="C117" s="29" t="s">
        <v>138</v>
      </c>
      <c r="D117" s="44">
        <f t="shared" ref="D117:K117" si="15">D29</f>
        <v>45687</v>
      </c>
      <c r="E117" s="44">
        <f t="shared" si="15"/>
        <v>48351</v>
      </c>
      <c r="F117" s="44">
        <f t="shared" si="15"/>
        <v>59531</v>
      </c>
      <c r="G117" s="42">
        <f t="shared" ca="1" si="15"/>
        <v>52298.506097684833</v>
      </c>
      <c r="H117" s="42">
        <f t="shared" ca="1" si="15"/>
        <v>56209.901259754675</v>
      </c>
      <c r="I117" s="42">
        <f t="shared" ca="1" si="15"/>
        <v>59962.520344684504</v>
      </c>
      <c r="J117" s="42">
        <f t="shared" ca="1" si="15"/>
        <v>63778.752555839696</v>
      </c>
      <c r="K117" s="42">
        <f t="shared" ca="1" si="15"/>
        <v>67967.319173978191</v>
      </c>
      <c r="M117" t="s">
        <v>139</v>
      </c>
    </row>
    <row r="118" spans="3:17" ht="15" customHeight="1">
      <c r="C118" s="29" t="s">
        <v>140</v>
      </c>
      <c r="D118" s="39">
        <v>-12188</v>
      </c>
      <c r="E118" s="39">
        <v>-12803</v>
      </c>
      <c r="F118" s="39">
        <v>-13735</v>
      </c>
      <c r="G118" s="42">
        <f t="shared" ref="G118:K119" si="16">F118</f>
        <v>-13735</v>
      </c>
      <c r="H118" s="42">
        <f t="shared" si="16"/>
        <v>-13735</v>
      </c>
      <c r="I118" s="42">
        <f t="shared" si="16"/>
        <v>-13735</v>
      </c>
      <c r="J118" s="42">
        <f t="shared" si="16"/>
        <v>-13735</v>
      </c>
      <c r="K118" s="42">
        <f t="shared" si="16"/>
        <v>-13735</v>
      </c>
      <c r="M118" t="s">
        <v>141</v>
      </c>
    </row>
    <row r="119" spans="3:17" ht="15" customHeight="1">
      <c r="C119" s="67" t="s">
        <v>142</v>
      </c>
      <c r="D119" s="68">
        <v>-29000</v>
      </c>
      <c r="E119" s="68">
        <v>-33001</v>
      </c>
      <c r="F119" s="68">
        <v>-73056</v>
      </c>
      <c r="G119" s="85">
        <f t="shared" si="16"/>
        <v>-73056</v>
      </c>
      <c r="H119" s="85">
        <f t="shared" si="16"/>
        <v>-73056</v>
      </c>
      <c r="I119" s="85">
        <f t="shared" si="16"/>
        <v>-73056</v>
      </c>
      <c r="J119" s="85">
        <f t="shared" si="16"/>
        <v>-73056</v>
      </c>
      <c r="K119" s="85">
        <f t="shared" si="16"/>
        <v>-73056</v>
      </c>
      <c r="M119" t="s">
        <v>143</v>
      </c>
    </row>
    <row r="120" spans="3:17" ht="15" customHeight="1">
      <c r="C120" s="70" t="s">
        <v>120</v>
      </c>
      <c r="D120" s="41">
        <f>D63</f>
        <v>0</v>
      </c>
      <c r="E120" s="41">
        <f>E63</f>
        <v>98330</v>
      </c>
      <c r="F120" s="41">
        <f>F63</f>
        <v>70400</v>
      </c>
      <c r="G120" s="45">
        <f ca="1">SUM(G116:G119)</f>
        <v>35907.506097684833</v>
      </c>
      <c r="H120" s="45">
        <f ca="1">SUM(H116:H119)</f>
        <v>5326.4073574395152</v>
      </c>
      <c r="I120" s="45">
        <f ca="1">SUM(I116:I119)</f>
        <v>-21502.07229787598</v>
      </c>
      <c r="J120" s="45">
        <f ca="1">SUM(J116:J119)</f>
        <v>-44514.319742036285</v>
      </c>
      <c r="K120" s="45">
        <f ca="1">SUM(K116:K119)</f>
        <v>-63338.000568058094</v>
      </c>
      <c r="M120" t="s">
        <v>144</v>
      </c>
    </row>
    <row r="121" spans="3:17" ht="15" customHeight="1">
      <c r="E121" s="40"/>
      <c r="F121" s="40"/>
    </row>
    <row r="122" spans="3:17" ht="15" customHeight="1">
      <c r="C122" s="16" t="s">
        <v>145</v>
      </c>
      <c r="D122" s="17"/>
      <c r="E122" s="17"/>
      <c r="F122" s="17"/>
      <c r="G122" s="17"/>
      <c r="H122" s="17"/>
      <c r="I122" s="17"/>
      <c r="J122" s="17"/>
      <c r="K122" s="17"/>
      <c r="O122" s="74"/>
      <c r="P122" s="74"/>
    </row>
    <row r="123" spans="3:17" ht="15" customHeight="1">
      <c r="C123" s="36" t="str">
        <f t="shared" ref="C123:K123" si="17">C15</f>
        <v xml:space="preserve">Fiscal year  </v>
      </c>
      <c r="D123" s="37">
        <f t="shared" si="17"/>
        <v>2016</v>
      </c>
      <c r="E123" s="37">
        <f t="shared" si="17"/>
        <v>2017</v>
      </c>
      <c r="F123" s="37">
        <f t="shared" si="17"/>
        <v>2018</v>
      </c>
      <c r="G123" s="65">
        <f t="shared" si="17"/>
        <v>2019</v>
      </c>
      <c r="H123" s="65">
        <f t="shared" si="17"/>
        <v>2020</v>
      </c>
      <c r="I123" s="65">
        <f t="shared" si="17"/>
        <v>2021</v>
      </c>
      <c r="J123" s="65">
        <f t="shared" si="17"/>
        <v>2022</v>
      </c>
      <c r="K123" s="65">
        <f t="shared" si="17"/>
        <v>2023</v>
      </c>
      <c r="O123" s="74"/>
      <c r="P123" s="74"/>
    </row>
    <row r="124" spans="3:17" ht="15" customHeight="1">
      <c r="C124" s="17" t="str">
        <f t="shared" ref="C124:K124" si="18">C16</f>
        <v>Fiscal year end date</v>
      </c>
      <c r="D124" s="38">
        <f t="shared" si="18"/>
        <v>42643</v>
      </c>
      <c r="E124" s="38">
        <f t="shared" si="18"/>
        <v>43008</v>
      </c>
      <c r="F124" s="38">
        <f t="shared" si="18"/>
        <v>43372</v>
      </c>
      <c r="G124" s="38">
        <f t="shared" si="18"/>
        <v>43738</v>
      </c>
      <c r="H124" s="38">
        <f t="shared" si="18"/>
        <v>44104</v>
      </c>
      <c r="I124" s="38">
        <f t="shared" si="18"/>
        <v>44469</v>
      </c>
      <c r="J124" s="38">
        <f t="shared" si="18"/>
        <v>44834</v>
      </c>
      <c r="K124" s="38">
        <f t="shared" si="18"/>
        <v>45199</v>
      </c>
      <c r="O124" s="74"/>
      <c r="P124" s="74"/>
    </row>
    <row r="125" spans="3:17" ht="15" customHeight="1">
      <c r="C125" s="27"/>
      <c r="O125" s="74"/>
      <c r="P125" s="74"/>
    </row>
    <row r="126" spans="3:17" ht="15" customHeight="1">
      <c r="C126" s="32" t="s">
        <v>146</v>
      </c>
      <c r="O126" s="74"/>
      <c r="P126" s="74"/>
      <c r="Q126" s="74"/>
    </row>
    <row r="127" spans="3:17" ht="15" customHeight="1">
      <c r="C127" s="29" t="s">
        <v>147</v>
      </c>
      <c r="G127" s="42">
        <f>F46</f>
        <v>237100</v>
      </c>
      <c r="H127" s="42">
        <f ca="1">G46</f>
        <v>202199.73246575586</v>
      </c>
      <c r="I127" s="42">
        <f ca="1">H46</f>
        <v>176523.72487352614</v>
      </c>
      <c r="J127" s="42">
        <f ca="1">I46</f>
        <v>156076.92943323214</v>
      </c>
      <c r="K127" s="42">
        <f ca="1">J46</f>
        <v>140273.77732642859</v>
      </c>
      <c r="M127" t="s">
        <v>148</v>
      </c>
      <c r="O127" s="74"/>
      <c r="P127" s="74"/>
    </row>
    <row r="128" spans="3:17" ht="15" customHeight="1">
      <c r="C128" s="29" t="s">
        <v>149</v>
      </c>
      <c r="G128" s="39">
        <v>-50000</v>
      </c>
      <c r="H128" s="39">
        <v>-50000</v>
      </c>
      <c r="I128" s="39">
        <v>-50000</v>
      </c>
      <c r="J128" s="39">
        <v>-50000</v>
      </c>
      <c r="K128" s="39">
        <v>-50000</v>
      </c>
      <c r="M128" t="s">
        <v>150</v>
      </c>
      <c r="O128" s="74"/>
      <c r="P128" s="74"/>
    </row>
    <row r="129" spans="3:19" ht="15" customHeight="1">
      <c r="C129" s="67" t="s">
        <v>151</v>
      </c>
      <c r="D129" s="80"/>
      <c r="E129" s="80"/>
      <c r="F129" s="80"/>
      <c r="G129" s="85">
        <f ca="1">SUM(G80,G83,G85,G87,G88)</f>
        <v>-34936.267534244129</v>
      </c>
      <c r="H129" s="85">
        <f ca="1">SUM(H80,H83,H85,H87,H88)</f>
        <v>-25676.007592229726</v>
      </c>
      <c r="I129" s="85">
        <f ca="1">SUM(I80,I83,I85,I87,I88)</f>
        <v>-20446.795440293994</v>
      </c>
      <c r="J129" s="85">
        <f ca="1">SUM(J80,J83,J85,J87,J88)</f>
        <v>-15803.152106803551</v>
      </c>
      <c r="K129" s="85">
        <f ca="1">SUM(K80,K83,K85,K87,K88)</f>
        <v>-10801.321625207391</v>
      </c>
      <c r="M129" t="s">
        <v>152</v>
      </c>
    </row>
    <row r="130" spans="3:19" ht="15" customHeight="1">
      <c r="C130" s="70" t="s">
        <v>153</v>
      </c>
      <c r="G130" s="45">
        <f ca="1">SUM(G127:G129)</f>
        <v>152163.73246575586</v>
      </c>
      <c r="H130" s="45">
        <f ca="1">SUM(H127:H129)</f>
        <v>126523.72487352614</v>
      </c>
      <c r="I130" s="45">
        <f ca="1">SUM(I127:I129)</f>
        <v>106076.92943323214</v>
      </c>
      <c r="J130" s="45">
        <f ca="1">SUM(J127:J129)</f>
        <v>90273.777326428593</v>
      </c>
      <c r="K130" s="45">
        <f ca="1">SUM(K127:K129)</f>
        <v>79472.455701221203</v>
      </c>
    </row>
    <row r="132" spans="3:19" ht="15" customHeight="1">
      <c r="C132" s="27" t="s">
        <v>154</v>
      </c>
    </row>
    <row r="133" spans="3:19" ht="15" customHeight="1">
      <c r="C133" s="29" t="s">
        <v>114</v>
      </c>
      <c r="G133" s="42">
        <f>F136</f>
        <v>11964</v>
      </c>
      <c r="H133" s="42">
        <f ca="1">G136</f>
        <v>12000</v>
      </c>
      <c r="I133" s="42">
        <f ca="1">H136</f>
        <v>12000</v>
      </c>
      <c r="J133" s="42">
        <f ca="1">I136</f>
        <v>12000</v>
      </c>
      <c r="K133" s="42">
        <f ca="1">J136</f>
        <v>12000</v>
      </c>
      <c r="M133" t="s">
        <v>115</v>
      </c>
    </row>
    <row r="134" spans="3:19" ht="15" customHeight="1">
      <c r="C134" s="29" t="s">
        <v>155</v>
      </c>
      <c r="G134" s="42">
        <f ca="1">-MIN(G130,G133)</f>
        <v>-11964</v>
      </c>
      <c r="H134" s="42">
        <f ca="1">-MIN(H130,H133)</f>
        <v>-12000</v>
      </c>
      <c r="I134" s="42">
        <f ca="1">-MIN(I130,I133)</f>
        <v>-12000</v>
      </c>
      <c r="J134" s="42">
        <f ca="1">-MIN(J130,J133)</f>
        <v>-12000</v>
      </c>
      <c r="K134" s="42">
        <f ca="1">-MIN(K130,K133)</f>
        <v>-12000</v>
      </c>
      <c r="M134" t="s">
        <v>156</v>
      </c>
    </row>
    <row r="135" spans="3:19" ht="15" customHeight="1">
      <c r="C135" s="67" t="s">
        <v>157</v>
      </c>
      <c r="D135" s="80"/>
      <c r="E135" s="80"/>
      <c r="F135" s="80"/>
      <c r="G135" s="68">
        <v>12000</v>
      </c>
      <c r="H135" s="68">
        <v>12000</v>
      </c>
      <c r="I135" s="68">
        <v>12000</v>
      </c>
      <c r="J135" s="68">
        <v>12000</v>
      </c>
      <c r="K135" s="68">
        <v>12000</v>
      </c>
      <c r="M135" t="s">
        <v>150</v>
      </c>
    </row>
    <row r="136" spans="3:19" ht="15" customHeight="1">
      <c r="C136" s="29" t="s">
        <v>120</v>
      </c>
      <c r="D136" s="85">
        <f>D57</f>
        <v>0</v>
      </c>
      <c r="E136" s="85">
        <f>E57</f>
        <v>11977</v>
      </c>
      <c r="F136" s="85">
        <f>F57</f>
        <v>11964</v>
      </c>
      <c r="G136" s="86">
        <f ca="1">SUM(G133:G135)</f>
        <v>12000</v>
      </c>
      <c r="H136" s="86">
        <f ca="1">SUM(H133:H135)</f>
        <v>12000</v>
      </c>
      <c r="I136" s="86">
        <f ca="1">SUM(I133:I135)</f>
        <v>12000</v>
      </c>
      <c r="J136" s="86">
        <f ca="1">SUM(J133:J135)</f>
        <v>12000</v>
      </c>
      <c r="K136" s="86">
        <f ca="1">SUM(K133:K135)</f>
        <v>12000</v>
      </c>
    </row>
    <row r="137" spans="3:19" ht="15" customHeight="1">
      <c r="C137" s="87" t="s">
        <v>158</v>
      </c>
      <c r="D137" s="88"/>
      <c r="E137" s="88"/>
      <c r="F137" s="89"/>
      <c r="G137" s="90" t="str">
        <f ca="1">IF(G136&lt;0,"Negative Debt","OK")</f>
        <v>OK</v>
      </c>
      <c r="H137" s="90" t="str">
        <f ca="1">IF(H136&lt;0,"Negative Debt","OK")</f>
        <v>OK</v>
      </c>
      <c r="I137" s="90" t="str">
        <f ca="1">IF(I136&lt;0,"Negative Debt","OK")</f>
        <v>OK</v>
      </c>
      <c r="J137" s="90" t="str">
        <f ca="1">IF(J136&lt;0,"Negative Debt","OK")</f>
        <v>OK</v>
      </c>
      <c r="K137" s="91" t="str">
        <f ca="1">IF(K136&lt;0,"Negative Debt","OK")</f>
        <v>OK</v>
      </c>
      <c r="S137" s="40"/>
    </row>
    <row r="138" spans="3:19" ht="15" customHeight="1">
      <c r="D138" s="42"/>
      <c r="E138" s="42"/>
      <c r="F138" s="92"/>
      <c r="G138" s="93"/>
      <c r="H138" s="93"/>
      <c r="I138" s="93"/>
      <c r="J138" s="93"/>
      <c r="K138" s="93"/>
      <c r="S138" s="40"/>
    </row>
    <row r="139" spans="3:19" ht="15" customHeight="1">
      <c r="C139" s="16" t="s">
        <v>159</v>
      </c>
      <c r="D139" s="76"/>
      <c r="E139" s="76"/>
      <c r="F139" s="76"/>
      <c r="G139" s="94"/>
      <c r="H139" s="94"/>
      <c r="I139" s="94"/>
      <c r="J139" s="94"/>
      <c r="K139" s="94"/>
      <c r="R139" s="95"/>
    </row>
    <row r="140" spans="3:19" ht="15" customHeight="1">
      <c r="C140" s="36" t="str">
        <f t="shared" ref="C140:K140" si="19">C15</f>
        <v xml:space="preserve">Fiscal year  </v>
      </c>
      <c r="D140" s="37">
        <f t="shared" si="19"/>
        <v>2016</v>
      </c>
      <c r="E140" s="37">
        <f t="shared" si="19"/>
        <v>2017</v>
      </c>
      <c r="F140" s="37">
        <f t="shared" si="19"/>
        <v>2018</v>
      </c>
      <c r="G140" s="65">
        <f t="shared" si="19"/>
        <v>2019</v>
      </c>
      <c r="H140" s="65">
        <f t="shared" si="19"/>
        <v>2020</v>
      </c>
      <c r="I140" s="65">
        <f t="shared" si="19"/>
        <v>2021</v>
      </c>
      <c r="J140" s="65">
        <f t="shared" si="19"/>
        <v>2022</v>
      </c>
      <c r="K140" s="65">
        <f t="shared" si="19"/>
        <v>2023</v>
      </c>
      <c r="R140" s="95"/>
      <c r="S140" s="40"/>
    </row>
    <row r="141" spans="3:19" ht="15" customHeight="1">
      <c r="C141" s="17" t="str">
        <f t="shared" ref="C141:K141" si="20">C16</f>
        <v>Fiscal year end date</v>
      </c>
      <c r="D141" s="38">
        <f t="shared" si="20"/>
        <v>42643</v>
      </c>
      <c r="E141" s="38">
        <f t="shared" si="20"/>
        <v>43008</v>
      </c>
      <c r="F141" s="38">
        <f t="shared" si="20"/>
        <v>43372</v>
      </c>
      <c r="G141" s="38">
        <f t="shared" si="20"/>
        <v>43738</v>
      </c>
      <c r="H141" s="38">
        <f t="shared" si="20"/>
        <v>44104</v>
      </c>
      <c r="I141" s="38">
        <f t="shared" si="20"/>
        <v>44469</v>
      </c>
      <c r="J141" s="38">
        <f t="shared" si="20"/>
        <v>44834</v>
      </c>
      <c r="K141" s="38">
        <f t="shared" si="20"/>
        <v>45199</v>
      </c>
      <c r="R141" s="95"/>
    </row>
    <row r="142" spans="3:19" ht="15" customHeight="1">
      <c r="C142" s="29"/>
      <c r="D142" s="42"/>
      <c r="E142" s="42"/>
      <c r="F142" s="42"/>
      <c r="G142" s="96"/>
      <c r="H142" s="96"/>
      <c r="I142" s="96"/>
      <c r="J142" s="96"/>
      <c r="K142" s="96"/>
      <c r="R142" s="95"/>
    </row>
    <row r="143" spans="3:19" ht="15" customHeight="1">
      <c r="C143" s="30" t="s">
        <v>160</v>
      </c>
      <c r="D143" s="42">
        <f>-(D25)</f>
        <v>1456</v>
      </c>
      <c r="E143" s="42">
        <f>-(E25)</f>
        <v>2323</v>
      </c>
      <c r="F143" s="42">
        <f>-(F25)</f>
        <v>3240</v>
      </c>
      <c r="G143" s="42">
        <f ca="1">G148+G153</f>
        <v>3223.1468651501777</v>
      </c>
      <c r="H143" s="42">
        <f ca="1">H148+H153</f>
        <v>3223.5392651501775</v>
      </c>
      <c r="I143" s="42">
        <f ca="1">I148+I153</f>
        <v>3223.5392651501775</v>
      </c>
      <c r="J143" s="42">
        <f ca="1">J148+J153</f>
        <v>3223.5392651501775</v>
      </c>
      <c r="K143" s="42">
        <f ca="1">K148+K153</f>
        <v>3223.5392651501775</v>
      </c>
      <c r="M143" t="s">
        <v>161</v>
      </c>
      <c r="R143" s="40"/>
    </row>
    <row r="144" spans="3:19" ht="15" customHeight="1">
      <c r="C144" s="97"/>
      <c r="R144" s="40"/>
    </row>
    <row r="145" spans="3:18" ht="15" customHeight="1">
      <c r="C145" s="98" t="s">
        <v>162</v>
      </c>
      <c r="R145" s="40"/>
    </row>
    <row r="146" spans="3:18" ht="15" customHeight="1">
      <c r="C146" s="29" t="s">
        <v>163</v>
      </c>
      <c r="E146" s="99">
        <v>1.2E-2</v>
      </c>
      <c r="F146" s="99">
        <v>2.18E-2</v>
      </c>
      <c r="G146" s="125">
        <f>F146</f>
        <v>2.18E-2</v>
      </c>
      <c r="H146" s="125">
        <f>G146</f>
        <v>2.18E-2</v>
      </c>
      <c r="I146" s="125">
        <f>H146</f>
        <v>2.18E-2</v>
      </c>
      <c r="J146" s="125">
        <f>I146</f>
        <v>2.18E-2</v>
      </c>
      <c r="K146" s="125">
        <f>J146</f>
        <v>2.18E-2</v>
      </c>
      <c r="M146" t="s">
        <v>164</v>
      </c>
    </row>
    <row r="147" spans="3:18" ht="15" customHeight="1">
      <c r="C147" s="29" t="s">
        <v>165</v>
      </c>
      <c r="D147" s="85"/>
      <c r="E147" s="85">
        <f t="shared" ref="E147:K147" si="21">E57</f>
        <v>11977</v>
      </c>
      <c r="F147" s="85">
        <f t="shared" si="21"/>
        <v>11964</v>
      </c>
      <c r="G147" s="42">
        <f t="shared" ca="1" si="21"/>
        <v>12000</v>
      </c>
      <c r="H147" s="42">
        <f t="shared" ca="1" si="21"/>
        <v>12000</v>
      </c>
      <c r="I147" s="42">
        <f t="shared" ca="1" si="21"/>
        <v>12000</v>
      </c>
      <c r="J147" s="42">
        <f t="shared" ca="1" si="21"/>
        <v>12000</v>
      </c>
      <c r="K147" s="42">
        <f t="shared" ca="1" si="21"/>
        <v>12000</v>
      </c>
      <c r="M147" t="s">
        <v>166</v>
      </c>
    </row>
    <row r="148" spans="3:18" ht="15" customHeight="1">
      <c r="C148" s="101" t="s">
        <v>167</v>
      </c>
      <c r="D148" s="42"/>
      <c r="E148" s="45">
        <f>AVERAGE(D147:E147)*E146</f>
        <v>143.72399999999999</v>
      </c>
      <c r="F148" s="45">
        <f>AVERAGE(E147:F147)*F146</f>
        <v>260.95690000000002</v>
      </c>
      <c r="G148" s="119">
        <f ca="1">IF($D$7=1,AVERAGE(F147:G147)*G146,0)</f>
        <v>261.20760000000001</v>
      </c>
      <c r="H148" s="119">
        <f ca="1">IF($D$7=1,AVERAGE(G147:H147)*H146,0)</f>
        <v>261.60000000000002</v>
      </c>
      <c r="I148" s="119">
        <f ca="1">IF($D$7=1,AVERAGE(H147:I147)*I146,0)</f>
        <v>261.60000000000002</v>
      </c>
      <c r="J148" s="119">
        <f ca="1">IF($D$7=1,AVERAGE(I147:J147)*J146,0)</f>
        <v>261.60000000000002</v>
      </c>
      <c r="K148" s="119">
        <f ca="1">IF($D$7=1,AVERAGE(J147:K147)*K146,0)</f>
        <v>261.60000000000002</v>
      </c>
      <c r="M148" t="s">
        <v>168</v>
      </c>
    </row>
    <row r="149" spans="3:18" ht="15" customHeight="1">
      <c r="C149" s="103"/>
      <c r="D149" s="42"/>
      <c r="E149" s="42"/>
      <c r="F149" s="42"/>
    </row>
    <row r="150" spans="3:18" ht="15" customHeight="1">
      <c r="C150" s="98" t="s">
        <v>105</v>
      </c>
      <c r="D150" s="42"/>
      <c r="E150" s="42"/>
      <c r="F150" s="42"/>
    </row>
    <row r="151" spans="3:18" ht="15" customHeight="1">
      <c r="C151" s="29" t="s">
        <v>165</v>
      </c>
      <c r="D151" s="42"/>
      <c r="E151" s="42">
        <f t="shared" ref="E151:K151" si="22">E58</f>
        <v>103703</v>
      </c>
      <c r="F151" s="42">
        <f t="shared" si="22"/>
        <v>102519</v>
      </c>
      <c r="G151" s="42">
        <f t="shared" si="22"/>
        <v>102519</v>
      </c>
      <c r="H151" s="42">
        <f t="shared" si="22"/>
        <v>102519</v>
      </c>
      <c r="I151" s="42">
        <f t="shared" si="22"/>
        <v>102519</v>
      </c>
      <c r="J151" s="42">
        <f t="shared" si="22"/>
        <v>102519</v>
      </c>
      <c r="K151" s="42">
        <f t="shared" si="22"/>
        <v>102519</v>
      </c>
      <c r="M151" t="s">
        <v>107</v>
      </c>
    </row>
    <row r="152" spans="3:18" ht="15" customHeight="1">
      <c r="C152" s="29" t="s">
        <v>163</v>
      </c>
      <c r="E152" s="51">
        <f>E153/AVERAGE(D151:E151)</f>
        <v>2.101458974185896E-2</v>
      </c>
      <c r="F152" s="51">
        <f>F153/AVERAGE(E151:F151)</f>
        <v>2.8891612921996681E-2</v>
      </c>
      <c r="G152" s="125">
        <f>F152</f>
        <v>2.8891612921996681E-2</v>
      </c>
      <c r="H152" s="125">
        <f>G152</f>
        <v>2.8891612921996681E-2</v>
      </c>
      <c r="I152" s="125">
        <f>H152</f>
        <v>2.8891612921996681E-2</v>
      </c>
      <c r="J152" s="125">
        <f>I152</f>
        <v>2.8891612921996681E-2</v>
      </c>
      <c r="K152" s="125">
        <f>J152</f>
        <v>2.8891612921996681E-2</v>
      </c>
      <c r="M152" t="s">
        <v>164</v>
      </c>
      <c r="R152" s="95"/>
    </row>
    <row r="153" spans="3:18" ht="15" customHeight="1">
      <c r="C153" s="70" t="s">
        <v>169</v>
      </c>
      <c r="D153" s="45"/>
      <c r="E153" s="45">
        <f>E143-E148</f>
        <v>2179.2759999999998</v>
      </c>
      <c r="F153" s="45">
        <f>F143-F148</f>
        <v>2979.0430999999999</v>
      </c>
      <c r="G153" s="41">
        <f>G152*AVERAGE(F151:G151)</f>
        <v>2961.9392651501776</v>
      </c>
      <c r="H153" s="41">
        <f>H152*AVERAGE(G151:H151)</f>
        <v>2961.9392651501776</v>
      </c>
      <c r="I153" s="41">
        <f>I152*AVERAGE(H151:I151)</f>
        <v>2961.9392651501776</v>
      </c>
      <c r="J153" s="41">
        <f>J152*AVERAGE(I151:J151)</f>
        <v>2961.9392651501776</v>
      </c>
      <c r="K153" s="41">
        <f>K152*AVERAGE(J151:K151)</f>
        <v>2961.9392651501776</v>
      </c>
      <c r="M153" t="s">
        <v>170</v>
      </c>
    </row>
    <row r="154" spans="3:18" ht="15" customHeight="1">
      <c r="E154" s="42"/>
    </row>
    <row r="155" spans="3:18" ht="15" customHeight="1">
      <c r="C155" s="97" t="s">
        <v>171</v>
      </c>
      <c r="E155" s="42"/>
      <c r="F155" s="42"/>
    </row>
    <row r="156" spans="3:18" ht="15" customHeight="1">
      <c r="C156" s="29" t="s">
        <v>172</v>
      </c>
      <c r="D156" s="49">
        <v>1.7299999999999999E-2</v>
      </c>
      <c r="E156" s="99">
        <v>1.9900000000000001E-2</v>
      </c>
      <c r="F156" s="99">
        <v>2.1600000000000001E-2</v>
      </c>
      <c r="G156" s="127">
        <f>F156</f>
        <v>2.1600000000000001E-2</v>
      </c>
      <c r="H156" s="127">
        <f>G156</f>
        <v>2.1600000000000001E-2</v>
      </c>
      <c r="I156" s="127">
        <f>H156</f>
        <v>2.1600000000000001E-2</v>
      </c>
      <c r="J156" s="127">
        <f>I156</f>
        <v>2.1600000000000001E-2</v>
      </c>
      <c r="K156" s="127">
        <f>J156</f>
        <v>2.1600000000000001E-2</v>
      </c>
      <c r="M156" t="s">
        <v>164</v>
      </c>
    </row>
    <row r="157" spans="3:18" ht="15" customHeight="1">
      <c r="C157" s="29" t="s">
        <v>19</v>
      </c>
      <c r="D157" s="42">
        <f>D24</f>
        <v>3999</v>
      </c>
      <c r="E157" s="42">
        <f>E24</f>
        <v>5201</v>
      </c>
      <c r="F157" s="42">
        <f>F24</f>
        <v>5686</v>
      </c>
      <c r="G157" s="44">
        <f ca="1">IF($D$7=1,AVERAGE(F46,G46)*G156,0)</f>
        <v>4744.4371106301642</v>
      </c>
      <c r="H157" s="44">
        <f ca="1">IF($D$7=1,AVERAGE(G46,H46)*H156,0)</f>
        <v>4090.2133392642463</v>
      </c>
      <c r="I157" s="44">
        <f ca="1">IF($D$7=1,AVERAGE(H46,I46)*I156,0)</f>
        <v>3592.0870665129901</v>
      </c>
      <c r="J157" s="44">
        <f ca="1">IF($D$7=1,AVERAGE(I46,J46)*J156,0)</f>
        <v>3200.5876330043361</v>
      </c>
      <c r="K157" s="44">
        <f ca="1">IF($D$7=1,AVERAGE(J46,K46)*K156,0)</f>
        <v>2913.259316698618</v>
      </c>
      <c r="M157" t="s">
        <v>173</v>
      </c>
    </row>
    <row r="158" spans="3:18" ht="15" customHeight="1">
      <c r="C158" s="50"/>
      <c r="D158" s="51"/>
      <c r="E158" s="51"/>
      <c r="F158" s="51"/>
      <c r="G158" s="51"/>
      <c r="H158" s="51"/>
    </row>
    <row r="159" spans="3:18" ht="15" customHeight="1">
      <c r="C159" s="16" t="s">
        <v>191</v>
      </c>
      <c r="D159" s="16"/>
      <c r="E159" s="16"/>
      <c r="F159" s="16"/>
      <c r="G159" s="16"/>
      <c r="H159" s="16"/>
      <c r="I159" s="16"/>
      <c r="J159" s="16"/>
      <c r="K159" s="16"/>
    </row>
    <row r="160" spans="3:18" ht="15" customHeight="1">
      <c r="C160" s="27"/>
    </row>
    <row r="161" spans="3:16" ht="15.75" customHeight="1">
      <c r="C161" s="128" t="s">
        <v>192</v>
      </c>
      <c r="D161" s="129"/>
      <c r="E161" s="129"/>
      <c r="F161" s="129"/>
      <c r="G161" s="129"/>
      <c r="H161" s="129"/>
      <c r="I161" s="129"/>
    </row>
    <row r="162" spans="3:16" ht="15" customHeight="1">
      <c r="E162" s="2" t="s">
        <v>193</v>
      </c>
      <c r="F162" s="2"/>
      <c r="G162" s="2"/>
      <c r="H162" s="2"/>
      <c r="I162" s="2"/>
    </row>
    <row r="163" spans="3:16" ht="15.75" customHeight="1">
      <c r="D163" s="131"/>
      <c r="E163" s="132"/>
      <c r="F163" s="132"/>
      <c r="G163" s="132"/>
      <c r="H163" s="132"/>
      <c r="I163" s="132"/>
    </row>
    <row r="164" spans="3:16" ht="15" customHeight="1">
      <c r="D164" s="133"/>
      <c r="E164" s="134"/>
      <c r="F164" s="134"/>
      <c r="G164" s="134"/>
      <c r="H164" s="134"/>
      <c r="I164" s="134"/>
    </row>
    <row r="165" spans="3:16" ht="15" customHeight="1">
      <c r="C165" s="135" t="s">
        <v>194</v>
      </c>
      <c r="D165" s="133"/>
      <c r="E165" s="134"/>
      <c r="F165" s="134"/>
      <c r="G165" s="134"/>
      <c r="H165" s="134"/>
      <c r="I165" s="134"/>
    </row>
    <row r="166" spans="3:16" ht="15" customHeight="1">
      <c r="C166" s="135" t="s">
        <v>195</v>
      </c>
      <c r="D166" s="133"/>
      <c r="E166" s="134"/>
      <c r="F166" s="134"/>
      <c r="G166" s="134"/>
      <c r="H166" s="134"/>
      <c r="I166" s="134"/>
    </row>
    <row r="167" spans="3:16" ht="15" customHeight="1">
      <c r="C167" s="135" t="s">
        <v>196</v>
      </c>
      <c r="D167" s="133"/>
      <c r="E167" s="134"/>
      <c r="F167" s="134"/>
      <c r="G167" s="134"/>
      <c r="H167" s="134"/>
      <c r="I167" s="134"/>
    </row>
    <row r="168" spans="3:16" ht="15" customHeight="1">
      <c r="D168" s="133"/>
      <c r="E168" s="134"/>
      <c r="F168" s="134"/>
      <c r="G168" s="134"/>
      <c r="H168" s="134"/>
      <c r="I168" s="134"/>
    </row>
    <row r="169" spans="3:16" ht="15" customHeight="1">
      <c r="D169" s="133"/>
      <c r="E169" s="134"/>
      <c r="F169" s="134"/>
      <c r="G169" s="134"/>
      <c r="H169" s="134"/>
      <c r="I169" s="134"/>
    </row>
    <row r="171" spans="3:16" ht="15" customHeight="1">
      <c r="C171" s="16" t="s">
        <v>197</v>
      </c>
      <c r="D171" s="16"/>
      <c r="E171" s="16"/>
      <c r="F171" s="16"/>
      <c r="G171" s="16"/>
      <c r="H171" s="16"/>
      <c r="I171" s="16"/>
      <c r="J171" s="16"/>
      <c r="K171" s="16"/>
    </row>
    <row r="172" spans="3:16" ht="15.75" customHeight="1"/>
    <row r="173" spans="3:16" ht="15.75" customHeight="1">
      <c r="C173" t="s">
        <v>198</v>
      </c>
      <c r="D173" s="136" t="str">
        <f>D12</f>
        <v>Base case</v>
      </c>
      <c r="F173" s="137" t="s">
        <v>199</v>
      </c>
      <c r="G173" s="65">
        <f t="shared" ref="G173:K174" si="23">G15</f>
        <v>2019</v>
      </c>
      <c r="H173" s="65">
        <f t="shared" si="23"/>
        <v>2020</v>
      </c>
      <c r="I173" s="65">
        <f t="shared" si="23"/>
        <v>2021</v>
      </c>
      <c r="J173" s="65">
        <f t="shared" si="23"/>
        <v>2022</v>
      </c>
      <c r="K173" s="65">
        <f t="shared" si="23"/>
        <v>2023</v>
      </c>
    </row>
    <row r="174" spans="3:16" ht="15" customHeight="1">
      <c r="E174" s="138"/>
      <c r="F174" s="139" t="s">
        <v>200</v>
      </c>
      <c r="G174" s="38">
        <f t="shared" si="23"/>
        <v>43738</v>
      </c>
      <c r="H174" s="38">
        <f t="shared" si="23"/>
        <v>44104</v>
      </c>
      <c r="I174" s="38">
        <f t="shared" si="23"/>
        <v>44469</v>
      </c>
      <c r="J174" s="38">
        <f t="shared" si="23"/>
        <v>44834</v>
      </c>
      <c r="K174" s="38">
        <f t="shared" si="23"/>
        <v>45199</v>
      </c>
    </row>
    <row r="175" spans="3:16" ht="15" customHeight="1">
      <c r="C175" s="29" t="s">
        <v>30</v>
      </c>
      <c r="F175" s="140"/>
      <c r="G175" s="141"/>
      <c r="H175" s="141"/>
      <c r="I175" s="141"/>
      <c r="J175" s="141"/>
      <c r="K175" s="141"/>
      <c r="M175" s="142"/>
      <c r="O175" s="142"/>
      <c r="P175" s="142"/>
    </row>
    <row r="176" spans="3:16" ht="15" customHeight="1">
      <c r="C176" s="29" t="s">
        <v>31</v>
      </c>
      <c r="F176" s="140"/>
      <c r="G176" s="141"/>
      <c r="H176" s="141"/>
      <c r="I176" s="141"/>
      <c r="J176" s="141"/>
      <c r="K176" s="141"/>
      <c r="M176" s="142"/>
      <c r="O176" s="142"/>
      <c r="P176" s="142"/>
    </row>
    <row r="177" spans="3:19" ht="15" customHeight="1">
      <c r="C177" s="29" t="s">
        <v>32</v>
      </c>
      <c r="F177" s="140"/>
      <c r="G177" s="141"/>
      <c r="H177" s="141"/>
      <c r="I177" s="141"/>
      <c r="J177" s="141"/>
      <c r="K177" s="141"/>
      <c r="M177" s="142"/>
      <c r="O177" s="142"/>
      <c r="P177" s="142"/>
    </row>
    <row r="178" spans="3:19" ht="15" customHeight="1">
      <c r="C178" s="29" t="s">
        <v>33</v>
      </c>
      <c r="F178" s="140"/>
      <c r="G178" s="141"/>
      <c r="H178" s="141"/>
      <c r="I178" s="141"/>
      <c r="J178" s="141"/>
      <c r="K178" s="141"/>
      <c r="M178" s="142"/>
      <c r="O178" s="142"/>
      <c r="P178" s="142"/>
    </row>
    <row r="179" spans="3:19" ht="15" customHeight="1">
      <c r="F179" s="143"/>
    </row>
    <row r="180" spans="3:19" ht="15" customHeight="1">
      <c r="C180" s="70" t="s">
        <v>30</v>
      </c>
      <c r="F180" s="143"/>
    </row>
    <row r="181" spans="3:19" ht="15" customHeight="1">
      <c r="C181" s="103" t="s">
        <v>201</v>
      </c>
      <c r="F181" s="144">
        <v>2.5000000000000001E-2</v>
      </c>
      <c r="G181" s="63">
        <f>G182+$F$181</f>
        <v>-1.4999999999999999E-2</v>
      </c>
      <c r="H181" s="63">
        <f>H182+$F$181</f>
        <v>8.4999999999999992E-2</v>
      </c>
      <c r="I181" s="63">
        <f>I182+$F$181</f>
        <v>9.4E-2</v>
      </c>
      <c r="J181" s="63">
        <f>J182+$F$181</f>
        <v>9.4E-2</v>
      </c>
      <c r="K181" s="63">
        <f>K182+$F$181</f>
        <v>9.4E-2</v>
      </c>
    </row>
    <row r="182" spans="3:19" ht="15" customHeight="1">
      <c r="C182" s="103" t="s">
        <v>189</v>
      </c>
      <c r="F182" s="145" t="s">
        <v>202</v>
      </c>
      <c r="G182" s="35">
        <v>-0.04</v>
      </c>
      <c r="H182" s="35">
        <v>0.06</v>
      </c>
      <c r="I182" s="35">
        <v>6.9000000000000006E-2</v>
      </c>
      <c r="J182" s="63">
        <f>I182</f>
        <v>6.9000000000000006E-2</v>
      </c>
      <c r="K182" s="63">
        <f>J182</f>
        <v>6.9000000000000006E-2</v>
      </c>
      <c r="M182" t="s">
        <v>84</v>
      </c>
      <c r="O182" s="35"/>
      <c r="P182" s="35"/>
      <c r="Q182" s="35"/>
      <c r="R182" s="35"/>
      <c r="S182" s="35"/>
    </row>
    <row r="183" spans="3:19" ht="15" customHeight="1">
      <c r="C183" s="103" t="s">
        <v>203</v>
      </c>
      <c r="F183" s="144">
        <v>-2.5000000000000001E-2</v>
      </c>
      <c r="G183" s="63">
        <f>G182+$F$183</f>
        <v>-6.5000000000000002E-2</v>
      </c>
      <c r="H183" s="63">
        <f>H182+$F$183</f>
        <v>3.4999999999999996E-2</v>
      </c>
      <c r="I183" s="63">
        <f>I182+$F$183</f>
        <v>4.4000000000000004E-2</v>
      </c>
      <c r="J183" s="63">
        <f>J182+$F$183</f>
        <v>4.4000000000000004E-2</v>
      </c>
      <c r="K183" s="63">
        <f>K182+$F$183</f>
        <v>4.4000000000000004E-2</v>
      </c>
      <c r="O183" s="35"/>
      <c r="P183" s="35"/>
      <c r="Q183" s="35"/>
      <c r="R183" s="35"/>
      <c r="S183" s="35"/>
    </row>
    <row r="184" spans="3:19" ht="15" customHeight="1">
      <c r="C184" s="70" t="s">
        <v>31</v>
      </c>
      <c r="F184" s="145"/>
      <c r="G184" s="35"/>
      <c r="H184" s="35"/>
      <c r="I184" s="35"/>
      <c r="J184" s="35"/>
      <c r="K184" s="35"/>
      <c r="O184" s="35"/>
      <c r="P184" s="35"/>
      <c r="Q184" s="35"/>
      <c r="R184" s="35"/>
      <c r="S184" s="35"/>
    </row>
    <row r="185" spans="3:19" ht="15" customHeight="1">
      <c r="C185" s="103" t="s">
        <v>201</v>
      </c>
      <c r="F185" s="144">
        <v>0.01</v>
      </c>
      <c r="G185" s="63">
        <f>G186+$F$185</f>
        <v>0.38800000000000001</v>
      </c>
      <c r="H185" s="63">
        <f>H186+$F$185</f>
        <v>0.39</v>
      </c>
      <c r="I185" s="63">
        <f>I186+$F$185</f>
        <v>0.39200000000000002</v>
      </c>
      <c r="J185" s="63">
        <f>J186+$F$185</f>
        <v>0.39200000000000002</v>
      </c>
      <c r="K185" s="63">
        <f>K186+$F$185</f>
        <v>0.39200000000000002</v>
      </c>
    </row>
    <row r="186" spans="3:19" ht="15" customHeight="1">
      <c r="C186" s="103" t="s">
        <v>189</v>
      </c>
      <c r="F186" s="145" t="s">
        <v>202</v>
      </c>
      <c r="G186" s="35">
        <v>0.378</v>
      </c>
      <c r="H186" s="35">
        <v>0.38</v>
      </c>
      <c r="I186" s="35">
        <v>0.38200000000000001</v>
      </c>
      <c r="J186" s="63">
        <f>I186</f>
        <v>0.38200000000000001</v>
      </c>
      <c r="K186" s="63">
        <f>J186</f>
        <v>0.38200000000000001</v>
      </c>
      <c r="M186" t="s">
        <v>85</v>
      </c>
    </row>
    <row r="187" spans="3:19" ht="15" customHeight="1">
      <c r="C187" s="103" t="s">
        <v>203</v>
      </c>
      <c r="F187" s="144">
        <v>-0.01</v>
      </c>
      <c r="G187" s="63">
        <f>G186+$F$187</f>
        <v>0.36799999999999999</v>
      </c>
      <c r="H187" s="63">
        <f>H186+$F$187</f>
        <v>0.37</v>
      </c>
      <c r="I187" s="63">
        <f>I186+$F$187</f>
        <v>0.372</v>
      </c>
      <c r="J187" s="63">
        <f>J186+$F$187</f>
        <v>0.372</v>
      </c>
      <c r="K187" s="63">
        <f>K186+$F$187</f>
        <v>0.372</v>
      </c>
    </row>
    <row r="188" spans="3:19" ht="15" customHeight="1">
      <c r="C188" s="70" t="s">
        <v>32</v>
      </c>
      <c r="F188" s="145"/>
      <c r="G188" s="146"/>
      <c r="H188" s="146"/>
      <c r="I188" s="146"/>
      <c r="J188" s="146"/>
      <c r="K188" s="146"/>
    </row>
    <row r="189" spans="3:19" ht="15" customHeight="1">
      <c r="C189" s="103" t="s">
        <v>201</v>
      </c>
      <c r="F189" s="144">
        <v>-0.01</v>
      </c>
      <c r="G189" s="63">
        <f>G190+$F$189</f>
        <v>5.1999999999999998E-2</v>
      </c>
      <c r="H189" s="63">
        <f>H190+$F$189</f>
        <v>5.2999999999999999E-2</v>
      </c>
      <c r="I189" s="63">
        <f>I190+$F$189</f>
        <v>5.2999999999999999E-2</v>
      </c>
      <c r="J189" s="63">
        <f>J190+$F$189</f>
        <v>5.2999999999999999E-2</v>
      </c>
      <c r="K189" s="63">
        <f>K190+$F$189</f>
        <v>5.2999999999999999E-2</v>
      </c>
    </row>
    <row r="190" spans="3:19" ht="15" customHeight="1">
      <c r="C190" s="103" t="s">
        <v>189</v>
      </c>
      <c r="F190" s="145" t="s">
        <v>202</v>
      </c>
      <c r="G190" s="35">
        <v>6.2E-2</v>
      </c>
      <c r="H190" s="35">
        <v>6.3E-2</v>
      </c>
      <c r="I190" s="35">
        <v>6.3E-2</v>
      </c>
      <c r="J190" s="63">
        <f>I190</f>
        <v>6.3E-2</v>
      </c>
      <c r="K190" s="63">
        <f>J190</f>
        <v>6.3E-2</v>
      </c>
      <c r="M190" t="s">
        <v>86</v>
      </c>
    </row>
    <row r="191" spans="3:19" ht="15" customHeight="1">
      <c r="C191" s="103" t="s">
        <v>203</v>
      </c>
      <c r="F191" s="144">
        <v>0.01</v>
      </c>
      <c r="G191" s="63">
        <f>G190+$F$191</f>
        <v>7.1999999999999995E-2</v>
      </c>
      <c r="H191" s="63">
        <f>H190+$F$191</f>
        <v>7.2999999999999995E-2</v>
      </c>
      <c r="I191" s="63">
        <f>I190+$F$191</f>
        <v>7.2999999999999995E-2</v>
      </c>
      <c r="J191" s="63">
        <f>J190+$F$191</f>
        <v>7.2999999999999995E-2</v>
      </c>
      <c r="K191" s="63">
        <f>K190+$F$191</f>
        <v>7.2999999999999995E-2</v>
      </c>
    </row>
    <row r="192" spans="3:19" ht="15" customHeight="1">
      <c r="C192" s="70" t="s">
        <v>33</v>
      </c>
      <c r="F192" s="145"/>
      <c r="G192" s="146"/>
      <c r="H192" s="146"/>
      <c r="I192" s="146"/>
      <c r="J192" s="146"/>
      <c r="K192" s="146"/>
    </row>
    <row r="193" spans="3:13" ht="15" customHeight="1">
      <c r="C193" s="103" t="s">
        <v>201</v>
      </c>
      <c r="F193" s="144">
        <v>-0.01</v>
      </c>
      <c r="G193" s="63">
        <f>G194+$F$193</f>
        <v>6.4000000000000001E-2</v>
      </c>
      <c r="H193" s="63">
        <f>H194+$F$193</f>
        <v>5.9000000000000004E-2</v>
      </c>
      <c r="I193" s="63">
        <f>I194+$F$193</f>
        <v>5.9000000000000004E-2</v>
      </c>
      <c r="J193" s="63">
        <f>J194+$F$193</f>
        <v>5.9000000000000004E-2</v>
      </c>
      <c r="K193" s="63">
        <f>K194+$F$193</f>
        <v>5.9000000000000004E-2</v>
      </c>
    </row>
    <row r="194" spans="3:13" ht="15" customHeight="1">
      <c r="C194" s="103" t="s">
        <v>189</v>
      </c>
      <c r="F194" s="145" t="s">
        <v>202</v>
      </c>
      <c r="G194" s="35">
        <v>7.3999999999999996E-2</v>
      </c>
      <c r="H194" s="35">
        <v>6.9000000000000006E-2</v>
      </c>
      <c r="I194" s="35">
        <v>6.9000000000000006E-2</v>
      </c>
      <c r="J194" s="63">
        <f>I194</f>
        <v>6.9000000000000006E-2</v>
      </c>
      <c r="K194" s="63">
        <f>J194</f>
        <v>6.9000000000000006E-2</v>
      </c>
      <c r="M194" t="s">
        <v>86</v>
      </c>
    </row>
    <row r="195" spans="3:13" ht="15.75" customHeight="1">
      <c r="C195" s="103" t="s">
        <v>203</v>
      </c>
      <c r="F195" s="147">
        <v>0.01</v>
      </c>
      <c r="G195" s="63">
        <f>G194+$F$195</f>
        <v>8.3999999999999991E-2</v>
      </c>
      <c r="H195" s="63">
        <f>H194+$F$195</f>
        <v>7.9000000000000001E-2</v>
      </c>
      <c r="I195" s="63">
        <f>I194+$F$195</f>
        <v>7.9000000000000001E-2</v>
      </c>
      <c r="J195" s="63">
        <f>J194+$F$195</f>
        <v>7.9000000000000001E-2</v>
      </c>
      <c r="K195" s="63">
        <f>K194+$F$195</f>
        <v>7.9000000000000001E-2</v>
      </c>
    </row>
    <row r="197" spans="3:13" ht="15" customHeight="1">
      <c r="C197" s="16" t="s">
        <v>204</v>
      </c>
      <c r="D197" s="16"/>
      <c r="E197" s="16"/>
      <c r="F197" s="16"/>
      <c r="G197" s="16"/>
      <c r="H197" s="16"/>
      <c r="I197" s="16"/>
      <c r="J197" s="16"/>
      <c r="K197" s="16"/>
    </row>
    <row r="198" spans="3:13" ht="15" customHeight="1">
      <c r="C198" s="36" t="str">
        <f t="shared" ref="C198:K198" si="24">C15</f>
        <v xml:space="preserve">Fiscal year  </v>
      </c>
      <c r="D198" s="37">
        <f t="shared" si="24"/>
        <v>2016</v>
      </c>
      <c r="E198" s="37">
        <f t="shared" si="24"/>
        <v>2017</v>
      </c>
      <c r="F198" s="37">
        <f t="shared" si="24"/>
        <v>2018</v>
      </c>
      <c r="G198" s="65">
        <f t="shared" si="24"/>
        <v>2019</v>
      </c>
      <c r="H198" s="65">
        <f t="shared" si="24"/>
        <v>2020</v>
      </c>
      <c r="I198" s="65">
        <f t="shared" si="24"/>
        <v>2021</v>
      </c>
      <c r="J198" s="65">
        <f t="shared" si="24"/>
        <v>2022</v>
      </c>
      <c r="K198" s="65">
        <f t="shared" si="24"/>
        <v>2023</v>
      </c>
    </row>
    <row r="199" spans="3:13" ht="15" customHeight="1">
      <c r="C199" s="17" t="str">
        <f t="shared" ref="C199:K199" si="25">C16</f>
        <v>Fiscal year end date</v>
      </c>
      <c r="D199" s="38">
        <f t="shared" si="25"/>
        <v>42643</v>
      </c>
      <c r="E199" s="38">
        <f t="shared" si="25"/>
        <v>43008</v>
      </c>
      <c r="F199" s="38">
        <f t="shared" si="25"/>
        <v>43372</v>
      </c>
      <c r="G199" s="38">
        <f t="shared" si="25"/>
        <v>43738</v>
      </c>
      <c r="H199" s="38">
        <f t="shared" si="25"/>
        <v>44104</v>
      </c>
      <c r="I199" s="38">
        <f t="shared" si="25"/>
        <v>44469</v>
      </c>
      <c r="J199" s="38">
        <f t="shared" si="25"/>
        <v>44834</v>
      </c>
      <c r="K199" s="38">
        <f t="shared" si="25"/>
        <v>45199</v>
      </c>
    </row>
    <row r="200" spans="3:13" ht="15" customHeight="1">
      <c r="G200" s="35"/>
      <c r="H200" s="35"/>
      <c r="I200" s="35"/>
      <c r="J200" s="63"/>
      <c r="K200" s="63"/>
    </row>
    <row r="201" spans="3:13" ht="15" customHeight="1">
      <c r="C201" t="s">
        <v>24</v>
      </c>
      <c r="D201" s="61">
        <f>D29</f>
        <v>45687</v>
      </c>
      <c r="E201" s="61">
        <f>E29</f>
        <v>48351</v>
      </c>
      <c r="F201" s="61">
        <f>F29</f>
        <v>59531</v>
      </c>
      <c r="G201" s="148"/>
      <c r="H201" s="148"/>
      <c r="I201" s="148"/>
      <c r="J201" s="148"/>
      <c r="K201" s="148"/>
      <c r="M201" t="s">
        <v>205</v>
      </c>
    </row>
    <row r="202" spans="3:13" ht="15" customHeight="1">
      <c r="C202" t="s">
        <v>206</v>
      </c>
      <c r="D202" s="26">
        <v>5470.82</v>
      </c>
      <c r="E202" s="26">
        <v>5217.2420000000002</v>
      </c>
      <c r="F202" s="26">
        <v>4955.3770000000004</v>
      </c>
      <c r="G202" s="148"/>
      <c r="H202" s="148"/>
      <c r="I202" s="148"/>
      <c r="J202" s="148"/>
      <c r="K202" s="148"/>
      <c r="M202" t="s">
        <v>207</v>
      </c>
    </row>
    <row r="203" spans="3:13" ht="15" customHeight="1">
      <c r="C203" s="27" t="s">
        <v>208</v>
      </c>
      <c r="D203" s="149">
        <f>D201/D202</f>
        <v>8.3510333003096431</v>
      </c>
      <c r="E203" s="149">
        <f>E201/E202</f>
        <v>9.2675402061088974</v>
      </c>
      <c r="F203" s="149">
        <f>F201/F202</f>
        <v>12.0134149228202</v>
      </c>
      <c r="G203" s="150"/>
      <c r="H203" s="150"/>
      <c r="I203" s="150"/>
      <c r="J203" s="150"/>
      <c r="K203" s="150"/>
      <c r="M203" t="s">
        <v>209</v>
      </c>
    </row>
    <row r="204" spans="3:13" ht="15" customHeight="1">
      <c r="D204" s="39"/>
      <c r="E204" s="39"/>
      <c r="F204" s="39"/>
      <c r="G204" s="42"/>
    </row>
    <row r="205" spans="3:13" ht="15" customHeight="1">
      <c r="C205" t="s">
        <v>210</v>
      </c>
      <c r="D205" s="26">
        <v>5500.2809999999999</v>
      </c>
      <c r="E205" s="26">
        <v>5251.692</v>
      </c>
      <c r="F205" s="26">
        <v>5000.1090000000004</v>
      </c>
      <c r="G205" s="148"/>
      <c r="H205" s="148"/>
      <c r="I205" s="148"/>
      <c r="J205" s="148"/>
      <c r="K205" s="148"/>
      <c r="M205" t="s">
        <v>211</v>
      </c>
    </row>
    <row r="206" spans="3:13" ht="15" customHeight="1">
      <c r="C206" s="27" t="s">
        <v>212</v>
      </c>
      <c r="D206" s="149">
        <f>D201/D205</f>
        <v>8.3063028961611227</v>
      </c>
      <c r="E206" s="149">
        <f>E201/E205</f>
        <v>9.2067470826545037</v>
      </c>
      <c r="F206" s="149">
        <f>F201/F205</f>
        <v>11.905940450498179</v>
      </c>
      <c r="G206" s="150"/>
      <c r="H206" s="150"/>
      <c r="I206" s="150"/>
      <c r="J206" s="150"/>
      <c r="K206" s="150"/>
      <c r="M206" t="s">
        <v>213</v>
      </c>
    </row>
    <row r="207" spans="3:13" ht="15" customHeight="1">
      <c r="G207" s="151"/>
    </row>
    <row r="208" spans="3:13" ht="15" customHeight="1">
      <c r="C208" t="s">
        <v>214</v>
      </c>
      <c r="G208" s="148"/>
      <c r="H208" s="148"/>
      <c r="I208" s="148"/>
      <c r="J208" s="148"/>
      <c r="K208" s="148"/>
      <c r="M208" t="s">
        <v>215</v>
      </c>
    </row>
    <row r="209" spans="3:13" ht="15" customHeight="1">
      <c r="C209" t="s">
        <v>216</v>
      </c>
      <c r="G209" s="148"/>
      <c r="H209" s="148"/>
      <c r="I209" s="148"/>
      <c r="J209" s="148"/>
      <c r="K209" s="148"/>
      <c r="M209" t="s">
        <v>217</v>
      </c>
    </row>
    <row r="210" spans="3:13" ht="15" customHeight="1">
      <c r="C210" t="s">
        <v>218</v>
      </c>
      <c r="G210" s="152">
        <v>180</v>
      </c>
      <c r="H210" s="153"/>
      <c r="I210" s="153"/>
      <c r="J210" s="153"/>
      <c r="K210" s="153"/>
      <c r="M210" t="s">
        <v>219</v>
      </c>
    </row>
    <row r="211" spans="3:13" ht="15" customHeight="1">
      <c r="C211" t="s">
        <v>220</v>
      </c>
      <c r="H211" s="116">
        <v>0.15</v>
      </c>
      <c r="I211" s="116">
        <v>0.15</v>
      </c>
      <c r="J211" s="116">
        <v>0.15</v>
      </c>
      <c r="K211" s="116">
        <v>0.15</v>
      </c>
      <c r="M211" t="s">
        <v>221</v>
      </c>
    </row>
    <row r="212" spans="3:13" ht="15" customHeight="1">
      <c r="M212" s="32" t="s">
        <v>222</v>
      </c>
    </row>
    <row r="213" spans="3:13" ht="15" customHeight="1">
      <c r="C213" s="27" t="s">
        <v>223</v>
      </c>
      <c r="D213" s="27"/>
      <c r="E213" s="27"/>
      <c r="F213" s="154" t="s">
        <v>224</v>
      </c>
      <c r="G213" s="155"/>
      <c r="H213" s="66"/>
      <c r="I213" s="66"/>
      <c r="J213" s="66"/>
      <c r="K213" s="66"/>
      <c r="M213" t="s">
        <v>225</v>
      </c>
    </row>
    <row r="214" spans="3:13" ht="15" customHeight="1">
      <c r="C214" t="s">
        <v>226</v>
      </c>
      <c r="G214" s="61"/>
      <c r="H214" s="61"/>
      <c r="I214" s="61"/>
      <c r="J214" s="61"/>
      <c r="K214" s="61"/>
      <c r="M214" t="s">
        <v>227</v>
      </c>
    </row>
    <row r="215" spans="3:13" ht="15" customHeight="1">
      <c r="C215" t="s">
        <v>228</v>
      </c>
      <c r="G215" s="61"/>
      <c r="H215" s="61"/>
      <c r="I215" s="61"/>
      <c r="J215" s="61"/>
      <c r="K215" s="61"/>
      <c r="M215" t="s">
        <v>229</v>
      </c>
    </row>
    <row r="216" spans="3:13" ht="15" customHeight="1">
      <c r="C216" s="27" t="s">
        <v>230</v>
      </c>
      <c r="D216" s="27"/>
      <c r="E216" s="27"/>
      <c r="F216" s="27"/>
      <c r="G216" s="66"/>
      <c r="H216" s="66"/>
      <c r="I216" s="66"/>
      <c r="J216" s="66"/>
      <c r="K216" s="66"/>
      <c r="M216" t="s">
        <v>231</v>
      </c>
    </row>
    <row r="217" spans="3:13" ht="15" customHeight="1">
      <c r="M217" s="32" t="s">
        <v>232</v>
      </c>
    </row>
    <row r="218" spans="3:13" ht="15" customHeight="1">
      <c r="C218" s="27" t="s">
        <v>24</v>
      </c>
      <c r="D218" s="66"/>
      <c r="E218" s="66"/>
      <c r="F218" s="66"/>
      <c r="G218" s="66"/>
      <c r="H218" s="66"/>
      <c r="I218" s="66"/>
      <c r="J218" s="66"/>
      <c r="K218" s="66"/>
      <c r="M218" t="s">
        <v>233</v>
      </c>
    </row>
    <row r="219" spans="3:13" ht="15" customHeight="1">
      <c r="C219" s="29" t="s">
        <v>234</v>
      </c>
      <c r="E219" s="34"/>
      <c r="F219" s="156"/>
      <c r="G219" s="156"/>
      <c r="H219" s="156"/>
      <c r="I219" s="156"/>
      <c r="J219" s="156"/>
      <c r="K219" s="156"/>
      <c r="M219" t="s">
        <v>235</v>
      </c>
    </row>
  </sheetData>
  <mergeCells count="2">
    <mergeCell ref="G96:K96"/>
    <mergeCell ref="E162:I162"/>
  </mergeCells>
  <conditionalFormatting sqref="C40">
    <cfRule type="expression" dxfId="18" priority="4">
      <formula>#REF!=$C40</formula>
    </cfRule>
  </conditionalFormatting>
  <conditionalFormatting sqref="C178">
    <cfRule type="expression" dxfId="17" priority="2">
      <formula>#REF!=$C178</formula>
    </cfRule>
  </conditionalFormatting>
  <conditionalFormatting sqref="C192">
    <cfRule type="expression" dxfId="16" priority="3">
      <formula>#REF!=$C192</formula>
    </cfRule>
  </conditionalFormatting>
  <dataValidations count="3">
    <dataValidation type="list" allowBlank="1" showInputMessage="1" showErrorMessage="1" sqref="C3" xr:uid="{00000000-0002-0000-0900-000000000000}">
      <formula1>"$ bns except per share,$ mm except per share,$ in thousands except per share"</formula1>
      <formula2>0</formula2>
    </dataValidation>
    <dataValidation type="list" allowBlank="1" showInputMessage="1" showErrorMessage="1" sqref="D12" xr:uid="{00000000-0002-0000-0900-000001000000}">
      <formula1>$C$181:$C$183</formula1>
      <formula2>0</formula2>
    </dataValidation>
    <dataValidation type="list" allowBlank="1" showInputMessage="1" showErrorMessage="1" sqref="D7" xr:uid="{00000000-0002-0000-0900-000002000000}">
      <formula1>"0,1"</formula1>
      <formula2>0</formula2>
    </dataValidation>
  </dataValidations>
  <pageMargins left="0.7" right="0.7" top="0.75" bottom="0.75" header="0.511811023622047" footer="0.511811023622047"/>
  <pageSetup orientation="portrait" horizontalDpi="300" verticalDpi="300"/>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C1:T222"/>
  <sheetViews>
    <sheetView topLeftCell="A107" zoomScaleNormal="100" workbookViewId="0">
      <selection activeCell="G107" sqref="G107"/>
    </sheetView>
  </sheetViews>
  <sheetFormatPr baseColWidth="10" defaultColWidth="8.83203125" defaultRowHeight="15"/>
  <cols>
    <col min="1" max="2" width="1.6640625" customWidth="1"/>
    <col min="3" max="3" width="46.6640625" customWidth="1"/>
    <col min="4" max="4" width="13.33203125" customWidth="1"/>
    <col min="5" max="11" width="11.5" customWidth="1"/>
    <col min="12" max="12" width="2.33203125" customWidth="1"/>
    <col min="13" max="13" width="11.5" customWidth="1"/>
    <col min="14" max="14" width="11.83203125" customWidth="1"/>
    <col min="15" max="17" width="10.33203125" customWidth="1"/>
    <col min="18" max="19" width="9.5" customWidth="1"/>
  </cols>
  <sheetData>
    <row r="1" spans="3:19" ht="15.75" customHeight="1"/>
    <row r="2" spans="3:19" ht="15.75" customHeight="1">
      <c r="C2" s="4" t="str">
        <f>"Financial Statement Model for "&amp;D5</f>
        <v>Financial Statement Model for Apple</v>
      </c>
      <c r="D2" s="5"/>
      <c r="E2" s="5"/>
      <c r="F2" s="5"/>
      <c r="G2" s="5"/>
      <c r="H2" s="5"/>
      <c r="I2" s="5"/>
      <c r="J2" s="5"/>
      <c r="K2" s="5"/>
    </row>
    <row r="3" spans="3:19" ht="15" customHeight="1">
      <c r="C3" s="6" t="s">
        <v>0</v>
      </c>
      <c r="D3" s="7"/>
      <c r="E3" s="7"/>
      <c r="F3" s="7"/>
      <c r="G3" s="7"/>
      <c r="H3" s="7"/>
    </row>
    <row r="5" spans="3:19" ht="15" customHeight="1">
      <c r="C5" s="8" t="s">
        <v>1</v>
      </c>
      <c r="D5" s="9" t="s">
        <v>2</v>
      </c>
    </row>
    <row r="6" spans="3:19" ht="15" customHeight="1">
      <c r="C6" s="8" t="s">
        <v>3</v>
      </c>
      <c r="D6" s="9" t="s">
        <v>4</v>
      </c>
    </row>
    <row r="7" spans="3:19" ht="15" customHeight="1">
      <c r="C7" t="s">
        <v>5</v>
      </c>
      <c r="D7" s="10">
        <v>1</v>
      </c>
    </row>
    <row r="8" spans="3:19" ht="15" customHeight="1">
      <c r="C8" t="s">
        <v>6</v>
      </c>
      <c r="D8" s="11">
        <v>171.25</v>
      </c>
    </row>
    <row r="9" spans="3:19" ht="15" customHeight="1">
      <c r="C9" t="s">
        <v>7</v>
      </c>
      <c r="D9" s="12">
        <v>43500</v>
      </c>
    </row>
    <row r="10" spans="3:19" ht="15" customHeight="1">
      <c r="C10" s="8" t="s">
        <v>8</v>
      </c>
      <c r="D10" s="13">
        <v>43372</v>
      </c>
    </row>
    <row r="11" spans="3:19" ht="15" customHeight="1">
      <c r="C11" t="s">
        <v>9</v>
      </c>
      <c r="D11" s="54">
        <v>4745.3980000000001</v>
      </c>
    </row>
    <row r="12" spans="3:19" ht="15" customHeight="1">
      <c r="C12" t="s">
        <v>188</v>
      </c>
      <c r="D12" s="10" t="s">
        <v>189</v>
      </c>
    </row>
    <row r="13" spans="3:19" ht="15" customHeight="1">
      <c r="C13" s="27"/>
      <c r="D13" s="27"/>
    </row>
    <row r="14" spans="3:19" ht="15" customHeight="1">
      <c r="C14" s="16" t="s">
        <v>10</v>
      </c>
      <c r="D14" s="17"/>
      <c r="E14" s="17"/>
      <c r="F14" s="17"/>
      <c r="G14" s="17"/>
      <c r="H14" s="17"/>
      <c r="I14" s="17"/>
      <c r="J14" s="17"/>
      <c r="K14" s="17"/>
    </row>
    <row r="15" spans="3:19" ht="15" customHeight="1">
      <c r="C15" t="s">
        <v>11</v>
      </c>
      <c r="D15" s="18">
        <f>E15-1</f>
        <v>2016</v>
      </c>
      <c r="E15" s="18">
        <f>F15-1</f>
        <v>2017</v>
      </c>
      <c r="F15" s="18">
        <f>YEAR(D10)</f>
        <v>2018</v>
      </c>
      <c r="G15" s="55">
        <f>F15+1</f>
        <v>2019</v>
      </c>
      <c r="H15" s="55">
        <f>G15+1</f>
        <v>2020</v>
      </c>
      <c r="I15" s="55">
        <f>H15+1</f>
        <v>2021</v>
      </c>
      <c r="J15" s="55">
        <f>I15+1</f>
        <v>2022</v>
      </c>
      <c r="K15" s="55">
        <f>J15+1</f>
        <v>2023</v>
      </c>
    </row>
    <row r="16" spans="3:19" ht="15" customHeight="1">
      <c r="C16" s="19" t="s">
        <v>12</v>
      </c>
      <c r="D16" s="20">
        <f>EOMONTH(E16,-12)</f>
        <v>42643</v>
      </c>
      <c r="E16" s="20">
        <f>EOMONTH(F16,-12)</f>
        <v>43008</v>
      </c>
      <c r="F16" s="20">
        <f>D10</f>
        <v>43372</v>
      </c>
      <c r="G16" s="20">
        <f>EOMONTH(F16,12)</f>
        <v>43738</v>
      </c>
      <c r="H16" s="20">
        <f>EOMONTH(G16,12)</f>
        <v>44104</v>
      </c>
      <c r="I16" s="20">
        <f>EOMONTH(H16,12)</f>
        <v>44469</v>
      </c>
      <c r="J16" s="20">
        <f>EOMONTH(I16,12)</f>
        <v>44834</v>
      </c>
      <c r="K16" s="20">
        <f>EOMONTH(J16,12)</f>
        <v>45199</v>
      </c>
      <c r="M16" s="16" t="s">
        <v>66</v>
      </c>
      <c r="N16" s="17"/>
      <c r="O16" s="17"/>
      <c r="P16" s="17"/>
      <c r="Q16" s="17"/>
      <c r="R16" s="17"/>
      <c r="S16" s="17"/>
    </row>
    <row r="17" spans="3:14" ht="15" customHeight="1">
      <c r="C17" s="23"/>
      <c r="D17" s="24"/>
      <c r="E17" s="25"/>
      <c r="F17" s="25"/>
      <c r="G17" s="56"/>
      <c r="H17" s="57"/>
      <c r="I17" s="57"/>
      <c r="J17" s="25"/>
      <c r="K17" s="25"/>
    </row>
    <row r="18" spans="3:14" ht="15" customHeight="1">
      <c r="C18" t="s">
        <v>13</v>
      </c>
      <c r="D18" s="39">
        <v>215639</v>
      </c>
      <c r="E18" s="39">
        <v>229234</v>
      </c>
      <c r="F18" s="39">
        <v>265595</v>
      </c>
      <c r="G18" s="44">
        <f ca="1">F18*(1+G37)</f>
        <v>254971.19999999998</v>
      </c>
      <c r="H18" s="44">
        <f ca="1">G18*(1+H37)</f>
        <v>270269.47200000001</v>
      </c>
      <c r="I18" s="44">
        <f ca="1">H18*(1+I37)</f>
        <v>288918.06556800002</v>
      </c>
      <c r="J18" s="44">
        <f ca="1">I18*(1+J37)</f>
        <v>308853.41209219198</v>
      </c>
      <c r="K18" s="44">
        <f ca="1">J18*(1+K37)</f>
        <v>330164.29752655321</v>
      </c>
      <c r="M18" t="s">
        <v>67</v>
      </c>
    </row>
    <row r="19" spans="3:14" ht="15" customHeight="1">
      <c r="C19" t="s">
        <v>14</v>
      </c>
      <c r="D19" s="39">
        <v>-131376</v>
      </c>
      <c r="E19" s="39">
        <v>-141048</v>
      </c>
      <c r="F19" s="39">
        <v>-163756</v>
      </c>
      <c r="G19" s="44">
        <f ca="1">G20-G18</f>
        <v>-158592.08639999997</v>
      </c>
      <c r="H19" s="44">
        <f ca="1">H20-H18</f>
        <v>-167296.80316800001</v>
      </c>
      <c r="I19" s="44">
        <f ca="1">I20-I18</f>
        <v>-178551.36452102399</v>
      </c>
      <c r="J19" s="44">
        <f ca="1">J20-J18</f>
        <v>-190871.40867297465</v>
      </c>
      <c r="K19" s="44">
        <f ca="1">K20-K18</f>
        <v>-204041.53587140987</v>
      </c>
      <c r="M19" t="s">
        <v>68</v>
      </c>
    </row>
    <row r="20" spans="3:14" ht="15" customHeight="1">
      <c r="C20" s="27" t="s">
        <v>15</v>
      </c>
      <c r="D20" s="41">
        <f>SUM(D18:D19)</f>
        <v>84263</v>
      </c>
      <c r="E20" s="41">
        <f>SUM(E18:E19)</f>
        <v>88186</v>
      </c>
      <c r="F20" s="41">
        <f>SUM(F18:F19)</f>
        <v>101839</v>
      </c>
      <c r="G20" s="41">
        <f ca="1">G18*G38</f>
        <v>96379.113599999997</v>
      </c>
      <c r="H20" s="41">
        <f ca="1">H18*H38</f>
        <v>102972.66883200001</v>
      </c>
      <c r="I20" s="41">
        <f ca="1">I18*I38</f>
        <v>110366.70104697601</v>
      </c>
      <c r="J20" s="41">
        <f ca="1">J18*J38</f>
        <v>117982.00341921733</v>
      </c>
      <c r="K20" s="41">
        <f ca="1">K18*K38</f>
        <v>126122.76165514333</v>
      </c>
      <c r="M20" t="s">
        <v>69</v>
      </c>
    </row>
    <row r="21" spans="3:14" ht="15" customHeight="1">
      <c r="C21" t="s">
        <v>16</v>
      </c>
      <c r="D21" s="39">
        <v>-10045</v>
      </c>
      <c r="E21" s="39">
        <v>-11581</v>
      </c>
      <c r="F21" s="39">
        <v>-14236</v>
      </c>
      <c r="G21" s="44">
        <f ca="1">-G39*G18</f>
        <v>-15808.214399999999</v>
      </c>
      <c r="H21" s="44">
        <f ca="1">-H39*H18</f>
        <v>-17026.976736000001</v>
      </c>
      <c r="I21" s="44">
        <f ca="1">-I39*I18</f>
        <v>-18201.838130784003</v>
      </c>
      <c r="J21" s="44">
        <f ca="1">-J39*J18</f>
        <v>-19457.764961808094</v>
      </c>
      <c r="K21" s="44">
        <f ca="1">-K39*K18</f>
        <v>-20800.350744172854</v>
      </c>
      <c r="M21" t="s">
        <v>70</v>
      </c>
    </row>
    <row r="22" spans="3:14" ht="15" customHeight="1">
      <c r="C22" t="s">
        <v>17</v>
      </c>
      <c r="D22" s="39">
        <v>-14194</v>
      </c>
      <c r="E22" s="39">
        <v>-15261</v>
      </c>
      <c r="F22" s="39">
        <v>-16705</v>
      </c>
      <c r="G22" s="44">
        <f ca="1">-G18*G40</f>
        <v>-18867.868799999997</v>
      </c>
      <c r="H22" s="44">
        <f ca="1">-H18*H40</f>
        <v>-18648.593568000004</v>
      </c>
      <c r="I22" s="44">
        <f ca="1">-I18*I40</f>
        <v>-19935.346524192002</v>
      </c>
      <c r="J22" s="44">
        <f ca="1">-J18*J40</f>
        <v>-21310.885434361247</v>
      </c>
      <c r="K22" s="44">
        <f ca="1">-K18*K40</f>
        <v>-22781.336529332173</v>
      </c>
      <c r="M22" t="s">
        <v>71</v>
      </c>
    </row>
    <row r="23" spans="3:14" ht="15" customHeight="1">
      <c r="C23" s="27" t="s">
        <v>18</v>
      </c>
      <c r="D23" s="41">
        <f t="shared" ref="D23:K23" si="0">D20+D21+D22</f>
        <v>60024</v>
      </c>
      <c r="E23" s="41">
        <f t="shared" si="0"/>
        <v>61344</v>
      </c>
      <c r="F23" s="41">
        <f t="shared" si="0"/>
        <v>70898</v>
      </c>
      <c r="G23" s="41">
        <f t="shared" ca="1" si="0"/>
        <v>61703.030400000003</v>
      </c>
      <c r="H23" s="41">
        <f t="shared" ca="1" si="0"/>
        <v>67297.098528000002</v>
      </c>
      <c r="I23" s="41">
        <f t="shared" ca="1" si="0"/>
        <v>72229.516392000005</v>
      </c>
      <c r="J23" s="41">
        <f t="shared" ca="1" si="0"/>
        <v>77213.353023047996</v>
      </c>
      <c r="K23" s="41">
        <f t="shared" ca="1" si="0"/>
        <v>82541.074381638304</v>
      </c>
      <c r="M23" s="27" t="s">
        <v>72</v>
      </c>
    </row>
    <row r="24" spans="3:14" ht="15" customHeight="1">
      <c r="C24" t="s">
        <v>19</v>
      </c>
      <c r="D24" s="39">
        <v>3999</v>
      </c>
      <c r="E24" s="39">
        <v>5201</v>
      </c>
      <c r="F24" s="39">
        <v>5686</v>
      </c>
      <c r="G24" s="42">
        <f ca="1">G157</f>
        <v>4744.4371106301642</v>
      </c>
      <c r="H24" s="42">
        <f ca="1">H157</f>
        <v>4090.2133392642463</v>
      </c>
      <c r="I24" s="42">
        <f ca="1">I157</f>
        <v>3592.0870665129901</v>
      </c>
      <c r="J24" s="42">
        <f ca="1">J157</f>
        <v>3200.5876330043361</v>
      </c>
      <c r="K24" s="42">
        <f ca="1">K157</f>
        <v>2913.259316698618</v>
      </c>
      <c r="M24" t="s">
        <v>73</v>
      </c>
    </row>
    <row r="25" spans="3:14" ht="15" customHeight="1">
      <c r="C25" t="s">
        <v>20</v>
      </c>
      <c r="D25" s="39">
        <v>-1456</v>
      </c>
      <c r="E25" s="39">
        <v>-2323</v>
      </c>
      <c r="F25" s="39">
        <v>-3240</v>
      </c>
      <c r="G25" s="42">
        <f ca="1">-G143</f>
        <v>-3223.1468651501777</v>
      </c>
      <c r="H25" s="42">
        <f ca="1">-H143</f>
        <v>-3223.5392651501775</v>
      </c>
      <c r="I25" s="42">
        <f ca="1">-I143</f>
        <v>-3223.5392651501775</v>
      </c>
      <c r="J25" s="42">
        <f ca="1">-J143</f>
        <v>-3223.5392651501775</v>
      </c>
      <c r="K25" s="42">
        <f ca="1">-K143</f>
        <v>-3223.5392651501775</v>
      </c>
      <c r="M25" t="s">
        <v>74</v>
      </c>
    </row>
    <row r="26" spans="3:14" ht="15" customHeight="1">
      <c r="C26" t="s">
        <v>21</v>
      </c>
      <c r="D26" s="39">
        <v>-1195</v>
      </c>
      <c r="E26" s="39">
        <v>-133</v>
      </c>
      <c r="F26" s="39">
        <v>-441</v>
      </c>
      <c r="G26" s="42">
        <f>F26</f>
        <v>-441</v>
      </c>
      <c r="H26" s="42">
        <f>G26</f>
        <v>-441</v>
      </c>
      <c r="I26" s="42">
        <f>H26</f>
        <v>-441</v>
      </c>
      <c r="J26" s="42">
        <f>I26</f>
        <v>-441</v>
      </c>
      <c r="K26" s="42">
        <f>J26</f>
        <v>-441</v>
      </c>
      <c r="M26" t="s">
        <v>75</v>
      </c>
    </row>
    <row r="27" spans="3:14" ht="15" customHeight="1">
      <c r="C27" s="27" t="s">
        <v>22</v>
      </c>
      <c r="D27" s="41">
        <f t="shared" ref="D27:K27" si="1">SUM(D23:D26)</f>
        <v>61372</v>
      </c>
      <c r="E27" s="41">
        <f t="shared" si="1"/>
        <v>64089</v>
      </c>
      <c r="F27" s="41">
        <f t="shared" si="1"/>
        <v>72903</v>
      </c>
      <c r="G27" s="41">
        <f t="shared" ca="1" si="1"/>
        <v>62783.320645479995</v>
      </c>
      <c r="H27" s="41">
        <f t="shared" ca="1" si="1"/>
        <v>67722.77260211407</v>
      </c>
      <c r="I27" s="41">
        <f t="shared" ca="1" si="1"/>
        <v>72157.064193362821</v>
      </c>
      <c r="J27" s="41">
        <f t="shared" ca="1" si="1"/>
        <v>76749.40139090216</v>
      </c>
      <c r="K27" s="41">
        <f t="shared" ca="1" si="1"/>
        <v>81789.794433186747</v>
      </c>
      <c r="M27" s="27" t="s">
        <v>76</v>
      </c>
      <c r="N27" s="27"/>
    </row>
    <row r="28" spans="3:14" ht="15" customHeight="1">
      <c r="C28" t="s">
        <v>23</v>
      </c>
      <c r="D28" s="39">
        <v>-15685</v>
      </c>
      <c r="E28" s="39">
        <v>-15738</v>
      </c>
      <c r="F28" s="39">
        <v>-13372</v>
      </c>
      <c r="G28" s="44">
        <f ca="1">-G41*G27</f>
        <v>-10484.81454779516</v>
      </c>
      <c r="H28" s="44">
        <f ca="1">-H41*H27</f>
        <v>-11512.871342359393</v>
      </c>
      <c r="I28" s="44">
        <f ca="1">-I41*I27</f>
        <v>-12194.543848678317</v>
      </c>
      <c r="J28" s="44">
        <f ca="1">-J41*J27</f>
        <v>-12970.648835062466</v>
      </c>
      <c r="K28" s="44">
        <f ca="1">-K41*K27</f>
        <v>-13822.475259208561</v>
      </c>
      <c r="M28" t="s">
        <v>77</v>
      </c>
    </row>
    <row r="29" spans="3:14" ht="15" customHeight="1">
      <c r="C29" s="27" t="s">
        <v>24</v>
      </c>
      <c r="D29" s="41">
        <f t="shared" ref="D29:K29" si="2">SUM(D27:D28)</f>
        <v>45687</v>
      </c>
      <c r="E29" s="41">
        <f t="shared" si="2"/>
        <v>48351</v>
      </c>
      <c r="F29" s="41">
        <f t="shared" si="2"/>
        <v>59531</v>
      </c>
      <c r="G29" s="41">
        <f t="shared" ca="1" si="2"/>
        <v>52298.506097684833</v>
      </c>
      <c r="H29" s="41">
        <f t="shared" ca="1" si="2"/>
        <v>56209.901259754675</v>
      </c>
      <c r="I29" s="41">
        <f t="shared" ca="1" si="2"/>
        <v>59962.520344684504</v>
      </c>
      <c r="J29" s="41">
        <f t="shared" ca="1" si="2"/>
        <v>63778.752555839696</v>
      </c>
      <c r="K29" s="41">
        <f t="shared" ca="1" si="2"/>
        <v>67967.319173978191</v>
      </c>
      <c r="M29" s="27" t="s">
        <v>78</v>
      </c>
    </row>
    <row r="30" spans="3:14" ht="15" customHeight="1">
      <c r="C30" s="29"/>
      <c r="D30" s="42"/>
      <c r="E30" s="42"/>
      <c r="F30" s="42"/>
      <c r="G30" s="42"/>
      <c r="H30" s="42"/>
      <c r="I30" s="42"/>
      <c r="J30" s="42"/>
      <c r="K30" s="42"/>
    </row>
    <row r="31" spans="3:14" ht="15" customHeight="1">
      <c r="C31" s="30" t="s">
        <v>25</v>
      </c>
      <c r="D31" s="39">
        <v>10505</v>
      </c>
      <c r="E31" s="39">
        <v>10157</v>
      </c>
      <c r="F31" s="39">
        <v>10903</v>
      </c>
      <c r="G31" s="42">
        <f ca="1">G107</f>
        <v>11085.020171261172</v>
      </c>
      <c r="H31" s="42">
        <f ca="1">H107</f>
        <v>11711.890744865921</v>
      </c>
      <c r="I31" s="42">
        <f ca="1">I107</f>
        <v>12226.380531123083</v>
      </c>
      <c r="J31" s="42">
        <f ca="1">J107</f>
        <v>13365.451007770575</v>
      </c>
      <c r="K31" s="42">
        <f ca="1">K107</f>
        <v>14603.503412486743</v>
      </c>
      <c r="M31" t="s">
        <v>79</v>
      </c>
    </row>
    <row r="32" spans="3:14" ht="15" customHeight="1">
      <c r="C32" s="31" t="s">
        <v>26</v>
      </c>
      <c r="D32" s="41">
        <f t="shared" ref="D32:K32" si="3">D23+D31</f>
        <v>70529</v>
      </c>
      <c r="E32" s="41">
        <f t="shared" si="3"/>
        <v>71501</v>
      </c>
      <c r="F32" s="41">
        <f t="shared" si="3"/>
        <v>81801</v>
      </c>
      <c r="G32" s="41">
        <f t="shared" ca="1" si="3"/>
        <v>72788.050571261178</v>
      </c>
      <c r="H32" s="41">
        <f t="shared" ca="1" si="3"/>
        <v>79008.989272865918</v>
      </c>
      <c r="I32" s="41">
        <f t="shared" ca="1" si="3"/>
        <v>84455.896923123088</v>
      </c>
      <c r="J32" s="41">
        <f t="shared" ca="1" si="3"/>
        <v>90578.804030818574</v>
      </c>
      <c r="K32" s="41">
        <f t="shared" ca="1" si="3"/>
        <v>97144.577794125042</v>
      </c>
      <c r="M32" s="27" t="s">
        <v>80</v>
      </c>
    </row>
    <row r="33" spans="3:20" ht="15" customHeight="1">
      <c r="C33" s="30" t="s">
        <v>27</v>
      </c>
      <c r="D33" s="39">
        <v>4210</v>
      </c>
      <c r="E33" s="39">
        <v>4840</v>
      </c>
      <c r="F33" s="39">
        <v>5340</v>
      </c>
      <c r="G33" s="42">
        <f ca="1">F33*(1+G37)</f>
        <v>5126.3999999999996</v>
      </c>
      <c r="H33" s="42">
        <f ca="1">G33*(1+H37)</f>
        <v>5433.9839999999995</v>
      </c>
      <c r="I33" s="42">
        <f ca="1">H33*(1+I37)</f>
        <v>5808.9288959999994</v>
      </c>
      <c r="J33" s="42">
        <f ca="1">I33*(1+J37)</f>
        <v>6209.7449898239993</v>
      </c>
      <c r="K33" s="42">
        <f ca="1">J33*(1+K37)</f>
        <v>6638.2173941218552</v>
      </c>
      <c r="M33" t="s">
        <v>81</v>
      </c>
    </row>
    <row r="34" spans="3:20" ht="15" customHeight="1">
      <c r="C34" s="31" t="s">
        <v>28</v>
      </c>
      <c r="D34" s="41">
        <f t="shared" ref="D34:K34" si="4">SUM(D32:D33)</f>
        <v>74739</v>
      </c>
      <c r="E34" s="41">
        <f t="shared" si="4"/>
        <v>76341</v>
      </c>
      <c r="F34" s="41">
        <f t="shared" si="4"/>
        <v>87141</v>
      </c>
      <c r="G34" s="41">
        <f t="shared" ca="1" si="4"/>
        <v>77914.450571261172</v>
      </c>
      <c r="H34" s="41">
        <f t="shared" ca="1" si="4"/>
        <v>84442.973272865915</v>
      </c>
      <c r="I34" s="41">
        <f t="shared" ca="1" si="4"/>
        <v>90264.825819123085</v>
      </c>
      <c r="J34" s="41">
        <f t="shared" ca="1" si="4"/>
        <v>96788.549020642575</v>
      </c>
      <c r="K34" s="41">
        <f t="shared" ca="1" si="4"/>
        <v>103782.79518824689</v>
      </c>
      <c r="M34" s="27" t="s">
        <v>82</v>
      </c>
    </row>
    <row r="35" spans="3:20" ht="15" customHeight="1">
      <c r="C35" s="29"/>
      <c r="G35" s="62"/>
    </row>
    <row r="36" spans="3:20" ht="15" customHeight="1">
      <c r="C36" s="32" t="s">
        <v>83</v>
      </c>
    </row>
    <row r="37" spans="3:20" ht="15" customHeight="1">
      <c r="C37" s="29" t="s">
        <v>30</v>
      </c>
      <c r="D37" s="63"/>
      <c r="E37" s="63">
        <f>E18/D18-1</f>
        <v>6.304518199398057E-2</v>
      </c>
      <c r="F37" s="63">
        <f>F18/E18-1</f>
        <v>0.15861957650261305</v>
      </c>
      <c r="G37" s="63">
        <f t="shared" ref="G37:K40" ca="1" si="5">G175</f>
        <v>-0.04</v>
      </c>
      <c r="H37" s="63">
        <f t="shared" ca="1" si="5"/>
        <v>0.06</v>
      </c>
      <c r="I37" s="63">
        <f t="shared" ca="1" si="5"/>
        <v>6.9000000000000006E-2</v>
      </c>
      <c r="J37" s="63">
        <f t="shared" ca="1" si="5"/>
        <v>6.9000000000000006E-2</v>
      </c>
      <c r="K37" s="63">
        <f t="shared" ca="1" si="5"/>
        <v>6.9000000000000006E-2</v>
      </c>
      <c r="M37" t="s">
        <v>190</v>
      </c>
      <c r="O37" s="35"/>
      <c r="P37" s="35"/>
      <c r="Q37" s="35"/>
      <c r="R37" s="35"/>
      <c r="S37" s="35"/>
      <c r="T37" s="35"/>
    </row>
    <row r="38" spans="3:20" ht="15" customHeight="1">
      <c r="C38" s="29" t="s">
        <v>31</v>
      </c>
      <c r="D38" s="63">
        <f>D20/D18</f>
        <v>0.39075955648097049</v>
      </c>
      <c r="E38" s="63">
        <f>E20/E18</f>
        <v>0.38469860491899105</v>
      </c>
      <c r="F38" s="63">
        <f>F20/F18</f>
        <v>0.38343718820007905</v>
      </c>
      <c r="G38" s="63">
        <f t="shared" ca="1" si="5"/>
        <v>0.378</v>
      </c>
      <c r="H38" s="63">
        <f t="shared" ca="1" si="5"/>
        <v>0.38100000000000001</v>
      </c>
      <c r="I38" s="63">
        <f t="shared" ca="1" si="5"/>
        <v>0.38200000000000001</v>
      </c>
      <c r="J38" s="63">
        <f t="shared" ca="1" si="5"/>
        <v>0.38200000000000001</v>
      </c>
      <c r="K38" s="63">
        <f t="shared" ca="1" si="5"/>
        <v>0.38200000000000001</v>
      </c>
      <c r="M38" t="s">
        <v>190</v>
      </c>
      <c r="O38" s="35"/>
      <c r="P38" s="35"/>
      <c r="Q38" s="35"/>
      <c r="R38" s="35"/>
      <c r="S38" s="35"/>
      <c r="T38" s="35"/>
    </row>
    <row r="39" spans="3:20" ht="15" customHeight="1">
      <c r="C39" s="29" t="s">
        <v>32</v>
      </c>
      <c r="D39" s="63">
        <f>-D21/D18</f>
        <v>4.6582482760539605E-2</v>
      </c>
      <c r="E39" s="63">
        <f>-E21/E18</f>
        <v>5.0520428906706681E-2</v>
      </c>
      <c r="F39" s="63">
        <f>-F21/F18</f>
        <v>5.3600406634161032E-2</v>
      </c>
      <c r="G39" s="63">
        <f t="shared" ca="1" si="5"/>
        <v>6.2E-2</v>
      </c>
      <c r="H39" s="63">
        <f t="shared" ca="1" si="5"/>
        <v>6.3E-2</v>
      </c>
      <c r="I39" s="63">
        <f t="shared" ca="1" si="5"/>
        <v>6.3E-2</v>
      </c>
      <c r="J39" s="63">
        <f t="shared" ca="1" si="5"/>
        <v>6.3E-2</v>
      </c>
      <c r="K39" s="63">
        <f t="shared" ca="1" si="5"/>
        <v>6.3E-2</v>
      </c>
      <c r="M39" t="s">
        <v>190</v>
      </c>
      <c r="O39" s="35"/>
      <c r="P39" s="35"/>
      <c r="Q39" s="35"/>
      <c r="R39" s="35"/>
      <c r="S39" s="35"/>
      <c r="T39" s="35"/>
    </row>
    <row r="40" spans="3:20" ht="15" customHeight="1">
      <c r="C40" s="29" t="s">
        <v>33</v>
      </c>
      <c r="D40" s="63">
        <f>-D22/D18</f>
        <v>6.5822972653369755E-2</v>
      </c>
      <c r="E40" s="63">
        <f>-E22/E18</f>
        <v>6.6573893924984945E-2</v>
      </c>
      <c r="F40" s="63">
        <f>-F22/F18</f>
        <v>6.2896515371147807E-2</v>
      </c>
      <c r="G40" s="63">
        <f t="shared" ca="1" si="5"/>
        <v>7.3999999999999996E-2</v>
      </c>
      <c r="H40" s="63">
        <f t="shared" ca="1" si="5"/>
        <v>6.9000000000000006E-2</v>
      </c>
      <c r="I40" s="63">
        <f t="shared" ca="1" si="5"/>
        <v>6.9000000000000006E-2</v>
      </c>
      <c r="J40" s="63">
        <f t="shared" ca="1" si="5"/>
        <v>6.9000000000000006E-2</v>
      </c>
      <c r="K40" s="63">
        <f t="shared" ca="1" si="5"/>
        <v>6.9000000000000006E-2</v>
      </c>
      <c r="M40" t="s">
        <v>190</v>
      </c>
      <c r="O40" s="35"/>
      <c r="P40" s="35"/>
      <c r="Q40" s="35"/>
      <c r="R40" s="35"/>
      <c r="S40" s="35"/>
      <c r="T40" s="35"/>
    </row>
    <row r="41" spans="3:20" ht="15" customHeight="1">
      <c r="C41" s="29" t="s">
        <v>34</v>
      </c>
      <c r="D41" s="63">
        <f>-(D28/D27)</f>
        <v>0.25557257381216192</v>
      </c>
      <c r="E41" s="63">
        <f>-(E28/E27)</f>
        <v>0.24556476150353415</v>
      </c>
      <c r="F41" s="63">
        <f>-(F28/F27)</f>
        <v>0.18342180705869443</v>
      </c>
      <c r="G41" s="35">
        <v>0.16700000000000001</v>
      </c>
      <c r="H41" s="35">
        <v>0.17</v>
      </c>
      <c r="I41" s="35">
        <v>0.16900000000000001</v>
      </c>
      <c r="J41" s="63">
        <f>I41</f>
        <v>0.16900000000000001</v>
      </c>
      <c r="K41" s="63">
        <f>J41</f>
        <v>0.16900000000000001</v>
      </c>
      <c r="M41" t="s">
        <v>86</v>
      </c>
      <c r="O41" s="35"/>
      <c r="P41" s="35"/>
      <c r="Q41" s="35"/>
      <c r="R41" s="35"/>
      <c r="S41" s="35"/>
      <c r="T41" s="35"/>
    </row>
    <row r="42" spans="3:20" ht="15" customHeight="1">
      <c r="C42" s="29"/>
      <c r="G42" s="62"/>
    </row>
    <row r="43" spans="3:20" ht="15" customHeight="1">
      <c r="C43" s="16" t="s">
        <v>35</v>
      </c>
      <c r="D43" s="20"/>
      <c r="E43" s="20"/>
      <c r="F43" s="20"/>
      <c r="G43" s="17"/>
      <c r="H43" s="17"/>
      <c r="I43" s="17"/>
      <c r="J43" s="17"/>
      <c r="K43" s="17"/>
    </row>
    <row r="44" spans="3:20" ht="15" customHeight="1">
      <c r="C44" s="36" t="str">
        <f>C15</f>
        <v xml:space="preserve">Fiscal year  </v>
      </c>
      <c r="D44" s="37"/>
      <c r="E44" s="37">
        <f t="shared" ref="E44:K45" si="6">E15</f>
        <v>2017</v>
      </c>
      <c r="F44" s="37">
        <f t="shared" si="6"/>
        <v>2018</v>
      </c>
      <c r="G44" s="65">
        <f t="shared" si="6"/>
        <v>2019</v>
      </c>
      <c r="H44" s="65">
        <f t="shared" si="6"/>
        <v>2020</v>
      </c>
      <c r="I44" s="65">
        <f t="shared" si="6"/>
        <v>2021</v>
      </c>
      <c r="J44" s="65">
        <f t="shared" si="6"/>
        <v>2022</v>
      </c>
      <c r="K44" s="65">
        <f t="shared" si="6"/>
        <v>2023</v>
      </c>
    </row>
    <row r="45" spans="3:20" ht="15" customHeight="1">
      <c r="C45" s="17" t="str">
        <f>C16</f>
        <v>Fiscal year end date</v>
      </c>
      <c r="D45" s="38"/>
      <c r="E45" s="38">
        <f t="shared" si="6"/>
        <v>43008</v>
      </c>
      <c r="F45" s="38">
        <f t="shared" si="6"/>
        <v>43372</v>
      </c>
      <c r="G45" s="38">
        <f t="shared" si="6"/>
        <v>43738</v>
      </c>
      <c r="H45" s="38">
        <f t="shared" si="6"/>
        <v>44104</v>
      </c>
      <c r="I45" s="38">
        <f t="shared" si="6"/>
        <v>44469</v>
      </c>
      <c r="J45" s="38">
        <f t="shared" si="6"/>
        <v>44834</v>
      </c>
      <c r="K45" s="38">
        <f t="shared" si="6"/>
        <v>45199</v>
      </c>
    </row>
    <row r="46" spans="3:20" ht="15" customHeight="1">
      <c r="C46" t="s">
        <v>38</v>
      </c>
      <c r="D46" s="39"/>
      <c r="E46" s="39">
        <f>20289+53892+194714</f>
        <v>268895</v>
      </c>
      <c r="F46" s="39">
        <f>25913+40388+170799</f>
        <v>237100</v>
      </c>
      <c r="G46" s="42">
        <f ca="1">G91+F46</f>
        <v>202199.73246575586</v>
      </c>
      <c r="H46" s="42">
        <f ca="1">H91+G46</f>
        <v>176523.72487352614</v>
      </c>
      <c r="I46" s="42">
        <f ca="1">I91+H46</f>
        <v>156076.92943323214</v>
      </c>
      <c r="J46" s="42">
        <f ca="1">J91+I46</f>
        <v>140273.77732642859</v>
      </c>
      <c r="K46" s="42">
        <f ca="1">K91+J46</f>
        <v>129472.4557012212</v>
      </c>
      <c r="M46" t="s">
        <v>87</v>
      </c>
    </row>
    <row r="47" spans="3:20" ht="15" customHeight="1">
      <c r="C47" t="s">
        <v>39</v>
      </c>
      <c r="D47" s="39"/>
      <c r="E47" s="39">
        <v>17874</v>
      </c>
      <c r="F47" s="39">
        <v>23186</v>
      </c>
      <c r="G47" s="42">
        <f ca="1">F47*(1+G37)</f>
        <v>22258.559999999998</v>
      </c>
      <c r="H47" s="42">
        <f ca="1">G47*(1+H37)</f>
        <v>23594.0736</v>
      </c>
      <c r="I47" s="42">
        <f ca="1">H47*(1+I37)</f>
        <v>25222.064678399998</v>
      </c>
      <c r="J47" s="42">
        <f ca="1">I47*(1+J37)</f>
        <v>26962.387141209598</v>
      </c>
      <c r="K47" s="42">
        <f ca="1">J47*(1+K37)</f>
        <v>28822.791853953058</v>
      </c>
      <c r="M47" t="s">
        <v>88</v>
      </c>
    </row>
    <row r="48" spans="3:20" ht="15" customHeight="1">
      <c r="C48" t="s">
        <v>40</v>
      </c>
      <c r="D48" s="39"/>
      <c r="E48" s="39">
        <v>4855</v>
      </c>
      <c r="F48" s="39">
        <v>3956</v>
      </c>
      <c r="G48" s="42">
        <f ca="1">F48*G19/F19</f>
        <v>3831.2507254598299</v>
      </c>
      <c r="H48" s="42">
        <f ca="1">G48*H19/G19</f>
        <v>4041.5383456643303</v>
      </c>
      <c r="I48" s="42">
        <f ca="1">H48*I19/H19</f>
        <v>4313.4248396710409</v>
      </c>
      <c r="J48" s="42">
        <f ca="1">I48*J19/I19</f>
        <v>4611.0511536083422</v>
      </c>
      <c r="K48" s="42">
        <f ca="1">J48*K19/J19</f>
        <v>4929.2136832073174</v>
      </c>
      <c r="M48" t="s">
        <v>89</v>
      </c>
    </row>
    <row r="49" spans="3:13" ht="15" customHeight="1">
      <c r="C49" t="s">
        <v>41</v>
      </c>
      <c r="D49" s="39"/>
      <c r="E49" s="39">
        <f>17799+13936</f>
        <v>31735</v>
      </c>
      <c r="F49" s="39">
        <f>25809+12087</f>
        <v>37896</v>
      </c>
      <c r="G49" s="42">
        <f ca="1">F49*(1+G37)</f>
        <v>36380.159999999996</v>
      </c>
      <c r="H49" s="42">
        <f ca="1">G49*(1+H37)</f>
        <v>38562.969599999997</v>
      </c>
      <c r="I49" s="42">
        <f ca="1">H49*(1+I37)</f>
        <v>41223.814502399997</v>
      </c>
      <c r="J49" s="42">
        <f ca="1">I49*(1+J37)</f>
        <v>44068.257703065596</v>
      </c>
      <c r="K49" s="42">
        <f ca="1">J49*(1+K37)</f>
        <v>47108.967484577122</v>
      </c>
      <c r="M49" t="s">
        <v>88</v>
      </c>
    </row>
    <row r="50" spans="3:13" ht="15" customHeight="1">
      <c r="C50" t="s">
        <v>42</v>
      </c>
      <c r="D50" s="39"/>
      <c r="E50" s="39">
        <v>33783</v>
      </c>
      <c r="F50" s="39">
        <v>41304</v>
      </c>
      <c r="G50" s="42">
        <f>G100</f>
        <v>45042.85982873883</v>
      </c>
      <c r="H50" s="42">
        <f>H100</f>
        <v>48611.181883872909</v>
      </c>
      <c r="I50" s="42">
        <f>I100</f>
        <v>51947.567835949827</v>
      </c>
      <c r="J50" s="42">
        <f ca="1">J100</f>
        <v>55218.714198720052</v>
      </c>
      <c r="K50" s="42">
        <f ca="1">K100</f>
        <v>58399.73337534142</v>
      </c>
      <c r="M50" t="s">
        <v>90</v>
      </c>
    </row>
    <row r="51" spans="3:13" ht="15" customHeight="1">
      <c r="C51" t="s">
        <v>43</v>
      </c>
      <c r="D51" s="39"/>
      <c r="E51" s="39">
        <v>18177</v>
      </c>
      <c r="F51" s="39">
        <v>22283</v>
      </c>
      <c r="G51" s="42">
        <f ca="1">F51*(1+G37)</f>
        <v>21391.68</v>
      </c>
      <c r="H51" s="42">
        <f ca="1">G51*(1+H37)</f>
        <v>22675.180800000002</v>
      </c>
      <c r="I51" s="42">
        <f ca="1">H51*(1+I37)</f>
        <v>24239.7682752</v>
      </c>
      <c r="J51" s="42">
        <f ca="1">I51*(1+J37)</f>
        <v>25912.3122861888</v>
      </c>
      <c r="K51" s="42">
        <f ca="1">J51*(1+K37)</f>
        <v>27700.261833935827</v>
      </c>
      <c r="M51" t="s">
        <v>88</v>
      </c>
    </row>
    <row r="52" spans="3:13" ht="15" customHeight="1">
      <c r="C52" s="31" t="s">
        <v>44</v>
      </c>
      <c r="D52" s="41"/>
      <c r="E52" s="41">
        <f t="shared" ref="E52:K52" si="7">SUM(E46:E51)</f>
        <v>375319</v>
      </c>
      <c r="F52" s="41">
        <f t="shared" si="7"/>
        <v>365725</v>
      </c>
      <c r="G52" s="45">
        <f t="shared" ca="1" si="7"/>
        <v>331104.24301995453</v>
      </c>
      <c r="H52" s="45">
        <f t="shared" ca="1" si="7"/>
        <v>314008.66910306341</v>
      </c>
      <c r="I52" s="45">
        <f t="shared" ca="1" si="7"/>
        <v>303023.56956485298</v>
      </c>
      <c r="J52" s="45">
        <f t="shared" ca="1" si="7"/>
        <v>297046.49980922102</v>
      </c>
      <c r="K52" s="45">
        <f t="shared" ca="1" si="7"/>
        <v>296433.42393223592</v>
      </c>
    </row>
    <row r="53" spans="3:13" ht="15" customHeight="1">
      <c r="C53" s="30"/>
      <c r="D53" s="42"/>
      <c r="E53" s="42"/>
      <c r="F53" s="42"/>
      <c r="G53" s="42"/>
      <c r="H53" s="42"/>
      <c r="I53" s="42"/>
      <c r="J53" s="42"/>
      <c r="K53" s="42"/>
    </row>
    <row r="54" spans="3:13" ht="15" customHeight="1">
      <c r="C54" s="30" t="s">
        <v>45</v>
      </c>
      <c r="D54" s="39"/>
      <c r="E54" s="39">
        <v>44242</v>
      </c>
      <c r="F54" s="39">
        <v>55888</v>
      </c>
      <c r="G54" s="42">
        <f ca="1">F54*G19/F19</f>
        <v>54125.616922269706</v>
      </c>
      <c r="H54" s="42">
        <f ca="1">G54*H19/G19</f>
        <v>57096.434545623881</v>
      </c>
      <c r="I54" s="42">
        <f ca="1">H54*I19/H19</f>
        <v>60937.484185928995</v>
      </c>
      <c r="J54" s="42">
        <f ca="1">I54*J19/I19</f>
        <v>65142.170594758099</v>
      </c>
      <c r="K54" s="42">
        <f ca="1">J54*K19/J19</f>
        <v>69636.980365796408</v>
      </c>
      <c r="M54" t="s">
        <v>89</v>
      </c>
    </row>
    <row r="55" spans="3:13" ht="15" customHeight="1">
      <c r="C55" s="30" t="s">
        <v>46</v>
      </c>
      <c r="D55" s="39"/>
      <c r="E55" s="39">
        <v>30551</v>
      </c>
      <c r="F55" s="39">
        <v>32687</v>
      </c>
      <c r="G55" s="42">
        <f ca="1">F55*(1+G37)</f>
        <v>31379.52</v>
      </c>
      <c r="H55" s="42">
        <f ca="1">G55*(1+H37)</f>
        <v>33262.2912</v>
      </c>
      <c r="I55" s="42">
        <f ca="1">H55*(1+I37)</f>
        <v>35557.389292799999</v>
      </c>
      <c r="J55" s="42">
        <f ca="1">I55*(1+J37)</f>
        <v>38010.849154003197</v>
      </c>
      <c r="K55" s="42">
        <f ca="1">J55*(1+K37)</f>
        <v>40633.597745629413</v>
      </c>
      <c r="M55" t="s">
        <v>88</v>
      </c>
    </row>
    <row r="56" spans="3:13" ht="15" customHeight="1">
      <c r="C56" s="30" t="s">
        <v>47</v>
      </c>
      <c r="D56" s="39"/>
      <c r="E56" s="39">
        <f>7548+2836</f>
        <v>10384</v>
      </c>
      <c r="F56" s="39">
        <f>7543+2797</f>
        <v>10340</v>
      </c>
      <c r="G56" s="42">
        <f ca="1">F56*(1+G37)</f>
        <v>9926.4</v>
      </c>
      <c r="H56" s="42">
        <f ca="1">G56*(1+H37)</f>
        <v>10521.984</v>
      </c>
      <c r="I56" s="42">
        <f ca="1">H56*(1+I37)</f>
        <v>11248.000896</v>
      </c>
      <c r="J56" s="42">
        <f ca="1">I56*(1+J37)</f>
        <v>12024.112957824</v>
      </c>
      <c r="K56" s="42">
        <f ca="1">J56*(1+K37)</f>
        <v>12853.776751913854</v>
      </c>
      <c r="M56" t="s">
        <v>88</v>
      </c>
    </row>
    <row r="57" spans="3:13" ht="15" customHeight="1">
      <c r="C57" s="30" t="s">
        <v>48</v>
      </c>
      <c r="D57" s="39"/>
      <c r="E57" s="39">
        <v>11977</v>
      </c>
      <c r="F57" s="39">
        <v>11964</v>
      </c>
      <c r="G57" s="42">
        <f ca="1">G136</f>
        <v>12000</v>
      </c>
      <c r="H57" s="42">
        <f ca="1">H136</f>
        <v>12000</v>
      </c>
      <c r="I57" s="42">
        <f ca="1">I136</f>
        <v>12000</v>
      </c>
      <c r="J57" s="42">
        <f ca="1">J136</f>
        <v>12000</v>
      </c>
      <c r="K57" s="42">
        <f ca="1">K136</f>
        <v>12000</v>
      </c>
      <c r="M57" t="s">
        <v>91</v>
      </c>
    </row>
    <row r="58" spans="3:13" ht="15" customHeight="1">
      <c r="C58" s="30" t="s">
        <v>92</v>
      </c>
      <c r="D58" s="39"/>
      <c r="E58" s="39">
        <f>6496+97207</f>
        <v>103703</v>
      </c>
      <c r="F58" s="39">
        <f>8784+93735</f>
        <v>102519</v>
      </c>
      <c r="G58" s="42">
        <f>F58</f>
        <v>102519</v>
      </c>
      <c r="H58" s="42">
        <f>G58</f>
        <v>102519</v>
      </c>
      <c r="I58" s="42">
        <f>H58</f>
        <v>102519</v>
      </c>
      <c r="J58" s="42">
        <f>I58</f>
        <v>102519</v>
      </c>
      <c r="K58" s="42">
        <f>J58</f>
        <v>102519</v>
      </c>
      <c r="M58" t="s">
        <v>93</v>
      </c>
    </row>
    <row r="59" spans="3:13" ht="15.75" customHeight="1">
      <c r="C59" s="30" t="s">
        <v>50</v>
      </c>
      <c r="D59" s="39"/>
      <c r="E59" s="39">
        <v>40415</v>
      </c>
      <c r="F59" s="39">
        <v>45180</v>
      </c>
      <c r="G59" s="42">
        <f ca="1">F59*(1+G37)</f>
        <v>43372.799999999996</v>
      </c>
      <c r="H59" s="42">
        <f ca="1">G59*(1+H37)</f>
        <v>45975.167999999998</v>
      </c>
      <c r="I59" s="42">
        <f ca="1">H59*(1+I37)</f>
        <v>49147.454591999995</v>
      </c>
      <c r="J59" s="42">
        <f ca="1">I59*(1+J37)</f>
        <v>52538.628958847992</v>
      </c>
      <c r="K59" s="42">
        <f ca="1">J59*(1+K37)</f>
        <v>56163.794357008504</v>
      </c>
      <c r="M59" t="s">
        <v>88</v>
      </c>
    </row>
    <row r="60" spans="3:13" ht="15" customHeight="1">
      <c r="C60" s="31" t="s">
        <v>51</v>
      </c>
      <c r="D60" s="41"/>
      <c r="E60" s="41">
        <f t="shared" ref="E60:K60" si="8">SUM(E54:E59)</f>
        <v>241272</v>
      </c>
      <c r="F60" s="41">
        <f t="shared" si="8"/>
        <v>258578</v>
      </c>
      <c r="G60" s="45">
        <f t="shared" ca="1" si="8"/>
        <v>253323.33692226969</v>
      </c>
      <c r="H60" s="45">
        <f t="shared" ca="1" si="8"/>
        <v>261374.87774562387</v>
      </c>
      <c r="I60" s="45">
        <f t="shared" ca="1" si="8"/>
        <v>271409.32896672899</v>
      </c>
      <c r="J60" s="45">
        <f t="shared" ca="1" si="8"/>
        <v>282234.7616654333</v>
      </c>
      <c r="K60" s="45">
        <f t="shared" ca="1" si="8"/>
        <v>293807.14922034822</v>
      </c>
    </row>
    <row r="61" spans="3:13" ht="15" customHeight="1">
      <c r="C61" s="31"/>
      <c r="D61" s="41"/>
      <c r="E61" s="41"/>
      <c r="F61" s="41"/>
      <c r="G61" s="42"/>
      <c r="H61" s="42"/>
      <c r="I61" s="42"/>
      <c r="J61" s="42"/>
      <c r="K61" s="42"/>
    </row>
    <row r="62" spans="3:13" ht="15" customHeight="1">
      <c r="C62" s="30" t="s">
        <v>52</v>
      </c>
      <c r="D62" s="39"/>
      <c r="E62" s="39">
        <v>35867</v>
      </c>
      <c r="F62" s="39">
        <v>40201</v>
      </c>
      <c r="G62" s="42">
        <f ca="1">F62+G33</f>
        <v>45327.4</v>
      </c>
      <c r="H62" s="42">
        <f ca="1">G62+H33</f>
        <v>50761.383999999998</v>
      </c>
      <c r="I62" s="42">
        <f ca="1">H62+I33</f>
        <v>56570.312895999996</v>
      </c>
      <c r="J62" s="42">
        <f ca="1">I62+J33</f>
        <v>62780.057885823997</v>
      </c>
      <c r="K62" s="42">
        <f ca="1">J62+K33</f>
        <v>69418.275279945854</v>
      </c>
      <c r="M62" t="s">
        <v>94</v>
      </c>
    </row>
    <row r="63" spans="3:13" ht="15.75" customHeight="1">
      <c r="C63" s="30" t="s">
        <v>53</v>
      </c>
      <c r="D63" s="44"/>
      <c r="E63" s="44">
        <f>98330</f>
        <v>98330</v>
      </c>
      <c r="F63" s="39">
        <v>70400</v>
      </c>
      <c r="G63" s="42">
        <f ca="1">G120</f>
        <v>35907.506097684833</v>
      </c>
      <c r="H63" s="42">
        <f ca="1">H120</f>
        <v>5326.4073574395152</v>
      </c>
      <c r="I63" s="42">
        <f ca="1">I120</f>
        <v>-21502.07229787598</v>
      </c>
      <c r="J63" s="42">
        <f ca="1">J120</f>
        <v>-44514.319742036285</v>
      </c>
      <c r="K63" s="42">
        <f ca="1">K120</f>
        <v>-63338.000568058094</v>
      </c>
      <c r="M63" t="s">
        <v>95</v>
      </c>
    </row>
    <row r="64" spans="3:13" ht="15.75" customHeight="1">
      <c r="C64" s="30" t="s">
        <v>54</v>
      </c>
      <c r="D64" s="39"/>
      <c r="E64" s="39">
        <v>-150</v>
      </c>
      <c r="F64" s="39">
        <v>-3454</v>
      </c>
      <c r="G64" s="42">
        <f>F64</f>
        <v>-3454</v>
      </c>
      <c r="H64" s="42">
        <f>G64</f>
        <v>-3454</v>
      </c>
      <c r="I64" s="42">
        <f>H64</f>
        <v>-3454</v>
      </c>
      <c r="J64" s="42">
        <f>I64</f>
        <v>-3454</v>
      </c>
      <c r="K64" s="42">
        <f>J64</f>
        <v>-3454</v>
      </c>
      <c r="M64" t="s">
        <v>93</v>
      </c>
    </row>
    <row r="65" spans="3:13" ht="15" customHeight="1">
      <c r="C65" s="31" t="s">
        <v>55</v>
      </c>
      <c r="D65" s="45"/>
      <c r="E65" s="45">
        <f t="shared" ref="E65:K65" si="9">SUM(E62:E64)</f>
        <v>134047</v>
      </c>
      <c r="F65" s="45">
        <f t="shared" si="9"/>
        <v>107147</v>
      </c>
      <c r="G65" s="45">
        <f t="shared" ca="1" si="9"/>
        <v>77780.906097684841</v>
      </c>
      <c r="H65" s="45">
        <f t="shared" ca="1" si="9"/>
        <v>52633.791357439513</v>
      </c>
      <c r="I65" s="45">
        <f t="shared" ca="1" si="9"/>
        <v>31614.240598124015</v>
      </c>
      <c r="J65" s="45">
        <f t="shared" ca="1" si="9"/>
        <v>14811.738143787712</v>
      </c>
      <c r="K65" s="45">
        <f t="shared" ca="1" si="9"/>
        <v>2626.2747118877596</v>
      </c>
    </row>
    <row r="66" spans="3:13" ht="15" customHeight="1">
      <c r="D66" s="42"/>
      <c r="E66" s="42"/>
      <c r="F66" s="42"/>
    </row>
    <row r="67" spans="3:13" ht="15" customHeight="1">
      <c r="C67" s="23" t="s">
        <v>56</v>
      </c>
      <c r="D67" s="46"/>
      <c r="E67" s="46">
        <f t="shared" ref="E67:K67" si="10">ROUND(E52-E60-E65,3)</f>
        <v>0</v>
      </c>
      <c r="F67" s="46">
        <f t="shared" si="10"/>
        <v>0</v>
      </c>
      <c r="G67" s="46">
        <f t="shared" ca="1" si="10"/>
        <v>0</v>
      </c>
      <c r="H67" s="46">
        <f t="shared" ca="1" si="10"/>
        <v>0</v>
      </c>
      <c r="I67" s="46">
        <f t="shared" ca="1" si="10"/>
        <v>0</v>
      </c>
      <c r="J67" s="46">
        <f t="shared" ca="1" si="10"/>
        <v>0</v>
      </c>
      <c r="K67" s="46">
        <f t="shared" ca="1" si="10"/>
        <v>0</v>
      </c>
    </row>
    <row r="68" spans="3:13" ht="15" customHeight="1">
      <c r="E68" s="42"/>
      <c r="F68" s="42"/>
      <c r="H68" s="42"/>
      <c r="I68" s="42"/>
      <c r="J68" s="42"/>
      <c r="K68" s="42"/>
    </row>
    <row r="69" spans="3:13" ht="15" customHeight="1">
      <c r="C69" s="16" t="s">
        <v>96</v>
      </c>
      <c r="D69" s="20"/>
      <c r="E69" s="20"/>
      <c r="F69" s="20"/>
      <c r="G69" s="20"/>
      <c r="H69" s="20"/>
      <c r="I69" s="20"/>
      <c r="J69" s="20"/>
      <c r="K69" s="20"/>
    </row>
    <row r="70" spans="3:13" ht="15" customHeight="1">
      <c r="C70" s="36" t="str">
        <f>C15</f>
        <v xml:space="preserve">Fiscal year  </v>
      </c>
      <c r="D70" s="37"/>
      <c r="E70" s="37"/>
      <c r="F70" s="37"/>
      <c r="G70" s="65">
        <f t="shared" ref="G70:K71" si="11">G15</f>
        <v>2019</v>
      </c>
      <c r="H70" s="65">
        <f t="shared" si="11"/>
        <v>2020</v>
      </c>
      <c r="I70" s="65">
        <f t="shared" si="11"/>
        <v>2021</v>
      </c>
      <c r="J70" s="65">
        <f t="shared" si="11"/>
        <v>2022</v>
      </c>
      <c r="K70" s="65">
        <f t="shared" si="11"/>
        <v>2023</v>
      </c>
    </row>
    <row r="71" spans="3:13" ht="15" customHeight="1">
      <c r="C71" s="17" t="str">
        <f>C16</f>
        <v>Fiscal year end date</v>
      </c>
      <c r="D71" s="38"/>
      <c r="E71" s="38"/>
      <c r="F71" s="38"/>
      <c r="G71" s="38">
        <f t="shared" si="11"/>
        <v>43738</v>
      </c>
      <c r="H71" s="38">
        <f t="shared" si="11"/>
        <v>44104</v>
      </c>
      <c r="I71" s="38">
        <f t="shared" si="11"/>
        <v>44469</v>
      </c>
      <c r="J71" s="38">
        <f t="shared" si="11"/>
        <v>44834</v>
      </c>
      <c r="K71" s="38">
        <f t="shared" si="11"/>
        <v>45199</v>
      </c>
    </row>
    <row r="73" spans="3:13" ht="15" customHeight="1">
      <c r="C73" t="s">
        <v>24</v>
      </c>
      <c r="D73" s="40"/>
      <c r="E73" s="40"/>
      <c r="F73" s="40"/>
      <c r="G73" s="42">
        <f ca="1">G29</f>
        <v>52298.506097684833</v>
      </c>
      <c r="H73" s="42">
        <f ca="1">H29</f>
        <v>56209.901259754675</v>
      </c>
      <c r="I73" s="42">
        <f ca="1">I29</f>
        <v>59962.520344684504</v>
      </c>
      <c r="J73" s="42">
        <f ca="1">J29</f>
        <v>63778.752555839696</v>
      </c>
      <c r="K73" s="42">
        <f ca="1">K29</f>
        <v>67967.319173978191</v>
      </c>
      <c r="M73" s="27"/>
    </row>
    <row r="74" spans="3:13" ht="15" customHeight="1">
      <c r="C74" t="s">
        <v>97</v>
      </c>
      <c r="D74" s="40"/>
      <c r="E74" s="40"/>
      <c r="F74" s="40"/>
      <c r="G74" s="42">
        <f ca="1">G31</f>
        <v>11085.020171261172</v>
      </c>
      <c r="H74" s="42">
        <f ca="1">H31</f>
        <v>11711.890744865921</v>
      </c>
      <c r="I74" s="42">
        <f ca="1">I31</f>
        <v>12226.380531123083</v>
      </c>
      <c r="J74" s="42">
        <f ca="1">J31</f>
        <v>13365.451007770575</v>
      </c>
      <c r="K74" s="42">
        <f ca="1">K31</f>
        <v>14603.503412486743</v>
      </c>
      <c r="M74" t="s">
        <v>98</v>
      </c>
    </row>
    <row r="75" spans="3:13" ht="15" customHeight="1">
      <c r="C75" t="s">
        <v>27</v>
      </c>
      <c r="D75" s="40"/>
      <c r="E75" s="40"/>
      <c r="F75" s="40"/>
      <c r="G75" s="42">
        <f ca="1">G33</f>
        <v>5126.3999999999996</v>
      </c>
      <c r="H75" s="42">
        <f ca="1">H33</f>
        <v>5433.9839999999995</v>
      </c>
      <c r="I75" s="42">
        <f ca="1">I33</f>
        <v>5808.9288959999994</v>
      </c>
      <c r="J75" s="42">
        <f ca="1">J33</f>
        <v>6209.7449898239993</v>
      </c>
      <c r="K75" s="42">
        <f ca="1">K33</f>
        <v>6638.2173941218552</v>
      </c>
    </row>
    <row r="76" spans="3:13" ht="15" customHeight="1">
      <c r="C76" t="s">
        <v>99</v>
      </c>
      <c r="D76" s="42"/>
      <c r="E76" s="42"/>
      <c r="F76" s="42"/>
      <c r="G76" s="42">
        <f ca="1">-1*(SUM(G47:G49)-SUM(F47:F49))</f>
        <v>2568.0292745401748</v>
      </c>
      <c r="H76" s="42">
        <f ca="1">-1*(SUM(H47:H49)-SUM(G47:G49))</f>
        <v>-3728.6108202044925</v>
      </c>
      <c r="I76" s="42">
        <f ca="1">-1*(SUM(I47:I49)-SUM(H47:H49))</f>
        <v>-4560.7224748067092</v>
      </c>
      <c r="J76" s="42">
        <f ca="1">-1*(SUM(J47:J49)-SUM(I47:I49))</f>
        <v>-4882.3919774125097</v>
      </c>
      <c r="K76" s="42">
        <f ca="1">-1*(SUM(K47:K49)-SUM(J47:J49))</f>
        <v>-5219.277023853967</v>
      </c>
    </row>
    <row r="77" spans="3:13" ht="15" customHeight="1">
      <c r="C77" t="s">
        <v>100</v>
      </c>
      <c r="D77" s="42"/>
      <c r="E77" s="42"/>
      <c r="F77" s="42"/>
      <c r="G77" s="42">
        <f ca="1">SUM(G54:G56)-SUM(F54:F56)</f>
        <v>-3483.4630777302955</v>
      </c>
      <c r="H77" s="42">
        <f ca="1">SUM(H54:H56)-SUM(G54:G56)</f>
        <v>5449.1728233541653</v>
      </c>
      <c r="I77" s="42">
        <f ca="1">SUM(I54:I56)-SUM(H54:H56)</f>
        <v>6862.1646291051147</v>
      </c>
      <c r="J77" s="42">
        <f ca="1">SUM(J54:J56)-SUM(I54:I56)</f>
        <v>7434.2583318562974</v>
      </c>
      <c r="K77" s="42">
        <f ca="1">SUM(K54:K56)-SUM(J54:J56)</f>
        <v>7947.2221567544038</v>
      </c>
    </row>
    <row r="78" spans="3:13" ht="15" customHeight="1">
      <c r="C78" t="s">
        <v>43</v>
      </c>
      <c r="G78" s="42">
        <f ca="1">-(G112)</f>
        <v>-647.56000000000131</v>
      </c>
      <c r="H78" s="42">
        <f ca="1">-(H112)</f>
        <v>-2914.7136000000028</v>
      </c>
      <c r="I78" s="42">
        <f ca="1">-(I112)</f>
        <v>-3308.3539583999991</v>
      </c>
      <c r="J78" s="42">
        <f ca="1">-(J112)</f>
        <v>-3536.6303815296014</v>
      </c>
      <c r="K78" s="42">
        <f ca="1">-(K112)</f>
        <v>-3780.6578778551411</v>
      </c>
      <c r="M78" t="s">
        <v>101</v>
      </c>
    </row>
    <row r="79" spans="3:13" ht="15" customHeight="1">
      <c r="C79" t="s">
        <v>50</v>
      </c>
      <c r="G79" s="42">
        <f ca="1">G59-F59</f>
        <v>-1807.2000000000044</v>
      </c>
      <c r="H79" s="42">
        <f ca="1">H59-G59</f>
        <v>2602.3680000000022</v>
      </c>
      <c r="I79" s="42">
        <f ca="1">I59-H59</f>
        <v>3172.2865919999967</v>
      </c>
      <c r="J79" s="42">
        <f ca="1">J59-I59</f>
        <v>3391.1743668479976</v>
      </c>
      <c r="K79" s="42">
        <f ca="1">K59-J59</f>
        <v>3625.1653981605123</v>
      </c>
      <c r="M79" s="27"/>
    </row>
    <row r="80" spans="3:13" ht="15" customHeight="1">
      <c r="C80" s="27" t="s">
        <v>102</v>
      </c>
      <c r="G80" s="45">
        <f ca="1">SUM(G73:G79)</f>
        <v>65139.732465755871</v>
      </c>
      <c r="H80" s="45">
        <f ca="1">SUM(H73:H79)</f>
        <v>74763.992407770274</v>
      </c>
      <c r="I80" s="45">
        <f ca="1">SUM(I73:I79)</f>
        <v>80163.204559706006</v>
      </c>
      <c r="J80" s="45">
        <f ca="1">SUM(J73:J79)</f>
        <v>85760.358893196448</v>
      </c>
      <c r="K80" s="45">
        <f ca="1">SUM(K73:K79)</f>
        <v>91781.492633792601</v>
      </c>
    </row>
    <row r="81" spans="3:13" ht="15" customHeight="1">
      <c r="G81" s="42"/>
      <c r="H81" s="42"/>
      <c r="I81" s="42"/>
      <c r="J81" s="42"/>
      <c r="K81" s="42"/>
    </row>
    <row r="82" spans="3:13" ht="15" customHeight="1">
      <c r="C82" t="s">
        <v>103</v>
      </c>
      <c r="G82" s="42">
        <f>-(G98)</f>
        <v>-13285</v>
      </c>
      <c r="H82" s="42">
        <f>-(H98)</f>
        <v>-13649</v>
      </c>
      <c r="I82" s="42">
        <f>-(I98)</f>
        <v>-13819</v>
      </c>
      <c r="J82" s="42">
        <f ca="1">-(J98)</f>
        <v>-14772.510999999999</v>
      </c>
      <c r="K82" s="42">
        <f ca="1">-(K98)</f>
        <v>-15791.814258999997</v>
      </c>
      <c r="M82" t="s">
        <v>90</v>
      </c>
    </row>
    <row r="83" spans="3:13" ht="15" customHeight="1">
      <c r="C83" s="27" t="s">
        <v>104</v>
      </c>
      <c r="G83" s="45">
        <f>IFERROR(G82,"NA")</f>
        <v>-13285</v>
      </c>
      <c r="H83" s="45">
        <f>IFERROR(H82,"NA")</f>
        <v>-13649</v>
      </c>
      <c r="I83" s="45">
        <f>IFERROR(I82,"NA")</f>
        <v>-13819</v>
      </c>
      <c r="J83" s="45">
        <f ca="1">IFERROR(J82,"NA")</f>
        <v>-14772.510999999999</v>
      </c>
      <c r="K83" s="45">
        <f ca="1">IFERROR(K82,"NA")</f>
        <v>-15791.814258999997</v>
      </c>
    </row>
    <row r="84" spans="3:13" ht="15" customHeight="1">
      <c r="G84" s="42"/>
      <c r="H84" s="42"/>
      <c r="I84" s="42"/>
      <c r="J84" s="42"/>
      <c r="K84" s="42"/>
    </row>
    <row r="85" spans="3:13" ht="15" customHeight="1">
      <c r="C85" t="s">
        <v>105</v>
      </c>
      <c r="G85" s="42">
        <f>G58-F58</f>
        <v>0</v>
      </c>
      <c r="H85" s="42">
        <f>H58-G58</f>
        <v>0</v>
      </c>
      <c r="I85" s="42">
        <f>I58-H58</f>
        <v>0</v>
      </c>
      <c r="J85" s="42">
        <f>J58-I58</f>
        <v>0</v>
      </c>
      <c r="K85" s="42">
        <f>K58-J58</f>
        <v>0</v>
      </c>
    </row>
    <row r="86" spans="3:13" ht="15" customHeight="1">
      <c r="C86" t="s">
        <v>106</v>
      </c>
      <c r="G86" s="42">
        <f ca="1">G57-F57</f>
        <v>36</v>
      </c>
      <c r="H86" s="42">
        <f ca="1">H57-G57</f>
        <v>0</v>
      </c>
      <c r="I86" s="42">
        <f ca="1">I57-H57</f>
        <v>0</v>
      </c>
      <c r="J86" s="42">
        <f ca="1">J57-I57</f>
        <v>0</v>
      </c>
      <c r="K86" s="42">
        <f ca="1">K57-J57</f>
        <v>0</v>
      </c>
      <c r="M86" t="s">
        <v>107</v>
      </c>
    </row>
    <row r="87" spans="3:13" ht="15" customHeight="1">
      <c r="C87" t="s">
        <v>108</v>
      </c>
      <c r="G87" s="42">
        <f>G119</f>
        <v>-73056</v>
      </c>
      <c r="H87" s="42">
        <f>H119</f>
        <v>-73056</v>
      </c>
      <c r="I87" s="42">
        <f>I119</f>
        <v>-73056</v>
      </c>
      <c r="J87" s="42">
        <f>J119</f>
        <v>-73056</v>
      </c>
      <c r="K87" s="42">
        <f>K119</f>
        <v>-73056</v>
      </c>
      <c r="M87" t="s">
        <v>95</v>
      </c>
    </row>
    <row r="88" spans="3:13" ht="15" customHeight="1">
      <c r="C88" t="s">
        <v>109</v>
      </c>
      <c r="G88" s="42">
        <f>G118</f>
        <v>-13735</v>
      </c>
      <c r="H88" s="42">
        <f>H118</f>
        <v>-13735</v>
      </c>
      <c r="I88" s="42">
        <f>I118</f>
        <v>-13735</v>
      </c>
      <c r="J88" s="42">
        <f>J118</f>
        <v>-13735</v>
      </c>
      <c r="K88" s="42">
        <f>K118</f>
        <v>-13735</v>
      </c>
      <c r="M88" t="s">
        <v>95</v>
      </c>
    </row>
    <row r="89" spans="3:13" ht="15" customHeight="1">
      <c r="C89" s="27" t="s">
        <v>110</v>
      </c>
      <c r="G89" s="45">
        <f ca="1">SUM(G85:G88)</f>
        <v>-86755</v>
      </c>
      <c r="H89" s="45">
        <f ca="1">SUM(H85:H88)</f>
        <v>-86791</v>
      </c>
      <c r="I89" s="45">
        <f ca="1">SUM(I85:I88)</f>
        <v>-86791</v>
      </c>
      <c r="J89" s="45">
        <f ca="1">SUM(J85:J88)</f>
        <v>-86791</v>
      </c>
      <c r="K89" s="45">
        <f ca="1">SUM(K85:K88)</f>
        <v>-86791</v>
      </c>
    </row>
    <row r="90" spans="3:13" ht="15" customHeight="1">
      <c r="G90" s="42"/>
      <c r="H90" s="42"/>
      <c r="I90" s="42"/>
      <c r="J90" s="42"/>
      <c r="K90" s="42"/>
    </row>
    <row r="91" spans="3:13" ht="15" customHeight="1">
      <c r="C91" s="27" t="s">
        <v>111</v>
      </c>
      <c r="G91" s="45">
        <f ca="1">G80+G83+G89</f>
        <v>-34900.267534244129</v>
      </c>
      <c r="H91" s="45">
        <f ca="1">H80+H83+H89</f>
        <v>-25676.007592229726</v>
      </c>
      <c r="I91" s="45">
        <f ca="1">I80+I83+I89</f>
        <v>-20446.795440293994</v>
      </c>
      <c r="J91" s="45">
        <f ca="1">J80+J83+J89</f>
        <v>-15803.152106803551</v>
      </c>
      <c r="K91" s="45">
        <f ca="1">K80+K83+K89</f>
        <v>-10801.321625207391</v>
      </c>
    </row>
    <row r="93" spans="3:13" ht="15" customHeight="1">
      <c r="C93" s="16" t="s">
        <v>112</v>
      </c>
      <c r="D93" s="17"/>
      <c r="E93" s="17"/>
      <c r="F93" s="17"/>
      <c r="G93" s="17"/>
      <c r="H93" s="17"/>
      <c r="I93" s="17"/>
      <c r="J93" s="17"/>
      <c r="K93" s="17"/>
    </row>
    <row r="94" spans="3:13" ht="15" customHeight="1">
      <c r="C94" s="36" t="str">
        <f t="shared" ref="C94:K94" si="12">C15</f>
        <v xml:space="preserve">Fiscal year  </v>
      </c>
      <c r="D94" s="37">
        <f t="shared" si="12"/>
        <v>2016</v>
      </c>
      <c r="E94" s="37">
        <f t="shared" si="12"/>
        <v>2017</v>
      </c>
      <c r="F94" s="37">
        <f t="shared" si="12"/>
        <v>2018</v>
      </c>
      <c r="G94" s="65">
        <f t="shared" si="12"/>
        <v>2019</v>
      </c>
      <c r="H94" s="65">
        <f t="shared" si="12"/>
        <v>2020</v>
      </c>
      <c r="I94" s="65">
        <f t="shared" si="12"/>
        <v>2021</v>
      </c>
      <c r="J94" s="65">
        <f t="shared" si="12"/>
        <v>2022</v>
      </c>
      <c r="K94" s="65">
        <f t="shared" si="12"/>
        <v>2023</v>
      </c>
    </row>
    <row r="95" spans="3:13" ht="15" customHeight="1">
      <c r="C95" s="17" t="str">
        <f t="shared" ref="C95:K95" si="13">C16</f>
        <v>Fiscal year end date</v>
      </c>
      <c r="D95" s="38">
        <f t="shared" si="13"/>
        <v>42643</v>
      </c>
      <c r="E95" s="38">
        <f t="shared" si="13"/>
        <v>43008</v>
      </c>
      <c r="F95" s="38">
        <f t="shared" si="13"/>
        <v>43372</v>
      </c>
      <c r="G95" s="38">
        <f t="shared" si="13"/>
        <v>43738</v>
      </c>
      <c r="H95" s="38">
        <f t="shared" si="13"/>
        <v>44104</v>
      </c>
      <c r="I95" s="38">
        <f t="shared" si="13"/>
        <v>44469</v>
      </c>
      <c r="J95" s="38">
        <f t="shared" si="13"/>
        <v>44834</v>
      </c>
      <c r="K95" s="38">
        <f t="shared" si="13"/>
        <v>45199</v>
      </c>
    </row>
    <row r="96" spans="3:13" ht="15" customHeight="1">
      <c r="C96" s="27"/>
      <c r="G96" s="3" t="s">
        <v>113</v>
      </c>
      <c r="H96" s="3"/>
      <c r="I96" s="3"/>
      <c r="J96" s="3"/>
      <c r="K96" s="3"/>
    </row>
    <row r="97" spans="3:17" ht="15" customHeight="1">
      <c r="C97" s="30" t="s">
        <v>114</v>
      </c>
      <c r="G97" s="42">
        <f>F100</f>
        <v>41304</v>
      </c>
      <c r="H97" s="42">
        <f>G100</f>
        <v>45042.85982873883</v>
      </c>
      <c r="I97" s="42">
        <f>H100</f>
        <v>48611.181883872909</v>
      </c>
      <c r="J97" s="42">
        <f>I100</f>
        <v>51947.567835949827</v>
      </c>
      <c r="K97" s="42">
        <f ca="1">J100</f>
        <v>55218.714198720052</v>
      </c>
      <c r="M97" t="s">
        <v>115</v>
      </c>
    </row>
    <row r="98" spans="3:17" ht="15" customHeight="1">
      <c r="C98" s="29" t="s">
        <v>116</v>
      </c>
      <c r="D98" s="39">
        <v>12734</v>
      </c>
      <c r="E98" s="39">
        <v>12451</v>
      </c>
      <c r="F98" s="39">
        <v>13313</v>
      </c>
      <c r="G98" s="39">
        <v>13285</v>
      </c>
      <c r="H98" s="39">
        <v>13649</v>
      </c>
      <c r="I98" s="39">
        <v>13819</v>
      </c>
      <c r="J98" s="39">
        <f ca="1">I98*(1+J37)</f>
        <v>14772.510999999999</v>
      </c>
      <c r="K98" s="39">
        <f ca="1">J98*(1+K37)</f>
        <v>15791.814258999997</v>
      </c>
      <c r="M98" t="s">
        <v>117</v>
      </c>
    </row>
    <row r="99" spans="3:17" ht="15" customHeight="1">
      <c r="C99" s="67" t="s">
        <v>118</v>
      </c>
      <c r="D99" s="68">
        <v>-8300</v>
      </c>
      <c r="E99" s="68">
        <v>-8200</v>
      </c>
      <c r="F99" s="68">
        <v>-9300</v>
      </c>
      <c r="G99" s="85">
        <f>-(G102*G98)</f>
        <v>-9546.1401712611732</v>
      </c>
      <c r="H99" s="85">
        <f>-(H102*H98)</f>
        <v>-10080.677944865922</v>
      </c>
      <c r="I99" s="85">
        <f>-(I102*I98)</f>
        <v>-10482.614047923083</v>
      </c>
      <c r="J99" s="85">
        <f ca="1">-(J102*J98)</f>
        <v>-11501.364637229775</v>
      </c>
      <c r="K99" s="85">
        <f ca="1">-(K102*K98)</f>
        <v>-12610.795082378629</v>
      </c>
      <c r="M99" t="s">
        <v>119</v>
      </c>
    </row>
    <row r="100" spans="3:17" ht="15" customHeight="1">
      <c r="C100" s="70" t="s">
        <v>120</v>
      </c>
      <c r="D100" s="45"/>
      <c r="E100" s="45">
        <f>E50</f>
        <v>33783</v>
      </c>
      <c r="F100" s="45">
        <f>F50</f>
        <v>41304</v>
      </c>
      <c r="G100" s="45">
        <f>SUM(G97:G99)</f>
        <v>45042.85982873883</v>
      </c>
      <c r="H100" s="45">
        <f>SUM(H97:H99)</f>
        <v>48611.181883872909</v>
      </c>
      <c r="I100" s="45">
        <f>SUM(I97:I99)</f>
        <v>51947.567835949827</v>
      </c>
      <c r="J100" s="45">
        <f ca="1">SUM(J97:J99)</f>
        <v>55218.714198720052</v>
      </c>
      <c r="K100" s="45">
        <f ca="1">SUM(K97:K99)</f>
        <v>58399.73337534142</v>
      </c>
      <c r="M100" t="s">
        <v>121</v>
      </c>
    </row>
    <row r="101" spans="3:17" ht="15" customHeight="1">
      <c r="C101" s="30"/>
      <c r="M101" s="32" t="s">
        <v>122</v>
      </c>
    </row>
    <row r="102" spans="3:17" ht="15" customHeight="1">
      <c r="C102" s="30" t="s">
        <v>123</v>
      </c>
      <c r="D102" s="71">
        <f>-(D99/D98)</f>
        <v>0.65179833516569818</v>
      </c>
      <c r="E102" s="71">
        <f>-(E99/E98)</f>
        <v>0.6585816400289134</v>
      </c>
      <c r="F102" s="71">
        <f>-(F99/F98)</f>
        <v>0.69856531210095396</v>
      </c>
      <c r="G102" s="63">
        <f>F102+$M$102</f>
        <v>0.71856531210095398</v>
      </c>
      <c r="H102" s="63">
        <f>G102+$M$102</f>
        <v>0.738565312100954</v>
      </c>
      <c r="I102" s="63">
        <f>H102+$M$102</f>
        <v>0.75856531210095401</v>
      </c>
      <c r="J102" s="63">
        <f>I102+$M$102</f>
        <v>0.77856531210095403</v>
      </c>
      <c r="K102" s="63">
        <f>J102+$M$102</f>
        <v>0.79856531210095405</v>
      </c>
      <c r="M102" s="73">
        <v>0.02</v>
      </c>
      <c r="O102" s="74"/>
      <c r="P102" s="74"/>
      <c r="Q102" s="74"/>
    </row>
    <row r="103" spans="3:17" ht="15" customHeight="1">
      <c r="C103" s="30"/>
      <c r="D103" s="71"/>
      <c r="E103" s="71"/>
      <c r="F103" s="71"/>
      <c r="G103" s="63"/>
      <c r="H103" s="63"/>
      <c r="I103" s="63"/>
      <c r="J103" s="63"/>
      <c r="K103" s="63"/>
      <c r="O103" s="74"/>
      <c r="P103" s="74"/>
      <c r="Q103" s="74"/>
    </row>
    <row r="104" spans="3:17" ht="15" customHeight="1">
      <c r="C104" s="75" t="s">
        <v>124</v>
      </c>
      <c r="D104" s="76"/>
      <c r="E104" s="76"/>
      <c r="F104" s="76"/>
      <c r="G104" s="77"/>
      <c r="H104" s="77"/>
      <c r="I104" s="77"/>
      <c r="J104" s="77"/>
      <c r="K104" s="77"/>
      <c r="O104" s="74"/>
      <c r="P104" s="74"/>
      <c r="Q104" s="74"/>
    </row>
    <row r="105" spans="3:17" ht="15" customHeight="1">
      <c r="C105" s="30" t="s">
        <v>125</v>
      </c>
      <c r="D105" s="42">
        <f>D107+D99</f>
        <v>2205</v>
      </c>
      <c r="E105" s="42">
        <f>E107+E99</f>
        <v>1957</v>
      </c>
      <c r="F105" s="42">
        <f>F107+F99</f>
        <v>1603</v>
      </c>
      <c r="G105" s="44">
        <f ca="1">G106*G18</f>
        <v>1538.8799999999999</v>
      </c>
      <c r="H105" s="44">
        <f ca="1">H106*H18</f>
        <v>1631.2128</v>
      </c>
      <c r="I105" s="44">
        <f ca="1">I106*I18</f>
        <v>1743.7664832</v>
      </c>
      <c r="J105" s="44">
        <f ca="1">J106*J18</f>
        <v>1864.0863705407999</v>
      </c>
      <c r="K105" s="44">
        <f ca="1">K106*K18</f>
        <v>1992.708330108115</v>
      </c>
      <c r="M105" t="s">
        <v>126</v>
      </c>
      <c r="O105" s="74"/>
      <c r="P105" s="74"/>
      <c r="Q105" s="74"/>
    </row>
    <row r="106" spans="3:17" ht="15" customHeight="1">
      <c r="C106" s="29" t="s">
        <v>127</v>
      </c>
      <c r="D106" s="51">
        <f>D105/D18</f>
        <v>1.0225423044996499E-2</v>
      </c>
      <c r="E106" s="51">
        <f>E105/E18</f>
        <v>8.537128000209393E-3</v>
      </c>
      <c r="F106" s="51">
        <f>F105/F18</f>
        <v>6.0355051864681188E-3</v>
      </c>
      <c r="G106" s="63">
        <f>F106</f>
        <v>6.0355051864681188E-3</v>
      </c>
      <c r="H106" s="63">
        <f>G106</f>
        <v>6.0355051864681188E-3</v>
      </c>
      <c r="I106" s="63">
        <f>H106</f>
        <v>6.0355051864681188E-3</v>
      </c>
      <c r="J106" s="63">
        <f>I106</f>
        <v>6.0355051864681188E-3</v>
      </c>
      <c r="K106" s="63">
        <f>J106</f>
        <v>6.0355051864681188E-3</v>
      </c>
      <c r="M106" t="s">
        <v>128</v>
      </c>
    </row>
    <row r="107" spans="3:17" ht="15" customHeight="1">
      <c r="C107" s="31" t="s">
        <v>129</v>
      </c>
      <c r="D107" s="45">
        <f>D31</f>
        <v>10505</v>
      </c>
      <c r="E107" s="45">
        <f>E31</f>
        <v>10157</v>
      </c>
      <c r="F107" s="45">
        <f>F31</f>
        <v>10903</v>
      </c>
      <c r="G107" s="41">
        <f ca="1">-G99+G105</f>
        <v>11085.020171261172</v>
      </c>
      <c r="H107" s="41">
        <f ca="1">-H99+H105</f>
        <v>11711.890744865921</v>
      </c>
      <c r="I107" s="41">
        <f ca="1">-I99+I105</f>
        <v>12226.380531123083</v>
      </c>
      <c r="J107" s="41">
        <f ca="1">-J99+J105</f>
        <v>13365.451007770575</v>
      </c>
      <c r="K107" s="41">
        <f ca="1">-K99+K105</f>
        <v>14603.503412486743</v>
      </c>
      <c r="M107" t="s">
        <v>130</v>
      </c>
    </row>
    <row r="108" spans="3:17" ht="15" customHeight="1">
      <c r="C108" s="30"/>
      <c r="D108" s="42"/>
      <c r="E108" s="42"/>
      <c r="F108" s="42"/>
      <c r="H108" s="42"/>
      <c r="I108" s="42"/>
      <c r="J108" s="42"/>
      <c r="K108" s="42"/>
    </row>
    <row r="109" spans="3:17" ht="15" customHeight="1">
      <c r="C109" s="78" t="s">
        <v>131</v>
      </c>
      <c r="D109" s="17"/>
      <c r="E109" s="17"/>
      <c r="F109" s="17"/>
      <c r="H109" s="42"/>
      <c r="I109" s="42"/>
      <c r="J109" s="42"/>
      <c r="K109" s="42"/>
    </row>
    <row r="110" spans="3:17" ht="15" customHeight="1">
      <c r="C110" s="30" t="s">
        <v>114</v>
      </c>
      <c r="D110" s="42"/>
      <c r="G110" s="123">
        <f>F113</f>
        <v>22283</v>
      </c>
      <c r="H110" s="123">
        <f ca="1">G113</f>
        <v>21391.68</v>
      </c>
      <c r="I110" s="123">
        <f ca="1">H113</f>
        <v>22675.180800000002</v>
      </c>
      <c r="J110" s="123">
        <f ca="1">I113</f>
        <v>24239.7682752</v>
      </c>
      <c r="K110" s="123">
        <f ca="1">J113</f>
        <v>25912.3122861888</v>
      </c>
      <c r="M110" t="s">
        <v>115</v>
      </c>
    </row>
    <row r="111" spans="3:17" ht="15" customHeight="1">
      <c r="C111" s="29" t="s">
        <v>132</v>
      </c>
      <c r="G111" s="42">
        <f ca="1">-(G105)</f>
        <v>-1538.8799999999999</v>
      </c>
      <c r="H111" s="42">
        <f ca="1">-(H105)</f>
        <v>-1631.2128</v>
      </c>
      <c r="I111" s="42">
        <f ca="1">-(I105)</f>
        <v>-1743.7664832</v>
      </c>
      <c r="J111" s="42">
        <f ca="1">-(J105)</f>
        <v>-1864.0863705407999</v>
      </c>
      <c r="K111" s="42">
        <f ca="1">-(K105)</f>
        <v>-1992.708330108115</v>
      </c>
      <c r="M111" t="s">
        <v>133</v>
      </c>
    </row>
    <row r="112" spans="3:17" ht="15" customHeight="1">
      <c r="C112" s="67" t="s">
        <v>134</v>
      </c>
      <c r="D112" s="80"/>
      <c r="E112" s="80"/>
      <c r="F112" s="80"/>
      <c r="G112" s="124">
        <f ca="1">G113-G111-G110</f>
        <v>647.56000000000131</v>
      </c>
      <c r="H112" s="124">
        <f ca="1">H113-H111-H110</f>
        <v>2914.7136000000028</v>
      </c>
      <c r="I112" s="124">
        <f ca="1">I113-I111-I110</f>
        <v>3308.3539583999991</v>
      </c>
      <c r="J112" s="124">
        <f ca="1">J113-J111-J110</f>
        <v>3536.6303815296014</v>
      </c>
      <c r="K112" s="124">
        <f ca="1">K113-K111-K110</f>
        <v>3780.6578778551411</v>
      </c>
      <c r="M112" t="s">
        <v>135</v>
      </c>
    </row>
    <row r="113" spans="3:17" ht="15" customHeight="1">
      <c r="C113" s="70" t="s">
        <v>120</v>
      </c>
      <c r="E113" s="45">
        <f t="shared" ref="E113:K113" si="14">E51</f>
        <v>18177</v>
      </c>
      <c r="F113" s="45">
        <f t="shared" si="14"/>
        <v>22283</v>
      </c>
      <c r="G113" s="45">
        <f t="shared" ca="1" si="14"/>
        <v>21391.68</v>
      </c>
      <c r="H113" s="45">
        <f t="shared" ca="1" si="14"/>
        <v>22675.180800000002</v>
      </c>
      <c r="I113" s="45">
        <f t="shared" ca="1" si="14"/>
        <v>24239.7682752</v>
      </c>
      <c r="J113" s="45">
        <f t="shared" ca="1" si="14"/>
        <v>25912.3122861888</v>
      </c>
      <c r="K113" s="45">
        <f t="shared" ca="1" si="14"/>
        <v>27700.261833935827</v>
      </c>
      <c r="M113" t="s">
        <v>136</v>
      </c>
    </row>
    <row r="114" spans="3:17" ht="15" customHeight="1">
      <c r="C114" s="29"/>
      <c r="E114" s="42"/>
      <c r="F114" s="42"/>
      <c r="H114" s="42"/>
      <c r="I114" s="42"/>
      <c r="J114" s="42"/>
      <c r="K114" s="42"/>
    </row>
    <row r="115" spans="3:17" ht="15" customHeight="1">
      <c r="C115" s="82" t="s">
        <v>137</v>
      </c>
      <c r="D115" s="78"/>
      <c r="E115" s="78"/>
      <c r="F115" s="78"/>
      <c r="G115" s="17"/>
      <c r="H115" s="17"/>
      <c r="I115" s="17"/>
      <c r="J115" s="17"/>
      <c r="K115" s="17"/>
    </row>
    <row r="116" spans="3:17" ht="15" customHeight="1">
      <c r="C116" s="30" t="s">
        <v>114</v>
      </c>
      <c r="G116" s="42">
        <f>F120</f>
        <v>70400</v>
      </c>
      <c r="H116" s="42">
        <f ca="1">G120</f>
        <v>35907.506097684833</v>
      </c>
      <c r="I116" s="42">
        <f ca="1">H120</f>
        <v>5326.4073574395152</v>
      </c>
      <c r="J116" s="42">
        <f ca="1">I120</f>
        <v>-21502.07229787598</v>
      </c>
      <c r="K116" s="42">
        <f ca="1">J120</f>
        <v>-44514.319742036285</v>
      </c>
      <c r="M116" t="s">
        <v>115</v>
      </c>
    </row>
    <row r="117" spans="3:17" ht="15" customHeight="1">
      <c r="C117" s="29" t="s">
        <v>138</v>
      </c>
      <c r="D117" s="44">
        <f t="shared" ref="D117:K117" si="15">D29</f>
        <v>45687</v>
      </c>
      <c r="E117" s="44">
        <f t="shared" si="15"/>
        <v>48351</v>
      </c>
      <c r="F117" s="44">
        <f t="shared" si="15"/>
        <v>59531</v>
      </c>
      <c r="G117" s="42">
        <f t="shared" ca="1" si="15"/>
        <v>52298.506097684833</v>
      </c>
      <c r="H117" s="42">
        <f t="shared" ca="1" si="15"/>
        <v>56209.901259754675</v>
      </c>
      <c r="I117" s="42">
        <f t="shared" ca="1" si="15"/>
        <v>59962.520344684504</v>
      </c>
      <c r="J117" s="42">
        <f t="shared" ca="1" si="15"/>
        <v>63778.752555839696</v>
      </c>
      <c r="K117" s="42">
        <f t="shared" ca="1" si="15"/>
        <v>67967.319173978191</v>
      </c>
      <c r="M117" t="s">
        <v>139</v>
      </c>
    </row>
    <row r="118" spans="3:17" ht="15" customHeight="1">
      <c r="C118" s="29" t="s">
        <v>140</v>
      </c>
      <c r="D118" s="39">
        <v>-12188</v>
      </c>
      <c r="E118" s="39">
        <v>-12803</v>
      </c>
      <c r="F118" s="39">
        <v>-13735</v>
      </c>
      <c r="G118" s="42">
        <f t="shared" ref="G118:K119" si="16">F118</f>
        <v>-13735</v>
      </c>
      <c r="H118" s="42">
        <f t="shared" si="16"/>
        <v>-13735</v>
      </c>
      <c r="I118" s="42">
        <f t="shared" si="16"/>
        <v>-13735</v>
      </c>
      <c r="J118" s="42">
        <f t="shared" si="16"/>
        <v>-13735</v>
      </c>
      <c r="K118" s="42">
        <f t="shared" si="16"/>
        <v>-13735</v>
      </c>
      <c r="M118" t="s">
        <v>141</v>
      </c>
    </row>
    <row r="119" spans="3:17" ht="15" customHeight="1">
      <c r="C119" s="67" t="s">
        <v>142</v>
      </c>
      <c r="D119" s="68">
        <v>-29000</v>
      </c>
      <c r="E119" s="68">
        <v>-33001</v>
      </c>
      <c r="F119" s="68">
        <v>-73056</v>
      </c>
      <c r="G119" s="85">
        <f t="shared" si="16"/>
        <v>-73056</v>
      </c>
      <c r="H119" s="85">
        <f t="shared" si="16"/>
        <v>-73056</v>
      </c>
      <c r="I119" s="85">
        <f t="shared" si="16"/>
        <v>-73056</v>
      </c>
      <c r="J119" s="85">
        <f t="shared" si="16"/>
        <v>-73056</v>
      </c>
      <c r="K119" s="85">
        <f t="shared" si="16"/>
        <v>-73056</v>
      </c>
      <c r="M119" t="s">
        <v>143</v>
      </c>
    </row>
    <row r="120" spans="3:17" ht="15" customHeight="1">
      <c r="C120" s="70" t="s">
        <v>120</v>
      </c>
      <c r="D120" s="41">
        <f>D63</f>
        <v>0</v>
      </c>
      <c r="E120" s="41">
        <f>E63</f>
        <v>98330</v>
      </c>
      <c r="F120" s="41">
        <f>F63</f>
        <v>70400</v>
      </c>
      <c r="G120" s="45">
        <f ca="1">SUM(G116:G119)</f>
        <v>35907.506097684833</v>
      </c>
      <c r="H120" s="45">
        <f ca="1">SUM(H116:H119)</f>
        <v>5326.4073574395152</v>
      </c>
      <c r="I120" s="45">
        <f ca="1">SUM(I116:I119)</f>
        <v>-21502.07229787598</v>
      </c>
      <c r="J120" s="45">
        <f ca="1">SUM(J116:J119)</f>
        <v>-44514.319742036285</v>
      </c>
      <c r="K120" s="45">
        <f ca="1">SUM(K116:K119)</f>
        <v>-63338.000568058094</v>
      </c>
      <c r="M120" t="s">
        <v>144</v>
      </c>
    </row>
    <row r="121" spans="3:17" ht="15" customHeight="1">
      <c r="E121" s="40"/>
      <c r="F121" s="40"/>
    </row>
    <row r="122" spans="3:17" ht="15" customHeight="1">
      <c r="C122" s="16" t="s">
        <v>145</v>
      </c>
      <c r="D122" s="17"/>
      <c r="E122" s="17"/>
      <c r="F122" s="17"/>
      <c r="G122" s="17"/>
      <c r="H122" s="17"/>
      <c r="I122" s="17"/>
      <c r="J122" s="17"/>
      <c r="K122" s="17"/>
      <c r="O122" s="74"/>
      <c r="P122" s="74"/>
    </row>
    <row r="123" spans="3:17" ht="15" customHeight="1">
      <c r="C123" s="36" t="str">
        <f t="shared" ref="C123:K123" si="17">C15</f>
        <v xml:space="preserve">Fiscal year  </v>
      </c>
      <c r="D123" s="37">
        <f t="shared" si="17"/>
        <v>2016</v>
      </c>
      <c r="E123" s="37">
        <f t="shared" si="17"/>
        <v>2017</v>
      </c>
      <c r="F123" s="37">
        <f t="shared" si="17"/>
        <v>2018</v>
      </c>
      <c r="G123" s="65">
        <f t="shared" si="17"/>
        <v>2019</v>
      </c>
      <c r="H123" s="65">
        <f t="shared" si="17"/>
        <v>2020</v>
      </c>
      <c r="I123" s="65">
        <f t="shared" si="17"/>
        <v>2021</v>
      </c>
      <c r="J123" s="65">
        <f t="shared" si="17"/>
        <v>2022</v>
      </c>
      <c r="K123" s="65">
        <f t="shared" si="17"/>
        <v>2023</v>
      </c>
      <c r="O123" s="74"/>
      <c r="P123" s="74"/>
    </row>
    <row r="124" spans="3:17" ht="15" customHeight="1">
      <c r="C124" s="17" t="str">
        <f t="shared" ref="C124:K124" si="18">C16</f>
        <v>Fiscal year end date</v>
      </c>
      <c r="D124" s="38">
        <f t="shared" si="18"/>
        <v>42643</v>
      </c>
      <c r="E124" s="38">
        <f t="shared" si="18"/>
        <v>43008</v>
      </c>
      <c r="F124" s="38">
        <f t="shared" si="18"/>
        <v>43372</v>
      </c>
      <c r="G124" s="38">
        <f t="shared" si="18"/>
        <v>43738</v>
      </c>
      <c r="H124" s="38">
        <f t="shared" si="18"/>
        <v>44104</v>
      </c>
      <c r="I124" s="38">
        <f t="shared" si="18"/>
        <v>44469</v>
      </c>
      <c r="J124" s="38">
        <f t="shared" si="18"/>
        <v>44834</v>
      </c>
      <c r="K124" s="38">
        <f t="shared" si="18"/>
        <v>45199</v>
      </c>
      <c r="O124" s="74"/>
      <c r="P124" s="74"/>
    </row>
    <row r="125" spans="3:17" ht="15" customHeight="1">
      <c r="C125" s="27"/>
      <c r="O125" s="74"/>
      <c r="P125" s="74"/>
    </row>
    <row r="126" spans="3:17" ht="15" customHeight="1">
      <c r="C126" s="32" t="s">
        <v>146</v>
      </c>
      <c r="O126" s="74"/>
      <c r="P126" s="74"/>
      <c r="Q126" s="74"/>
    </row>
    <row r="127" spans="3:17" ht="15" customHeight="1">
      <c r="C127" s="29" t="s">
        <v>147</v>
      </c>
      <c r="G127" s="42">
        <f>F46</f>
        <v>237100</v>
      </c>
      <c r="H127" s="42">
        <f ca="1">G46</f>
        <v>202199.73246575586</v>
      </c>
      <c r="I127" s="42">
        <f ca="1">H46</f>
        <v>176523.72487352614</v>
      </c>
      <c r="J127" s="42">
        <f ca="1">I46</f>
        <v>156076.92943323214</v>
      </c>
      <c r="K127" s="42">
        <f ca="1">J46</f>
        <v>140273.77732642859</v>
      </c>
      <c r="M127" t="s">
        <v>148</v>
      </c>
      <c r="O127" s="74"/>
      <c r="P127" s="74"/>
    </row>
    <row r="128" spans="3:17" ht="15" customHeight="1">
      <c r="C128" s="29" t="s">
        <v>149</v>
      </c>
      <c r="G128" s="39">
        <v>-50000</v>
      </c>
      <c r="H128" s="39">
        <v>-50000</v>
      </c>
      <c r="I128" s="39">
        <v>-50000</v>
      </c>
      <c r="J128" s="39">
        <v>-50000</v>
      </c>
      <c r="K128" s="39">
        <v>-50000</v>
      </c>
      <c r="M128" t="s">
        <v>150</v>
      </c>
      <c r="O128" s="74"/>
      <c r="P128" s="74"/>
    </row>
    <row r="129" spans="3:19" ht="15" customHeight="1">
      <c r="C129" s="67" t="s">
        <v>151</v>
      </c>
      <c r="D129" s="80"/>
      <c r="E129" s="80"/>
      <c r="F129" s="80"/>
      <c r="G129" s="85">
        <f ca="1">SUM(G80,G83,G85,G87,G88)</f>
        <v>-34936.267534244129</v>
      </c>
      <c r="H129" s="85">
        <f ca="1">SUM(H80,H83,H85,H87,H88)</f>
        <v>-25676.007592229726</v>
      </c>
      <c r="I129" s="85">
        <f ca="1">SUM(I80,I83,I85,I87,I88)</f>
        <v>-20446.795440293994</v>
      </c>
      <c r="J129" s="85">
        <f ca="1">SUM(J80,J83,J85,J87,J88)</f>
        <v>-15803.152106803551</v>
      </c>
      <c r="K129" s="85">
        <f ca="1">SUM(K80,K83,K85,K87,K88)</f>
        <v>-10801.321625207391</v>
      </c>
      <c r="M129" t="s">
        <v>152</v>
      </c>
    </row>
    <row r="130" spans="3:19" ht="15" customHeight="1">
      <c r="C130" s="70" t="s">
        <v>153</v>
      </c>
      <c r="G130" s="45">
        <f ca="1">SUM(G127:G129)</f>
        <v>152163.73246575586</v>
      </c>
      <c r="H130" s="45">
        <f ca="1">SUM(H127:H129)</f>
        <v>126523.72487352614</v>
      </c>
      <c r="I130" s="45">
        <f ca="1">SUM(I127:I129)</f>
        <v>106076.92943323214</v>
      </c>
      <c r="J130" s="45">
        <f ca="1">SUM(J127:J129)</f>
        <v>90273.777326428593</v>
      </c>
      <c r="K130" s="45">
        <f ca="1">SUM(K127:K129)</f>
        <v>79472.455701221203</v>
      </c>
    </row>
    <row r="132" spans="3:19" ht="15" customHeight="1">
      <c r="C132" s="27" t="s">
        <v>154</v>
      </c>
    </row>
    <row r="133" spans="3:19" ht="15" customHeight="1">
      <c r="C133" s="29" t="s">
        <v>114</v>
      </c>
      <c r="G133" s="42">
        <f>F136</f>
        <v>11964</v>
      </c>
      <c r="H133" s="42">
        <f ca="1">G136</f>
        <v>12000</v>
      </c>
      <c r="I133" s="42">
        <f ca="1">H136</f>
        <v>12000</v>
      </c>
      <c r="J133" s="42">
        <f ca="1">I136</f>
        <v>12000</v>
      </c>
      <c r="K133" s="42">
        <f ca="1">J136</f>
        <v>12000</v>
      </c>
      <c r="M133" t="s">
        <v>115</v>
      </c>
    </row>
    <row r="134" spans="3:19" ht="15" customHeight="1">
      <c r="C134" s="29" t="s">
        <v>155</v>
      </c>
      <c r="G134" s="42">
        <f ca="1">-MIN(G130,G133)</f>
        <v>-11964</v>
      </c>
      <c r="H134" s="42">
        <f ca="1">-MIN(H130,H133)</f>
        <v>-12000</v>
      </c>
      <c r="I134" s="42">
        <f ca="1">-MIN(I130,I133)</f>
        <v>-12000</v>
      </c>
      <c r="J134" s="42">
        <f ca="1">-MIN(J130,J133)</f>
        <v>-12000</v>
      </c>
      <c r="K134" s="42">
        <f ca="1">-MIN(K130,K133)</f>
        <v>-12000</v>
      </c>
      <c r="M134" t="s">
        <v>156</v>
      </c>
    </row>
    <row r="135" spans="3:19" ht="15" customHeight="1">
      <c r="C135" s="67" t="s">
        <v>157</v>
      </c>
      <c r="D135" s="80"/>
      <c r="E135" s="80"/>
      <c r="F135" s="80"/>
      <c r="G135" s="68">
        <v>12000</v>
      </c>
      <c r="H135" s="68">
        <v>12000</v>
      </c>
      <c r="I135" s="68">
        <v>12000</v>
      </c>
      <c r="J135" s="68">
        <v>12000</v>
      </c>
      <c r="K135" s="68">
        <v>12000</v>
      </c>
      <c r="M135" t="s">
        <v>150</v>
      </c>
    </row>
    <row r="136" spans="3:19" ht="15" customHeight="1">
      <c r="C136" s="29" t="s">
        <v>120</v>
      </c>
      <c r="D136" s="85">
        <f>D57</f>
        <v>0</v>
      </c>
      <c r="E136" s="85">
        <f>E57</f>
        <v>11977</v>
      </c>
      <c r="F136" s="85">
        <f>F57</f>
        <v>11964</v>
      </c>
      <c r="G136" s="86">
        <f ca="1">SUM(G133:G135)</f>
        <v>12000</v>
      </c>
      <c r="H136" s="86">
        <f ca="1">SUM(H133:H135)</f>
        <v>12000</v>
      </c>
      <c r="I136" s="86">
        <f ca="1">SUM(I133:I135)</f>
        <v>12000</v>
      </c>
      <c r="J136" s="86">
        <f ca="1">SUM(J133:J135)</f>
        <v>12000</v>
      </c>
      <c r="K136" s="86">
        <f ca="1">SUM(K133:K135)</f>
        <v>12000</v>
      </c>
    </row>
    <row r="137" spans="3:19" ht="15" customHeight="1">
      <c r="C137" s="87" t="s">
        <v>158</v>
      </c>
      <c r="D137" s="88"/>
      <c r="E137" s="88"/>
      <c r="F137" s="89"/>
      <c r="G137" s="90" t="str">
        <f ca="1">IF(G136&lt;0,"Negative Debt","OK")</f>
        <v>OK</v>
      </c>
      <c r="H137" s="90" t="str">
        <f ca="1">IF(H136&lt;0,"Negative Debt","OK")</f>
        <v>OK</v>
      </c>
      <c r="I137" s="90" t="str">
        <f ca="1">IF(I136&lt;0,"Negative Debt","OK")</f>
        <v>OK</v>
      </c>
      <c r="J137" s="90" t="str">
        <f ca="1">IF(J136&lt;0,"Negative Debt","OK")</f>
        <v>OK</v>
      </c>
      <c r="K137" s="91" t="str">
        <f ca="1">IF(K136&lt;0,"Negative Debt","OK")</f>
        <v>OK</v>
      </c>
      <c r="S137" s="40"/>
    </row>
    <row r="138" spans="3:19" ht="15" customHeight="1">
      <c r="D138" s="42"/>
      <c r="E138" s="42"/>
      <c r="F138" s="92"/>
      <c r="G138" s="93"/>
      <c r="H138" s="93"/>
      <c r="I138" s="93"/>
      <c r="J138" s="93"/>
      <c r="K138" s="93"/>
      <c r="S138" s="40"/>
    </row>
    <row r="139" spans="3:19" ht="15" customHeight="1">
      <c r="C139" s="16" t="s">
        <v>159</v>
      </c>
      <c r="D139" s="76"/>
      <c r="E139" s="76"/>
      <c r="F139" s="76"/>
      <c r="G139" s="94"/>
      <c r="H139" s="94"/>
      <c r="I139" s="94"/>
      <c r="J139" s="94"/>
      <c r="K139" s="94"/>
      <c r="R139" s="95"/>
    </row>
    <row r="140" spans="3:19" ht="15" customHeight="1">
      <c r="C140" s="36" t="str">
        <f t="shared" ref="C140:K140" si="19">C15</f>
        <v xml:space="preserve">Fiscal year  </v>
      </c>
      <c r="D140" s="37">
        <f t="shared" si="19"/>
        <v>2016</v>
      </c>
      <c r="E140" s="37">
        <f t="shared" si="19"/>
        <v>2017</v>
      </c>
      <c r="F140" s="37">
        <f t="shared" si="19"/>
        <v>2018</v>
      </c>
      <c r="G140" s="65">
        <f t="shared" si="19"/>
        <v>2019</v>
      </c>
      <c r="H140" s="65">
        <f t="shared" si="19"/>
        <v>2020</v>
      </c>
      <c r="I140" s="65">
        <f t="shared" si="19"/>
        <v>2021</v>
      </c>
      <c r="J140" s="65">
        <f t="shared" si="19"/>
        <v>2022</v>
      </c>
      <c r="K140" s="65">
        <f t="shared" si="19"/>
        <v>2023</v>
      </c>
      <c r="R140" s="95"/>
      <c r="S140" s="40"/>
    </row>
    <row r="141" spans="3:19" ht="15" customHeight="1">
      <c r="C141" s="17" t="str">
        <f t="shared" ref="C141:K141" si="20">C16</f>
        <v>Fiscal year end date</v>
      </c>
      <c r="D141" s="38">
        <f t="shared" si="20"/>
        <v>42643</v>
      </c>
      <c r="E141" s="38">
        <f t="shared" si="20"/>
        <v>43008</v>
      </c>
      <c r="F141" s="38">
        <f t="shared" si="20"/>
        <v>43372</v>
      </c>
      <c r="G141" s="38">
        <f t="shared" si="20"/>
        <v>43738</v>
      </c>
      <c r="H141" s="38">
        <f t="shared" si="20"/>
        <v>44104</v>
      </c>
      <c r="I141" s="38">
        <f t="shared" si="20"/>
        <v>44469</v>
      </c>
      <c r="J141" s="38">
        <f t="shared" si="20"/>
        <v>44834</v>
      </c>
      <c r="K141" s="38">
        <f t="shared" si="20"/>
        <v>45199</v>
      </c>
      <c r="R141" s="95"/>
    </row>
    <row r="142" spans="3:19" ht="15" customHeight="1">
      <c r="C142" s="29"/>
      <c r="D142" s="42"/>
      <c r="E142" s="42"/>
      <c r="F142" s="42"/>
      <c r="G142" s="96"/>
      <c r="H142" s="96"/>
      <c r="I142" s="96"/>
      <c r="J142" s="96"/>
      <c r="K142" s="96"/>
      <c r="R142" s="95"/>
    </row>
    <row r="143" spans="3:19" ht="15" customHeight="1">
      <c r="C143" s="30" t="s">
        <v>160</v>
      </c>
      <c r="D143" s="42">
        <f>-(D25)</f>
        <v>1456</v>
      </c>
      <c r="E143" s="42">
        <f>-(E25)</f>
        <v>2323</v>
      </c>
      <c r="F143" s="42">
        <f>-(F25)</f>
        <v>3240</v>
      </c>
      <c r="G143" s="42">
        <f ca="1">G148+G153</f>
        <v>3223.1468651501777</v>
      </c>
      <c r="H143" s="42">
        <f ca="1">H148+H153</f>
        <v>3223.5392651501775</v>
      </c>
      <c r="I143" s="42">
        <f ca="1">I148+I153</f>
        <v>3223.5392651501775</v>
      </c>
      <c r="J143" s="42">
        <f ca="1">J148+J153</f>
        <v>3223.5392651501775</v>
      </c>
      <c r="K143" s="42">
        <f ca="1">K148+K153</f>
        <v>3223.5392651501775</v>
      </c>
      <c r="M143" t="s">
        <v>161</v>
      </c>
      <c r="R143" s="40"/>
    </row>
    <row r="144" spans="3:19" ht="15" customHeight="1">
      <c r="C144" s="97"/>
      <c r="R144" s="40"/>
    </row>
    <row r="145" spans="3:18" ht="15" customHeight="1">
      <c r="C145" s="98" t="s">
        <v>162</v>
      </c>
      <c r="R145" s="40"/>
    </row>
    <row r="146" spans="3:18" ht="15" customHeight="1">
      <c r="C146" s="29" t="s">
        <v>163</v>
      </c>
      <c r="E146" s="99">
        <v>1.2E-2</v>
      </c>
      <c r="F146" s="99">
        <v>2.18E-2</v>
      </c>
      <c r="G146" s="125">
        <f>F146</f>
        <v>2.18E-2</v>
      </c>
      <c r="H146" s="125">
        <f>G146</f>
        <v>2.18E-2</v>
      </c>
      <c r="I146" s="125">
        <f>H146</f>
        <v>2.18E-2</v>
      </c>
      <c r="J146" s="125">
        <f>I146</f>
        <v>2.18E-2</v>
      </c>
      <c r="K146" s="125">
        <f>J146</f>
        <v>2.18E-2</v>
      </c>
      <c r="M146" t="s">
        <v>164</v>
      </c>
    </row>
    <row r="147" spans="3:18" ht="15" customHeight="1">
      <c r="C147" s="29" t="s">
        <v>165</v>
      </c>
      <c r="D147" s="85"/>
      <c r="E147" s="85">
        <f t="shared" ref="E147:K147" si="21">E57</f>
        <v>11977</v>
      </c>
      <c r="F147" s="85">
        <f t="shared" si="21"/>
        <v>11964</v>
      </c>
      <c r="G147" s="42">
        <f t="shared" ca="1" si="21"/>
        <v>12000</v>
      </c>
      <c r="H147" s="42">
        <f t="shared" ca="1" si="21"/>
        <v>12000</v>
      </c>
      <c r="I147" s="42">
        <f t="shared" ca="1" si="21"/>
        <v>12000</v>
      </c>
      <c r="J147" s="42">
        <f t="shared" ca="1" si="21"/>
        <v>12000</v>
      </c>
      <c r="K147" s="42">
        <f t="shared" ca="1" si="21"/>
        <v>12000</v>
      </c>
      <c r="M147" t="s">
        <v>166</v>
      </c>
    </row>
    <row r="148" spans="3:18" ht="15" customHeight="1">
      <c r="C148" s="101" t="s">
        <v>167</v>
      </c>
      <c r="D148" s="42"/>
      <c r="E148" s="45">
        <f>AVERAGE(D147:E147)*E146</f>
        <v>143.72399999999999</v>
      </c>
      <c r="F148" s="45">
        <f>AVERAGE(E147:F147)*F146</f>
        <v>260.95690000000002</v>
      </c>
      <c r="G148" s="119">
        <f ca="1">IF($D$7=1,AVERAGE(F147:G147)*G146,0)</f>
        <v>261.20760000000001</v>
      </c>
      <c r="H148" s="119">
        <f ca="1">IF($D$7=1,AVERAGE(G147:H147)*H146,0)</f>
        <v>261.60000000000002</v>
      </c>
      <c r="I148" s="119">
        <f ca="1">IF($D$7=1,AVERAGE(H147:I147)*I146,0)</f>
        <v>261.60000000000002</v>
      </c>
      <c r="J148" s="119">
        <f ca="1">IF($D$7=1,AVERAGE(I147:J147)*J146,0)</f>
        <v>261.60000000000002</v>
      </c>
      <c r="K148" s="119">
        <f ca="1">IF($D$7=1,AVERAGE(J147:K147)*K146,0)</f>
        <v>261.60000000000002</v>
      </c>
      <c r="M148" t="s">
        <v>168</v>
      </c>
    </row>
    <row r="149" spans="3:18" ht="15" customHeight="1">
      <c r="C149" s="103"/>
      <c r="D149" s="42"/>
      <c r="E149" s="42"/>
      <c r="F149" s="42"/>
    </row>
    <row r="150" spans="3:18" ht="15" customHeight="1">
      <c r="C150" s="98" t="s">
        <v>105</v>
      </c>
      <c r="D150" s="42"/>
      <c r="E150" s="42"/>
      <c r="F150" s="42"/>
    </row>
    <row r="151" spans="3:18" ht="15" customHeight="1">
      <c r="C151" s="29" t="s">
        <v>165</v>
      </c>
      <c r="D151" s="42"/>
      <c r="E151" s="42">
        <f t="shared" ref="E151:K151" si="22">E58</f>
        <v>103703</v>
      </c>
      <c r="F151" s="42">
        <f t="shared" si="22"/>
        <v>102519</v>
      </c>
      <c r="G151" s="42">
        <f t="shared" si="22"/>
        <v>102519</v>
      </c>
      <c r="H151" s="42">
        <f t="shared" si="22"/>
        <v>102519</v>
      </c>
      <c r="I151" s="42">
        <f t="shared" si="22"/>
        <v>102519</v>
      </c>
      <c r="J151" s="42">
        <f t="shared" si="22"/>
        <v>102519</v>
      </c>
      <c r="K151" s="42">
        <f t="shared" si="22"/>
        <v>102519</v>
      </c>
      <c r="M151" t="s">
        <v>107</v>
      </c>
    </row>
    <row r="152" spans="3:18" ht="15" customHeight="1">
      <c r="C152" s="29" t="s">
        <v>163</v>
      </c>
      <c r="E152" s="51">
        <f>E153/AVERAGE(D151:E151)</f>
        <v>2.101458974185896E-2</v>
      </c>
      <c r="F152" s="51">
        <f>F153/AVERAGE(E151:F151)</f>
        <v>2.8891612921996681E-2</v>
      </c>
      <c r="G152" s="125">
        <f>F152</f>
        <v>2.8891612921996681E-2</v>
      </c>
      <c r="H152" s="125">
        <f>G152</f>
        <v>2.8891612921996681E-2</v>
      </c>
      <c r="I152" s="125">
        <f>H152</f>
        <v>2.8891612921996681E-2</v>
      </c>
      <c r="J152" s="125">
        <f>I152</f>
        <v>2.8891612921996681E-2</v>
      </c>
      <c r="K152" s="125">
        <f>J152</f>
        <v>2.8891612921996681E-2</v>
      </c>
      <c r="M152" t="s">
        <v>164</v>
      </c>
      <c r="R152" s="95"/>
    </row>
    <row r="153" spans="3:18" ht="15" customHeight="1">
      <c r="C153" s="70" t="s">
        <v>169</v>
      </c>
      <c r="D153" s="45"/>
      <c r="E153" s="45">
        <f>E143-E148</f>
        <v>2179.2759999999998</v>
      </c>
      <c r="F153" s="45">
        <f>F143-F148</f>
        <v>2979.0430999999999</v>
      </c>
      <c r="G153" s="41">
        <f>G152*AVERAGE(F151:G151)</f>
        <v>2961.9392651501776</v>
      </c>
      <c r="H153" s="41">
        <f>H152*AVERAGE(G151:H151)</f>
        <v>2961.9392651501776</v>
      </c>
      <c r="I153" s="41">
        <f>I152*AVERAGE(H151:I151)</f>
        <v>2961.9392651501776</v>
      </c>
      <c r="J153" s="41">
        <f>J152*AVERAGE(I151:J151)</f>
        <v>2961.9392651501776</v>
      </c>
      <c r="K153" s="41">
        <f>K152*AVERAGE(J151:K151)</f>
        <v>2961.9392651501776</v>
      </c>
      <c r="M153" t="s">
        <v>170</v>
      </c>
    </row>
    <row r="154" spans="3:18" ht="15" customHeight="1">
      <c r="E154" s="42"/>
    </row>
    <row r="155" spans="3:18" ht="15" customHeight="1">
      <c r="C155" s="97" t="s">
        <v>171</v>
      </c>
      <c r="E155" s="42"/>
      <c r="F155" s="42"/>
    </row>
    <row r="156" spans="3:18" ht="15" customHeight="1">
      <c r="C156" s="29" t="s">
        <v>172</v>
      </c>
      <c r="D156" s="49">
        <v>1.7299999999999999E-2</v>
      </c>
      <c r="E156" s="99">
        <v>1.9900000000000001E-2</v>
      </c>
      <c r="F156" s="99">
        <v>2.1600000000000001E-2</v>
      </c>
      <c r="G156" s="127">
        <f>F156</f>
        <v>2.1600000000000001E-2</v>
      </c>
      <c r="H156" s="127">
        <f>G156</f>
        <v>2.1600000000000001E-2</v>
      </c>
      <c r="I156" s="127">
        <f>H156</f>
        <v>2.1600000000000001E-2</v>
      </c>
      <c r="J156" s="127">
        <f>I156</f>
        <v>2.1600000000000001E-2</v>
      </c>
      <c r="K156" s="127">
        <f>J156</f>
        <v>2.1600000000000001E-2</v>
      </c>
      <c r="M156" t="s">
        <v>164</v>
      </c>
    </row>
    <row r="157" spans="3:18" ht="15" customHeight="1">
      <c r="C157" s="29" t="s">
        <v>19</v>
      </c>
      <c r="D157" s="42">
        <f>D24</f>
        <v>3999</v>
      </c>
      <c r="E157" s="42">
        <f>E24</f>
        <v>5201</v>
      </c>
      <c r="F157" s="42">
        <f>F24</f>
        <v>5686</v>
      </c>
      <c r="G157" s="44">
        <f ca="1">IF($D$7=1,AVERAGE(F46,G46)*G156,0)</f>
        <v>4744.4371106301642</v>
      </c>
      <c r="H157" s="44">
        <f ca="1">IF($D$7=1,AVERAGE(G46,H46)*H156,0)</f>
        <v>4090.2133392642463</v>
      </c>
      <c r="I157" s="44">
        <f ca="1">IF($D$7=1,AVERAGE(H46,I46)*I156,0)</f>
        <v>3592.0870665129901</v>
      </c>
      <c r="J157" s="44">
        <f ca="1">IF($D$7=1,AVERAGE(I46,J46)*J156,0)</f>
        <v>3200.5876330043361</v>
      </c>
      <c r="K157" s="44">
        <f ca="1">IF($D$7=1,AVERAGE(J46,K46)*K156,0)</f>
        <v>2913.259316698618</v>
      </c>
      <c r="M157" t="s">
        <v>173</v>
      </c>
    </row>
    <row r="158" spans="3:18" ht="15" customHeight="1">
      <c r="C158" s="50"/>
      <c r="D158" s="51"/>
      <c r="E158" s="51"/>
      <c r="F158" s="51"/>
      <c r="G158" s="51"/>
      <c r="H158" s="51"/>
    </row>
    <row r="159" spans="3:18" ht="15" customHeight="1">
      <c r="C159" s="16" t="s">
        <v>191</v>
      </c>
      <c r="D159" s="16"/>
      <c r="E159" s="16"/>
      <c r="F159" s="16"/>
      <c r="G159" s="16"/>
      <c r="H159" s="16"/>
      <c r="I159" s="16"/>
      <c r="J159" s="16"/>
      <c r="K159" s="16"/>
    </row>
    <row r="160" spans="3:18" ht="15" customHeight="1">
      <c r="C160" s="27"/>
    </row>
    <row r="161" spans="3:16" ht="15.75" customHeight="1">
      <c r="C161" s="128" t="s">
        <v>192</v>
      </c>
      <c r="D161" s="129"/>
      <c r="E161" s="129"/>
      <c r="F161" s="129"/>
      <c r="G161" s="129"/>
      <c r="H161" s="129"/>
      <c r="I161" s="129"/>
    </row>
    <row r="162" spans="3:16" ht="15" customHeight="1">
      <c r="D162" s="27"/>
      <c r="E162" s="2" t="s">
        <v>193</v>
      </c>
      <c r="F162" s="2"/>
      <c r="G162" s="2"/>
      <c r="H162" s="2"/>
      <c r="I162" s="2"/>
    </row>
    <row r="163" spans="3:16" ht="15.75" customHeight="1">
      <c r="D163" s="131">
        <f ca="1">G29</f>
        <v>52298.506097684833</v>
      </c>
      <c r="E163" s="132">
        <v>-0.05</v>
      </c>
      <c r="F163" s="132">
        <v>-2.5000000000000001E-2</v>
      </c>
      <c r="G163" s="132">
        <v>0</v>
      </c>
      <c r="H163" s="132">
        <v>2.5000000000000001E-2</v>
      </c>
      <c r="I163" s="132">
        <v>0.05</v>
      </c>
    </row>
    <row r="164" spans="3:16" ht="15" customHeight="1">
      <c r="C164" s="154"/>
      <c r="D164" s="133">
        <v>0.39</v>
      </c>
      <c r="E164" s="134">
        <v>52298.537361774601</v>
      </c>
      <c r="F164" s="134">
        <v>52298.537361774601</v>
      </c>
      <c r="G164" s="134">
        <v>52298.537361774601</v>
      </c>
      <c r="H164" s="134">
        <v>52298.537361774601</v>
      </c>
      <c r="I164" s="134">
        <v>52298.537361774601</v>
      </c>
    </row>
    <row r="165" spans="3:16" ht="15" customHeight="1">
      <c r="C165" s="135" t="s">
        <v>194</v>
      </c>
      <c r="D165" s="133">
        <v>0.38500000000000001</v>
      </c>
      <c r="E165" s="134">
        <v>52298.537361774601</v>
      </c>
      <c r="F165" s="134">
        <v>52298.537361774601</v>
      </c>
      <c r="G165" s="134">
        <v>52298.537361774601</v>
      </c>
      <c r="H165" s="134">
        <v>52298.537361774601</v>
      </c>
      <c r="I165" s="134">
        <v>52298.537361774601</v>
      </c>
    </row>
    <row r="166" spans="3:16" ht="15" customHeight="1">
      <c r="C166" s="135" t="s">
        <v>195</v>
      </c>
      <c r="D166" s="133">
        <v>0.38</v>
      </c>
      <c r="E166" s="134">
        <v>52298.537361774601</v>
      </c>
      <c r="F166" s="134">
        <v>52298.537361774601</v>
      </c>
      <c r="G166" s="134">
        <v>52298.537361774601</v>
      </c>
      <c r="H166" s="134">
        <v>52298.537361774601</v>
      </c>
      <c r="I166" s="134">
        <v>52298.537361774601</v>
      </c>
    </row>
    <row r="167" spans="3:16" ht="15" customHeight="1">
      <c r="C167" s="135" t="s">
        <v>196</v>
      </c>
      <c r="D167" s="133">
        <v>0.375</v>
      </c>
      <c r="E167" s="134">
        <v>52298.537361774601</v>
      </c>
      <c r="F167" s="134">
        <v>52298.537361774601</v>
      </c>
      <c r="G167" s="134">
        <v>52298.537361774601</v>
      </c>
      <c r="H167" s="134">
        <v>52298.537361774601</v>
      </c>
      <c r="I167" s="134">
        <v>52298.537361774601</v>
      </c>
    </row>
    <row r="168" spans="3:16" ht="15" customHeight="1">
      <c r="D168" s="133">
        <v>0.37</v>
      </c>
      <c r="E168" s="134">
        <v>52298.537361774601</v>
      </c>
      <c r="F168" s="134">
        <v>52298.537361774601</v>
      </c>
      <c r="G168" s="134">
        <v>52298.537361774601</v>
      </c>
      <c r="H168" s="134">
        <v>52298.537361774601</v>
      </c>
      <c r="I168" s="134">
        <v>52298.537361774601</v>
      </c>
    </row>
    <row r="169" spans="3:16" ht="15" customHeight="1">
      <c r="D169" s="133">
        <v>0.36499999999999999</v>
      </c>
      <c r="E169" s="134">
        <v>52298.537361774601</v>
      </c>
      <c r="F169" s="134">
        <v>52298.537361774601</v>
      </c>
      <c r="G169" s="134">
        <v>52298.537361774601</v>
      </c>
      <c r="H169" s="134">
        <v>52298.537361774601</v>
      </c>
      <c r="I169" s="134">
        <v>52298.537361774601</v>
      </c>
    </row>
    <row r="171" spans="3:16" ht="15" customHeight="1">
      <c r="C171" s="16" t="s">
        <v>197</v>
      </c>
      <c r="D171" s="16"/>
      <c r="E171" s="16"/>
      <c r="F171" s="16"/>
      <c r="G171" s="16"/>
      <c r="H171" s="16"/>
      <c r="I171" s="16"/>
      <c r="J171" s="16"/>
      <c r="K171" s="16"/>
    </row>
    <row r="172" spans="3:16" ht="15.75" customHeight="1"/>
    <row r="173" spans="3:16" ht="15.75" customHeight="1">
      <c r="C173" t="s">
        <v>198</v>
      </c>
      <c r="D173" s="136" t="str">
        <f>D12</f>
        <v>Base case</v>
      </c>
      <c r="F173" s="137" t="s">
        <v>199</v>
      </c>
      <c r="G173" s="65">
        <f t="shared" ref="G173:K174" si="23">G15</f>
        <v>2019</v>
      </c>
      <c r="H173" s="65">
        <f t="shared" si="23"/>
        <v>2020</v>
      </c>
      <c r="I173" s="65">
        <f t="shared" si="23"/>
        <v>2021</v>
      </c>
      <c r="J173" s="65">
        <f t="shared" si="23"/>
        <v>2022</v>
      </c>
      <c r="K173" s="65">
        <f t="shared" si="23"/>
        <v>2023</v>
      </c>
    </row>
    <row r="174" spans="3:16" ht="15" customHeight="1">
      <c r="E174" s="138"/>
      <c r="F174" s="139" t="s">
        <v>200</v>
      </c>
      <c r="G174" s="38">
        <f t="shared" si="23"/>
        <v>43738</v>
      </c>
      <c r="H174" s="38">
        <f t="shared" si="23"/>
        <v>44104</v>
      </c>
      <c r="I174" s="38">
        <f t="shared" si="23"/>
        <v>44469</v>
      </c>
      <c r="J174" s="38">
        <f t="shared" si="23"/>
        <v>44834</v>
      </c>
      <c r="K174" s="38">
        <f t="shared" si="23"/>
        <v>45199</v>
      </c>
    </row>
    <row r="175" spans="3:16" ht="15" customHeight="1">
      <c r="C175" s="29" t="s">
        <v>30</v>
      </c>
      <c r="F175" s="140" t="str">
        <f t="shared" ref="F175:K178" ca="1" si="24">OFFSET(F$180,MATCH($D$12,$C$181:$C$183,0)+MATCH($C175,$C$180:$C$195,0)-1,0)</f>
        <v>NM</v>
      </c>
      <c r="G175" s="141">
        <f t="shared" ca="1" si="24"/>
        <v>-0.04</v>
      </c>
      <c r="H175" s="141">
        <f t="shared" ca="1" si="24"/>
        <v>0.06</v>
      </c>
      <c r="I175" s="141">
        <f t="shared" ca="1" si="24"/>
        <v>6.9000000000000006E-2</v>
      </c>
      <c r="J175" s="141">
        <f t="shared" ca="1" si="24"/>
        <v>6.9000000000000006E-2</v>
      </c>
      <c r="K175" s="141">
        <f t="shared" ca="1" si="24"/>
        <v>6.9000000000000006E-2</v>
      </c>
      <c r="M175" s="142"/>
      <c r="N175" s="142"/>
      <c r="O175" s="142"/>
      <c r="P175" s="142"/>
    </row>
    <row r="176" spans="3:16" ht="15" customHeight="1">
      <c r="C176" s="29" t="s">
        <v>31</v>
      </c>
      <c r="F176" s="140" t="str">
        <f t="shared" ca="1" si="24"/>
        <v>NM</v>
      </c>
      <c r="G176" s="141">
        <f t="shared" ca="1" si="24"/>
        <v>0.378</v>
      </c>
      <c r="H176" s="141">
        <f t="shared" ca="1" si="24"/>
        <v>0.38100000000000001</v>
      </c>
      <c r="I176" s="141">
        <f t="shared" ca="1" si="24"/>
        <v>0.38200000000000001</v>
      </c>
      <c r="J176" s="141">
        <f t="shared" ca="1" si="24"/>
        <v>0.38200000000000001</v>
      </c>
      <c r="K176" s="141">
        <f t="shared" ca="1" si="24"/>
        <v>0.38200000000000001</v>
      </c>
      <c r="M176" s="142"/>
      <c r="N176" s="142"/>
      <c r="O176" s="142"/>
      <c r="P176" s="142"/>
    </row>
    <row r="177" spans="3:19" ht="15" customHeight="1">
      <c r="C177" s="29" t="s">
        <v>32</v>
      </c>
      <c r="F177" s="140" t="str">
        <f t="shared" ca="1" si="24"/>
        <v>NM</v>
      </c>
      <c r="G177" s="141">
        <f t="shared" ca="1" si="24"/>
        <v>6.2E-2</v>
      </c>
      <c r="H177" s="141">
        <f t="shared" ca="1" si="24"/>
        <v>6.3E-2</v>
      </c>
      <c r="I177" s="141">
        <f t="shared" ca="1" si="24"/>
        <v>6.3E-2</v>
      </c>
      <c r="J177" s="141">
        <f t="shared" ca="1" si="24"/>
        <v>6.3E-2</v>
      </c>
      <c r="K177" s="141">
        <f t="shared" ca="1" si="24"/>
        <v>6.3E-2</v>
      </c>
      <c r="M177" s="142"/>
      <c r="N177" s="142"/>
      <c r="O177" s="142"/>
      <c r="P177" s="142"/>
    </row>
    <row r="178" spans="3:19" ht="15" customHeight="1">
      <c r="C178" s="29" t="s">
        <v>33</v>
      </c>
      <c r="F178" s="140" t="str">
        <f t="shared" ca="1" si="24"/>
        <v>NM</v>
      </c>
      <c r="G178" s="141">
        <f t="shared" ca="1" si="24"/>
        <v>7.3999999999999996E-2</v>
      </c>
      <c r="H178" s="141">
        <f t="shared" ca="1" si="24"/>
        <v>6.9000000000000006E-2</v>
      </c>
      <c r="I178" s="141">
        <f t="shared" ca="1" si="24"/>
        <v>6.9000000000000006E-2</v>
      </c>
      <c r="J178" s="141">
        <f t="shared" ca="1" si="24"/>
        <v>6.9000000000000006E-2</v>
      </c>
      <c r="K178" s="141">
        <f t="shared" ca="1" si="24"/>
        <v>6.9000000000000006E-2</v>
      </c>
      <c r="M178" s="142"/>
      <c r="N178" s="142"/>
      <c r="O178" s="142"/>
      <c r="P178" s="142"/>
    </row>
    <row r="179" spans="3:19" ht="15" customHeight="1">
      <c r="F179" s="143"/>
    </row>
    <row r="180" spans="3:19" ht="15" customHeight="1">
      <c r="C180" s="70" t="s">
        <v>30</v>
      </c>
      <c r="F180" s="143"/>
    </row>
    <row r="181" spans="3:19" ht="15" customHeight="1">
      <c r="C181" s="103" t="s">
        <v>201</v>
      </c>
      <c r="F181" s="144">
        <v>2.5000000000000001E-2</v>
      </c>
      <c r="G181" s="63">
        <f>G182+$F$181</f>
        <v>-1.4999999999999999E-2</v>
      </c>
      <c r="H181" s="63">
        <f>H182+$F$181</f>
        <v>8.4999999999999992E-2</v>
      </c>
      <c r="I181" s="63">
        <f>I182+$F$181</f>
        <v>9.4E-2</v>
      </c>
      <c r="J181" s="63">
        <f>J182+$F$181</f>
        <v>9.4E-2</v>
      </c>
      <c r="K181" s="63">
        <f>K182+$F$181</f>
        <v>9.4E-2</v>
      </c>
    </row>
    <row r="182" spans="3:19" ht="15" customHeight="1">
      <c r="C182" s="103" t="s">
        <v>189</v>
      </c>
      <c r="F182" s="145" t="s">
        <v>202</v>
      </c>
      <c r="G182" s="35">
        <v>-0.04</v>
      </c>
      <c r="H182" s="35">
        <v>0.06</v>
      </c>
      <c r="I182" s="35">
        <v>6.9000000000000006E-2</v>
      </c>
      <c r="J182" s="63">
        <f>I182</f>
        <v>6.9000000000000006E-2</v>
      </c>
      <c r="K182" s="63">
        <f>J182</f>
        <v>6.9000000000000006E-2</v>
      </c>
      <c r="M182" t="s">
        <v>84</v>
      </c>
      <c r="O182" s="35"/>
      <c r="P182" s="35"/>
      <c r="Q182" s="35"/>
      <c r="R182" s="35"/>
      <c r="S182" s="35"/>
    </row>
    <row r="183" spans="3:19" ht="15" customHeight="1">
      <c r="C183" s="103" t="s">
        <v>203</v>
      </c>
      <c r="F183" s="144">
        <v>-2.5000000000000001E-2</v>
      </c>
      <c r="G183" s="63">
        <f>G182+$F$183</f>
        <v>-6.5000000000000002E-2</v>
      </c>
      <c r="H183" s="63">
        <f>H182+$F$183</f>
        <v>3.4999999999999996E-2</v>
      </c>
      <c r="I183" s="63">
        <f>I182+$F$183</f>
        <v>4.4000000000000004E-2</v>
      </c>
      <c r="J183" s="63">
        <f>J182+$F$183</f>
        <v>4.4000000000000004E-2</v>
      </c>
      <c r="K183" s="63">
        <f>K182+$F$183</f>
        <v>4.4000000000000004E-2</v>
      </c>
      <c r="O183" s="35"/>
      <c r="P183" s="35"/>
      <c r="Q183" s="35"/>
      <c r="R183" s="35"/>
      <c r="S183" s="35"/>
    </row>
    <row r="184" spans="3:19" ht="15" customHeight="1">
      <c r="C184" s="70" t="s">
        <v>31</v>
      </c>
      <c r="F184" s="145"/>
      <c r="G184" s="35"/>
      <c r="H184" s="35"/>
      <c r="I184" s="35"/>
      <c r="J184" s="35"/>
      <c r="K184" s="35"/>
      <c r="O184" s="35"/>
      <c r="P184" s="35"/>
      <c r="Q184" s="35"/>
      <c r="R184" s="35"/>
      <c r="S184" s="35"/>
    </row>
    <row r="185" spans="3:19" ht="15" customHeight="1">
      <c r="C185" s="103" t="s">
        <v>201</v>
      </c>
      <c r="F185" s="144">
        <v>0.01</v>
      </c>
      <c r="G185" s="63">
        <f>G186+$F$185</f>
        <v>0.38800000000000001</v>
      </c>
      <c r="H185" s="63">
        <f>H186+$F$185</f>
        <v>0.39100000000000001</v>
      </c>
      <c r="I185" s="63">
        <f>I186+$F$185</f>
        <v>0.39200000000000002</v>
      </c>
      <c r="J185" s="63">
        <f>J186+$F$185</f>
        <v>0.39200000000000002</v>
      </c>
      <c r="K185" s="63">
        <f>K186+$F$185</f>
        <v>0.39200000000000002</v>
      </c>
    </row>
    <row r="186" spans="3:19" ht="15" customHeight="1">
      <c r="C186" s="103" t="s">
        <v>189</v>
      </c>
      <c r="F186" s="145" t="s">
        <v>202</v>
      </c>
      <c r="G186" s="35">
        <v>0.378</v>
      </c>
      <c r="H186" s="35">
        <v>0.38100000000000001</v>
      </c>
      <c r="I186" s="35">
        <v>0.38200000000000001</v>
      </c>
      <c r="J186" s="63">
        <f>I186</f>
        <v>0.38200000000000001</v>
      </c>
      <c r="K186" s="63">
        <f>J186</f>
        <v>0.38200000000000001</v>
      </c>
      <c r="M186" t="s">
        <v>85</v>
      </c>
    </row>
    <row r="187" spans="3:19" ht="15" customHeight="1">
      <c r="C187" s="103" t="s">
        <v>203</v>
      </c>
      <c r="F187" s="144">
        <v>-0.01</v>
      </c>
      <c r="G187" s="63">
        <f>G186+$F$187</f>
        <v>0.36799999999999999</v>
      </c>
      <c r="H187" s="63">
        <f>H186+$F$187</f>
        <v>0.371</v>
      </c>
      <c r="I187" s="63">
        <f>I186+$F$187</f>
        <v>0.372</v>
      </c>
      <c r="J187" s="63">
        <f>J186+$F$187</f>
        <v>0.372</v>
      </c>
      <c r="K187" s="63">
        <f>K186+$F$187</f>
        <v>0.372</v>
      </c>
    </row>
    <row r="188" spans="3:19" ht="15" customHeight="1">
      <c r="C188" s="70" t="s">
        <v>32</v>
      </c>
      <c r="F188" s="145"/>
      <c r="G188" s="146"/>
      <c r="H188" s="146"/>
      <c r="I188" s="146"/>
      <c r="J188" s="146"/>
      <c r="K188" s="146"/>
    </row>
    <row r="189" spans="3:19" ht="15" customHeight="1">
      <c r="C189" s="103" t="s">
        <v>201</v>
      </c>
      <c r="F189" s="144">
        <v>-0.01</v>
      </c>
      <c r="G189" s="63">
        <f>G190+$F$189</f>
        <v>5.1999999999999998E-2</v>
      </c>
      <c r="H189" s="63">
        <f>H190+$F$189</f>
        <v>5.2999999999999999E-2</v>
      </c>
      <c r="I189" s="63">
        <f>I190+$F$189</f>
        <v>5.2999999999999999E-2</v>
      </c>
      <c r="J189" s="63">
        <f>J190+$F$189</f>
        <v>5.2999999999999999E-2</v>
      </c>
      <c r="K189" s="63">
        <f>K190+$F$189</f>
        <v>5.2999999999999999E-2</v>
      </c>
    </row>
    <row r="190" spans="3:19" ht="15" customHeight="1">
      <c r="C190" s="103" t="s">
        <v>189</v>
      </c>
      <c r="F190" s="145" t="s">
        <v>202</v>
      </c>
      <c r="G190" s="35">
        <v>6.2E-2</v>
      </c>
      <c r="H190" s="35">
        <v>6.3E-2</v>
      </c>
      <c r="I190" s="35">
        <v>6.3E-2</v>
      </c>
      <c r="J190" s="63">
        <f>I190</f>
        <v>6.3E-2</v>
      </c>
      <c r="K190" s="63">
        <f>J190</f>
        <v>6.3E-2</v>
      </c>
      <c r="M190" t="s">
        <v>86</v>
      </c>
    </row>
    <row r="191" spans="3:19" ht="15" customHeight="1">
      <c r="C191" s="103" t="s">
        <v>203</v>
      </c>
      <c r="F191" s="144">
        <v>0.01</v>
      </c>
      <c r="G191" s="63">
        <f>G190+$F$191</f>
        <v>7.1999999999999995E-2</v>
      </c>
      <c r="H191" s="63">
        <f>H190+$F$191</f>
        <v>7.2999999999999995E-2</v>
      </c>
      <c r="I191" s="63">
        <f>I190+$F$191</f>
        <v>7.2999999999999995E-2</v>
      </c>
      <c r="J191" s="63">
        <f>J190+$F$191</f>
        <v>7.2999999999999995E-2</v>
      </c>
      <c r="K191" s="63">
        <f>K190+$F$191</f>
        <v>7.2999999999999995E-2</v>
      </c>
    </row>
    <row r="192" spans="3:19" ht="15" customHeight="1">
      <c r="C192" s="70" t="s">
        <v>33</v>
      </c>
      <c r="F192" s="145"/>
      <c r="G192" s="146"/>
      <c r="H192" s="146"/>
      <c r="I192" s="146"/>
      <c r="J192" s="146"/>
      <c r="K192" s="146"/>
    </row>
    <row r="193" spans="3:13" ht="15" customHeight="1">
      <c r="C193" s="103" t="s">
        <v>201</v>
      </c>
      <c r="F193" s="144">
        <v>-0.01</v>
      </c>
      <c r="G193" s="63">
        <f>G194+$F$193</f>
        <v>6.4000000000000001E-2</v>
      </c>
      <c r="H193" s="63">
        <f>H194+$F$193</f>
        <v>5.9000000000000004E-2</v>
      </c>
      <c r="I193" s="63">
        <f>I194+$F$193</f>
        <v>5.9000000000000004E-2</v>
      </c>
      <c r="J193" s="63">
        <f>J194+$F$193</f>
        <v>5.9000000000000004E-2</v>
      </c>
      <c r="K193" s="63">
        <f>K194+$F$193</f>
        <v>5.9000000000000004E-2</v>
      </c>
    </row>
    <row r="194" spans="3:13" ht="15" customHeight="1">
      <c r="C194" s="103" t="s">
        <v>189</v>
      </c>
      <c r="F194" s="145" t="s">
        <v>202</v>
      </c>
      <c r="G194" s="35">
        <v>7.3999999999999996E-2</v>
      </c>
      <c r="H194" s="35">
        <v>6.9000000000000006E-2</v>
      </c>
      <c r="I194" s="35">
        <v>6.9000000000000006E-2</v>
      </c>
      <c r="J194" s="63">
        <f>I194</f>
        <v>6.9000000000000006E-2</v>
      </c>
      <c r="K194" s="63">
        <f>J194</f>
        <v>6.9000000000000006E-2</v>
      </c>
      <c r="M194" t="s">
        <v>86</v>
      </c>
    </row>
    <row r="195" spans="3:13" ht="15.75" customHeight="1">
      <c r="C195" s="103" t="s">
        <v>203</v>
      </c>
      <c r="F195" s="147">
        <v>0.01</v>
      </c>
      <c r="G195" s="63">
        <f>G194+$F$195</f>
        <v>8.3999999999999991E-2</v>
      </c>
      <c r="H195" s="63">
        <f>H194+$F$195</f>
        <v>7.9000000000000001E-2</v>
      </c>
      <c r="I195" s="63">
        <f>I194+$F$195</f>
        <v>7.9000000000000001E-2</v>
      </c>
      <c r="J195" s="63">
        <f>J194+$F$195</f>
        <v>7.9000000000000001E-2</v>
      </c>
      <c r="K195" s="63">
        <f>K194+$F$195</f>
        <v>7.9000000000000001E-2</v>
      </c>
    </row>
    <row r="197" spans="3:13" ht="15" customHeight="1">
      <c r="C197" s="16" t="s">
        <v>204</v>
      </c>
      <c r="D197" s="16"/>
      <c r="E197" s="16"/>
      <c r="F197" s="16"/>
      <c r="G197" s="16"/>
      <c r="H197" s="16"/>
      <c r="I197" s="16"/>
      <c r="J197" s="16"/>
      <c r="K197" s="16"/>
    </row>
    <row r="198" spans="3:13" ht="15" customHeight="1">
      <c r="C198" s="36" t="str">
        <f t="shared" ref="C198:K198" si="25">C15</f>
        <v xml:space="preserve">Fiscal year  </v>
      </c>
      <c r="D198" s="37">
        <f t="shared" si="25"/>
        <v>2016</v>
      </c>
      <c r="E198" s="37">
        <f t="shared" si="25"/>
        <v>2017</v>
      </c>
      <c r="F198" s="37">
        <f t="shared" si="25"/>
        <v>2018</v>
      </c>
      <c r="G198" s="65">
        <f t="shared" si="25"/>
        <v>2019</v>
      </c>
      <c r="H198" s="65">
        <f t="shared" si="25"/>
        <v>2020</v>
      </c>
      <c r="I198" s="65">
        <f t="shared" si="25"/>
        <v>2021</v>
      </c>
      <c r="J198" s="65">
        <f t="shared" si="25"/>
        <v>2022</v>
      </c>
      <c r="K198" s="65">
        <f t="shared" si="25"/>
        <v>2023</v>
      </c>
    </row>
    <row r="199" spans="3:13" ht="15" customHeight="1">
      <c r="C199" s="17" t="str">
        <f t="shared" ref="C199:K199" si="26">C16</f>
        <v>Fiscal year end date</v>
      </c>
      <c r="D199" s="38">
        <f t="shared" si="26"/>
        <v>42643</v>
      </c>
      <c r="E199" s="38">
        <f t="shared" si="26"/>
        <v>43008</v>
      </c>
      <c r="F199" s="38">
        <f t="shared" si="26"/>
        <v>43372</v>
      </c>
      <c r="G199" s="38">
        <f t="shared" si="26"/>
        <v>43738</v>
      </c>
      <c r="H199" s="38">
        <f t="shared" si="26"/>
        <v>44104</v>
      </c>
      <c r="I199" s="38">
        <f t="shared" si="26"/>
        <v>44469</v>
      </c>
      <c r="J199" s="38">
        <f t="shared" si="26"/>
        <v>44834</v>
      </c>
      <c r="K199" s="38">
        <f t="shared" si="26"/>
        <v>45199</v>
      </c>
    </row>
    <row r="200" spans="3:13" ht="15" customHeight="1">
      <c r="G200" s="35"/>
      <c r="H200" s="35"/>
      <c r="I200" s="35"/>
      <c r="J200" s="63"/>
      <c r="K200" s="63"/>
    </row>
    <row r="201" spans="3:13" ht="15" customHeight="1">
      <c r="C201" t="s">
        <v>24</v>
      </c>
      <c r="D201" s="61">
        <f t="shared" ref="D201:K201" si="27">D29</f>
        <v>45687</v>
      </c>
      <c r="E201" s="61">
        <f t="shared" si="27"/>
        <v>48351</v>
      </c>
      <c r="F201" s="61">
        <f t="shared" si="27"/>
        <v>59531</v>
      </c>
      <c r="G201" s="61">
        <f t="shared" ca="1" si="27"/>
        <v>52298.506097684833</v>
      </c>
      <c r="H201" s="61">
        <f t="shared" ca="1" si="27"/>
        <v>56209.901259754675</v>
      </c>
      <c r="I201" s="61">
        <f t="shared" ca="1" si="27"/>
        <v>59962.520344684504</v>
      </c>
      <c r="J201" s="61">
        <f t="shared" ca="1" si="27"/>
        <v>63778.752555839696</v>
      </c>
      <c r="K201" s="61">
        <f t="shared" ca="1" si="27"/>
        <v>67967.319173978191</v>
      </c>
      <c r="M201" t="s">
        <v>205</v>
      </c>
    </row>
    <row r="202" spans="3:13" ht="15" customHeight="1">
      <c r="C202" t="s">
        <v>206</v>
      </c>
      <c r="D202" s="26">
        <v>5470.82</v>
      </c>
      <c r="E202" s="26">
        <v>5217.2420000000002</v>
      </c>
      <c r="F202" s="26">
        <v>4955.3770000000004</v>
      </c>
      <c r="G202" s="61">
        <f ca="1">F202+(-G208+G209)/G210</f>
        <v>4577.9903333333341</v>
      </c>
      <c r="H202" s="61">
        <f ca="1">G202+(-H208+H209)/H210</f>
        <v>4251.3139275362328</v>
      </c>
      <c r="I202" s="61">
        <f ca="1">H202+(-I208+I209)/I210</f>
        <v>3968.822555538753</v>
      </c>
      <c r="J202" s="61">
        <f ca="1">I202+(-J208+J209)/J210</f>
        <v>3724.6420125027594</v>
      </c>
      <c r="K202" s="61">
        <f ca="1">J202+(-K208+K209)/K210</f>
        <v>3513.6721082249628</v>
      </c>
      <c r="M202" t="s">
        <v>236</v>
      </c>
    </row>
    <row r="203" spans="3:13" ht="15" customHeight="1">
      <c r="C203" s="27" t="s">
        <v>208</v>
      </c>
      <c r="D203" s="149">
        <f t="shared" ref="D203:K203" si="28">D201/D202</f>
        <v>8.3510333003096431</v>
      </c>
      <c r="E203" s="149">
        <f t="shared" si="28"/>
        <v>9.2675402061088974</v>
      </c>
      <c r="F203" s="149">
        <f t="shared" si="28"/>
        <v>12.0134149228202</v>
      </c>
      <c r="G203" s="149">
        <f t="shared" ca="1" si="28"/>
        <v>11.423900508676949</v>
      </c>
      <c r="H203" s="149">
        <f t="shared" ca="1" si="28"/>
        <v>13.221771484734848</v>
      </c>
      <c r="I203" s="149">
        <f t="shared" ca="1" si="28"/>
        <v>15.108390336323518</v>
      </c>
      <c r="J203" s="149">
        <f t="shared" ca="1" si="28"/>
        <v>17.12345839996145</v>
      </c>
      <c r="K203" s="149">
        <f t="shared" ca="1" si="28"/>
        <v>19.343671543761072</v>
      </c>
      <c r="M203" t="s">
        <v>209</v>
      </c>
    </row>
    <row r="204" spans="3:13" ht="15" customHeight="1">
      <c r="D204" s="39"/>
      <c r="E204" s="39"/>
      <c r="F204" s="39"/>
      <c r="G204" s="42"/>
    </row>
    <row r="205" spans="3:13" ht="15" customHeight="1">
      <c r="C205" t="s">
        <v>210</v>
      </c>
      <c r="D205" s="26">
        <v>5500.2809999999999</v>
      </c>
      <c r="E205" s="26">
        <v>5251.692</v>
      </c>
      <c r="F205" s="26">
        <v>5000.1090000000004</v>
      </c>
      <c r="G205" s="61">
        <f ca="1">G202+F205-F202</f>
        <v>4622.722333333335</v>
      </c>
      <c r="H205" s="61">
        <f ca="1">H202+G205-G202</f>
        <v>4296.0459275362346</v>
      </c>
      <c r="I205" s="61">
        <f ca="1">I202+H205-H202</f>
        <v>4013.5545555387553</v>
      </c>
      <c r="J205" s="61">
        <f ca="1">J202+I205-I202</f>
        <v>3769.3740125027612</v>
      </c>
      <c r="K205" s="61">
        <f ca="1">K202+J205-J202</f>
        <v>3558.4041082249646</v>
      </c>
      <c r="M205" t="s">
        <v>211</v>
      </c>
    </row>
    <row r="206" spans="3:13" ht="15" customHeight="1">
      <c r="C206" s="27" t="s">
        <v>212</v>
      </c>
      <c r="D206" s="149">
        <f t="shared" ref="D206:K206" si="29">D201/D205</f>
        <v>8.3063028961611227</v>
      </c>
      <c r="E206" s="149">
        <f t="shared" si="29"/>
        <v>9.2067470826545037</v>
      </c>
      <c r="F206" s="149">
        <f t="shared" si="29"/>
        <v>11.905940450498179</v>
      </c>
      <c r="G206" s="149">
        <f t="shared" ca="1" si="29"/>
        <v>11.313356573587154</v>
      </c>
      <c r="H206" s="149">
        <f t="shared" ca="1" si="29"/>
        <v>13.084101568716429</v>
      </c>
      <c r="I206" s="149">
        <f t="shared" ca="1" si="29"/>
        <v>14.940003808328823</v>
      </c>
      <c r="J206" s="149">
        <f t="shared" ca="1" si="29"/>
        <v>16.92025050957794</v>
      </c>
      <c r="K206" s="149">
        <f t="shared" ca="1" si="29"/>
        <v>19.100506043390968</v>
      </c>
      <c r="M206" t="s">
        <v>213</v>
      </c>
    </row>
    <row r="207" spans="3:13" ht="15" customHeight="1">
      <c r="G207" s="151"/>
    </row>
    <row r="208" spans="3:13" ht="15" customHeight="1">
      <c r="C208" t="s">
        <v>214</v>
      </c>
      <c r="G208" s="61">
        <f>-(G119)</f>
        <v>73056</v>
      </c>
      <c r="H208" s="61">
        <f>-(H119)</f>
        <v>73056</v>
      </c>
      <c r="I208" s="61">
        <f>-(I119)</f>
        <v>73056</v>
      </c>
      <c r="J208" s="61">
        <f>-(J119)</f>
        <v>73056</v>
      </c>
      <c r="K208" s="61">
        <f>-(K119)</f>
        <v>73056</v>
      </c>
      <c r="M208" t="s">
        <v>215</v>
      </c>
    </row>
    <row r="209" spans="3:13" ht="15" customHeight="1">
      <c r="C209" t="s">
        <v>216</v>
      </c>
      <c r="G209" s="58">
        <f ca="1">G33</f>
        <v>5126.3999999999996</v>
      </c>
      <c r="H209" s="58">
        <f ca="1">H33</f>
        <v>5433.9839999999995</v>
      </c>
      <c r="I209" s="58">
        <f ca="1">I33</f>
        <v>5808.9288959999994</v>
      </c>
      <c r="J209" s="58">
        <f ca="1">J33</f>
        <v>6209.7449898239993</v>
      </c>
      <c r="K209" s="58">
        <f ca="1">K33</f>
        <v>6638.2173941218552</v>
      </c>
      <c r="M209" t="s">
        <v>217</v>
      </c>
    </row>
    <row r="210" spans="3:13" ht="15" customHeight="1">
      <c r="C210" t="s">
        <v>218</v>
      </c>
      <c r="G210" s="152">
        <v>180</v>
      </c>
      <c r="H210" s="157">
        <f>G210*(1+H211)</f>
        <v>206.99999999999997</v>
      </c>
      <c r="I210" s="157">
        <f>H210*(1+I211)</f>
        <v>238.04999999999995</v>
      </c>
      <c r="J210" s="157">
        <f>I210*(1+J211)</f>
        <v>273.75749999999994</v>
      </c>
      <c r="K210" s="157">
        <f>J210*(1+K211)</f>
        <v>314.82112499999988</v>
      </c>
      <c r="M210" t="s">
        <v>219</v>
      </c>
    </row>
    <row r="211" spans="3:13" ht="15" customHeight="1">
      <c r="C211" t="s">
        <v>220</v>
      </c>
      <c r="H211" s="116">
        <v>0.15</v>
      </c>
      <c r="I211" s="116">
        <v>0.15</v>
      </c>
      <c r="J211" s="116">
        <v>0.15</v>
      </c>
      <c r="K211" s="116">
        <v>0.15</v>
      </c>
      <c r="M211" t="s">
        <v>237</v>
      </c>
    </row>
    <row r="212" spans="3:13" ht="15.75" customHeight="1">
      <c r="C212" s="158" t="s">
        <v>238</v>
      </c>
      <c r="D212" s="129"/>
      <c r="E212" s="129"/>
      <c r="F212" s="129"/>
      <c r="G212" s="129"/>
      <c r="H212" s="129"/>
      <c r="I212" s="129"/>
      <c r="J212" s="129"/>
      <c r="K212" s="129"/>
    </row>
    <row r="213" spans="3:13" ht="15" customHeight="1">
      <c r="C213" s="27" t="s">
        <v>223</v>
      </c>
      <c r="D213" s="27"/>
      <c r="E213" s="27"/>
      <c r="F213" s="154" t="s">
        <v>224</v>
      </c>
      <c r="G213" s="159">
        <f>D11</f>
        <v>4745.3980000000001</v>
      </c>
      <c r="H213" s="66">
        <f ca="1">G215</f>
        <v>4368.0113333333338</v>
      </c>
      <c r="I213" s="66">
        <f ca="1">H215</f>
        <v>4041.3349275362325</v>
      </c>
      <c r="J213" s="66">
        <f ca="1">I215</f>
        <v>3758.8435555387528</v>
      </c>
      <c r="K213" s="66">
        <f ca="1">J215</f>
        <v>3514.6630125027591</v>
      </c>
      <c r="M213" t="s">
        <v>225</v>
      </c>
    </row>
    <row r="214" spans="3:13" ht="15" customHeight="1">
      <c r="C214" t="s">
        <v>226</v>
      </c>
      <c r="G214" s="61">
        <f ca="1">(-G208+G209)/G210</f>
        <v>-377.38666666666671</v>
      </c>
      <c r="H214" s="61">
        <f ca="1">(-H208+H209)/H210</f>
        <v>-326.67640579710149</v>
      </c>
      <c r="I214" s="61">
        <f ca="1">(-I208+I209)/I210</f>
        <v>-282.49137199747958</v>
      </c>
      <c r="J214" s="61">
        <f ca="1">(-J208+J209)/J210</f>
        <v>-244.18054303599359</v>
      </c>
      <c r="K214" s="61">
        <f ca="1">(-K208+K209)/K210</f>
        <v>-210.96990427779639</v>
      </c>
      <c r="M214" t="s">
        <v>227</v>
      </c>
    </row>
    <row r="215" spans="3:13" ht="15" customHeight="1">
      <c r="C215" t="s">
        <v>228</v>
      </c>
      <c r="G215" s="61">
        <f ca="1">SUM(G213:G214)</f>
        <v>4368.0113333333338</v>
      </c>
      <c r="H215" s="61">
        <f ca="1">SUM(H213:H214)</f>
        <v>4041.3349275362325</v>
      </c>
      <c r="I215" s="61">
        <f ca="1">SUM(I213:I214)</f>
        <v>3758.8435555387528</v>
      </c>
      <c r="J215" s="61">
        <f ca="1">SUM(J213:J214)</f>
        <v>3514.6630125027591</v>
      </c>
      <c r="K215" s="61">
        <f ca="1">SUM(K213:K214)</f>
        <v>3303.6931082249625</v>
      </c>
      <c r="M215" t="s">
        <v>229</v>
      </c>
    </row>
    <row r="216" spans="3:13" ht="15" customHeight="1">
      <c r="C216" s="27" t="s">
        <v>230</v>
      </c>
      <c r="D216" s="27"/>
      <c r="E216" s="27"/>
      <c r="F216" s="27"/>
      <c r="G216" s="66">
        <f ca="1">AVERAGE(G215,G213)</f>
        <v>4556.7046666666665</v>
      </c>
      <c r="H216" s="66">
        <f ca="1">AVERAGE(H215,H213)</f>
        <v>4204.6731304347832</v>
      </c>
      <c r="I216" s="66">
        <f ca="1">AVERAGE(I215,I213)</f>
        <v>3900.0892415374929</v>
      </c>
      <c r="J216" s="66">
        <f ca="1">AVERAGE(J215,J213)</f>
        <v>3636.7532840207559</v>
      </c>
      <c r="K216" s="66">
        <f ca="1">AVERAGE(K215,K213)</f>
        <v>3409.1780603638608</v>
      </c>
      <c r="M216" t="s">
        <v>231</v>
      </c>
    </row>
    <row r="217" spans="3:13" ht="15.75" customHeight="1">
      <c r="C217" s="158" t="s">
        <v>239</v>
      </c>
      <c r="D217" s="129"/>
      <c r="E217" s="129"/>
      <c r="F217" s="129"/>
      <c r="G217" s="129"/>
      <c r="H217" s="129"/>
      <c r="I217" s="129"/>
      <c r="J217" s="129"/>
      <c r="K217" s="129"/>
      <c r="M217" s="32"/>
    </row>
    <row r="218" spans="3:13" ht="15" customHeight="1">
      <c r="C218" s="27" t="s">
        <v>24</v>
      </c>
      <c r="D218" s="66">
        <f t="shared" ref="D218:K218" si="30">D29</f>
        <v>45687</v>
      </c>
      <c r="E218" s="66">
        <f t="shared" si="30"/>
        <v>48351</v>
      </c>
      <c r="F218" s="66">
        <f t="shared" si="30"/>
        <v>59531</v>
      </c>
      <c r="G218" s="66">
        <f t="shared" ca="1" si="30"/>
        <v>52298.506097684833</v>
      </c>
      <c r="H218" s="66">
        <f t="shared" ca="1" si="30"/>
        <v>56209.901259754675</v>
      </c>
      <c r="I218" s="66">
        <f t="shared" ca="1" si="30"/>
        <v>59962.520344684504</v>
      </c>
      <c r="J218" s="66">
        <f t="shared" ca="1" si="30"/>
        <v>63778.752555839696</v>
      </c>
      <c r="K218" s="66">
        <f t="shared" ca="1" si="30"/>
        <v>67967.319173978191</v>
      </c>
      <c r="M218" t="s">
        <v>233</v>
      </c>
    </row>
    <row r="219" spans="3:13" ht="15" customHeight="1">
      <c r="C219" s="29" t="s">
        <v>234</v>
      </c>
      <c r="E219" s="34">
        <f t="shared" ref="E219:K219" si="31">E218/D218-1</f>
        <v>5.830980366406191E-2</v>
      </c>
      <c r="F219" s="156">
        <f t="shared" si="31"/>
        <v>0.23122582780087275</v>
      </c>
      <c r="G219" s="156">
        <f t="shared" ca="1" si="31"/>
        <v>-0.12149122141934732</v>
      </c>
      <c r="H219" s="156">
        <f t="shared" ca="1" si="31"/>
        <v>7.4789806706218487E-2</v>
      </c>
      <c r="I219" s="156">
        <f t="shared" ca="1" si="31"/>
        <v>6.6760819727976317E-2</v>
      </c>
      <c r="J219" s="156">
        <f t="shared" ca="1" si="31"/>
        <v>6.364362587193173E-2</v>
      </c>
      <c r="K219" s="156">
        <f t="shared" ca="1" si="31"/>
        <v>6.5673385732518241E-2</v>
      </c>
      <c r="M219" t="s">
        <v>235</v>
      </c>
    </row>
    <row r="222" spans="3:13" ht="15" customHeight="1">
      <c r="G222" s="151"/>
    </row>
  </sheetData>
  <mergeCells count="2">
    <mergeCell ref="G96:K96"/>
    <mergeCell ref="E162:I162"/>
  </mergeCells>
  <conditionalFormatting sqref="C40">
    <cfRule type="expression" dxfId="15" priority="4">
      <formula>#REF!=$C40</formula>
    </cfRule>
  </conditionalFormatting>
  <conditionalFormatting sqref="C178">
    <cfRule type="expression" dxfId="14" priority="2">
      <formula>#REF!=$C178</formula>
    </cfRule>
  </conditionalFormatting>
  <conditionalFormatting sqref="C192">
    <cfRule type="expression" dxfId="13" priority="3">
      <formula>#REF!=$C192</formula>
    </cfRule>
  </conditionalFormatting>
  <dataValidations count="3">
    <dataValidation type="list" allowBlank="1" showInputMessage="1" showErrorMessage="1" sqref="D7" xr:uid="{00000000-0002-0000-0A00-000000000000}">
      <formula1>"0,1"</formula1>
      <formula2>0</formula2>
    </dataValidation>
    <dataValidation type="list" allowBlank="1" showInputMessage="1" showErrorMessage="1" sqref="D12" xr:uid="{00000000-0002-0000-0A00-000001000000}">
      <formula1>$C$181:$C$183</formula1>
      <formula2>0</formula2>
    </dataValidation>
    <dataValidation type="list" allowBlank="1" showInputMessage="1" showErrorMessage="1" sqref="C3" xr:uid="{00000000-0002-0000-0A00-000002000000}">
      <formula1>"$ bns except per share,$ mm except per share,$ in thousands except per share"</formula1>
      <formula2>0</formula2>
    </dataValidation>
  </dataValidations>
  <pageMargins left="0.7" right="0.7" top="0.75" bottom="0.75" header="0.511811023622047" footer="0.511811023622047"/>
  <pageSetup orientation="portrait" horizontalDpi="300" verticalDpi="300"/>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C2:R54"/>
  <sheetViews>
    <sheetView zoomScaleNormal="100" workbookViewId="0">
      <selection activeCell="E21" sqref="E21"/>
    </sheetView>
  </sheetViews>
  <sheetFormatPr baseColWidth="10" defaultColWidth="8.83203125" defaultRowHeight="15"/>
  <cols>
    <col min="1" max="2" width="1.6640625" customWidth="1"/>
    <col min="3" max="3" width="27.5" customWidth="1"/>
    <col min="6" max="6" width="11.5" customWidth="1"/>
    <col min="7" max="11" width="10.83203125" customWidth="1"/>
    <col min="12" max="12" width="2.5" customWidth="1"/>
    <col min="14" max="14" width="29.5" customWidth="1"/>
    <col min="15" max="19" width="9" customWidth="1"/>
  </cols>
  <sheetData>
    <row r="2" spans="3:18" ht="15" customHeight="1">
      <c r="C2" s="16" t="s">
        <v>240</v>
      </c>
      <c r="D2" s="160"/>
      <c r="E2" s="17"/>
      <c r="F2" s="17"/>
      <c r="G2" s="17"/>
      <c r="H2" s="17"/>
      <c r="I2" s="17"/>
      <c r="J2" s="17"/>
      <c r="K2" s="17"/>
    </row>
    <row r="3" spans="3:18" ht="15" customHeight="1">
      <c r="C3" t="str">
        <f>'Extras Complete'!C15</f>
        <v xml:space="preserve">Fiscal year  </v>
      </c>
      <c r="D3" s="37">
        <f>'Extras Complete'!D15</f>
        <v>2016</v>
      </c>
      <c r="E3" s="37">
        <f>'Extras Complete'!E15</f>
        <v>2017</v>
      </c>
      <c r="F3" s="37">
        <f>'Extras Complete'!F15</f>
        <v>2018</v>
      </c>
      <c r="G3" s="65">
        <f>'Extras Complete'!G15</f>
        <v>2019</v>
      </c>
      <c r="H3" s="65">
        <f>'Extras Complete'!H15</f>
        <v>2020</v>
      </c>
      <c r="I3" s="65">
        <f>'Extras Complete'!I15</f>
        <v>2021</v>
      </c>
      <c r="J3" s="65">
        <f>'Extras Complete'!J15</f>
        <v>2022</v>
      </c>
      <c r="K3" s="65">
        <f>'Extras Complete'!K15</f>
        <v>2023</v>
      </c>
    </row>
    <row r="4" spans="3:18" ht="15" customHeight="1">
      <c r="C4" s="23" t="str">
        <f>'Extras Complete'!C16</f>
        <v>Fiscal year end date</v>
      </c>
      <c r="D4" s="161">
        <f>'Extras Complete'!D16</f>
        <v>42643</v>
      </c>
      <c r="E4" s="161">
        <f>'Extras Complete'!E16</f>
        <v>43008</v>
      </c>
      <c r="F4" s="161">
        <f>'Extras Complete'!F16</f>
        <v>43372</v>
      </c>
      <c r="G4" s="161">
        <f>'Extras Complete'!G16</f>
        <v>43738</v>
      </c>
      <c r="H4" s="161">
        <f>'Extras Complete'!H16</f>
        <v>44104</v>
      </c>
      <c r="I4" s="161">
        <f>'Extras Complete'!I16</f>
        <v>44469</v>
      </c>
      <c r="J4" s="161">
        <f>'Extras Complete'!J16</f>
        <v>44834</v>
      </c>
      <c r="K4" s="161">
        <f>'Extras Complete'!K16</f>
        <v>45199</v>
      </c>
    </row>
    <row r="5" spans="3:18" ht="15" customHeight="1">
      <c r="C5" s="162" t="s">
        <v>241</v>
      </c>
      <c r="D5" s="163"/>
      <c r="E5" s="163"/>
      <c r="F5" s="163"/>
      <c r="G5" s="163"/>
      <c r="H5" s="163"/>
      <c r="I5" s="163"/>
      <c r="J5" s="163"/>
      <c r="K5" s="163"/>
    </row>
    <row r="6" spans="3:18" ht="15" customHeight="1">
      <c r="C6" s="164" t="s">
        <v>242</v>
      </c>
      <c r="D6" s="8"/>
      <c r="E6" s="8"/>
      <c r="F6" s="165"/>
      <c r="G6" s="8"/>
      <c r="H6" s="8"/>
      <c r="I6" s="8"/>
      <c r="J6" s="8"/>
      <c r="K6" s="165"/>
    </row>
    <row r="7" spans="3:18" ht="15" customHeight="1">
      <c r="C7" s="29" t="s">
        <v>243</v>
      </c>
      <c r="D7" s="26"/>
      <c r="E7" s="26"/>
      <c r="F7" s="166"/>
      <c r="G7" s="58"/>
      <c r="H7" s="58"/>
      <c r="I7" s="58"/>
      <c r="J7" s="58"/>
      <c r="K7" s="58"/>
      <c r="O7" s="167"/>
      <c r="P7" s="167"/>
      <c r="Q7" s="40"/>
      <c r="R7" s="40"/>
    </row>
    <row r="8" spans="3:18" ht="15" customHeight="1">
      <c r="C8" s="29" t="s">
        <v>244</v>
      </c>
      <c r="D8" s="26"/>
      <c r="E8" s="26"/>
      <c r="F8" s="166"/>
      <c r="G8" s="58"/>
      <c r="H8" s="58"/>
      <c r="I8" s="58"/>
      <c r="J8" s="58"/>
      <c r="K8" s="58"/>
      <c r="O8" s="40"/>
      <c r="P8" s="40"/>
      <c r="Q8" s="40"/>
      <c r="R8" s="40"/>
    </row>
    <row r="9" spans="3:18" ht="15" customHeight="1">
      <c r="C9" s="29" t="s">
        <v>245</v>
      </c>
      <c r="D9" s="26"/>
      <c r="E9" s="26"/>
      <c r="F9" s="166"/>
      <c r="G9" s="58"/>
      <c r="H9" s="58"/>
      <c r="I9" s="58"/>
      <c r="J9" s="58"/>
      <c r="K9" s="58"/>
      <c r="O9" s="40"/>
      <c r="P9" s="40"/>
      <c r="Q9" s="40"/>
      <c r="R9" s="40"/>
    </row>
    <row r="10" spans="3:18" ht="15" customHeight="1">
      <c r="C10" s="29"/>
      <c r="D10" s="168"/>
      <c r="E10" s="168"/>
      <c r="F10" s="169"/>
      <c r="G10" s="44"/>
      <c r="H10" s="44"/>
      <c r="I10" s="44"/>
      <c r="J10" s="44"/>
      <c r="K10" s="170"/>
      <c r="O10" s="40"/>
      <c r="P10" s="40"/>
      <c r="Q10" s="40"/>
      <c r="R10" s="40"/>
    </row>
    <row r="11" spans="3:18" ht="15" customHeight="1">
      <c r="C11" s="29" t="s">
        <v>246</v>
      </c>
      <c r="D11" s="26"/>
      <c r="E11" s="26"/>
      <c r="F11" s="166"/>
      <c r="G11" s="26"/>
      <c r="H11" s="26"/>
      <c r="I11" s="26"/>
      <c r="J11" s="26"/>
      <c r="K11" s="26"/>
      <c r="M11" t="s">
        <v>247</v>
      </c>
      <c r="O11" s="40"/>
      <c r="P11" s="40"/>
      <c r="Q11" s="40"/>
      <c r="R11" s="40"/>
    </row>
    <row r="12" spans="3:18" ht="15" customHeight="1">
      <c r="C12" s="29" t="s">
        <v>248</v>
      </c>
      <c r="D12" s="26"/>
      <c r="E12" s="26"/>
      <c r="F12" s="166"/>
      <c r="G12" s="26"/>
      <c r="H12" s="26"/>
      <c r="I12" s="26"/>
      <c r="J12" s="26"/>
      <c r="K12" s="26"/>
      <c r="M12" t="s">
        <v>247</v>
      </c>
      <c r="O12" s="40"/>
      <c r="P12" s="40"/>
    </row>
    <row r="13" spans="3:18" ht="15" customHeight="1">
      <c r="C13" s="27" t="s">
        <v>249</v>
      </c>
      <c r="D13" s="28"/>
      <c r="E13" s="28"/>
      <c r="F13" s="171"/>
      <c r="G13" s="28"/>
      <c r="H13" s="28"/>
      <c r="I13" s="28"/>
      <c r="J13" s="28"/>
      <c r="K13" s="171"/>
    </row>
    <row r="14" spans="3:18" ht="15" customHeight="1">
      <c r="C14" s="103" t="s">
        <v>250</v>
      </c>
      <c r="E14" s="141"/>
      <c r="F14" s="172"/>
      <c r="G14" s="141"/>
      <c r="H14" s="141"/>
      <c r="I14" s="141"/>
      <c r="J14" s="141"/>
      <c r="K14" s="172"/>
      <c r="P14" s="40"/>
      <c r="Q14" s="40"/>
      <c r="R14" s="40"/>
    </row>
    <row r="15" spans="3:18" ht="15" customHeight="1">
      <c r="C15" s="103"/>
      <c r="E15" s="71"/>
      <c r="F15" s="173"/>
      <c r="G15" s="71"/>
      <c r="H15" s="71"/>
      <c r="I15" s="71"/>
      <c r="J15" s="71"/>
      <c r="K15" s="173"/>
      <c r="P15" s="40"/>
      <c r="Q15" s="40"/>
      <c r="R15" s="40"/>
    </row>
    <row r="16" spans="3:18" ht="15" customHeight="1">
      <c r="C16" s="174" t="s">
        <v>251</v>
      </c>
      <c r="D16" s="80"/>
      <c r="E16" s="80"/>
      <c r="F16" s="175"/>
      <c r="G16" s="80"/>
      <c r="H16" s="80"/>
      <c r="I16" s="80"/>
      <c r="J16" s="80"/>
      <c r="K16" s="175"/>
      <c r="P16" s="40"/>
      <c r="Q16" s="40"/>
      <c r="R16" s="40"/>
    </row>
    <row r="17" spans="3:17" ht="15" customHeight="1">
      <c r="C17" s="29" t="s">
        <v>243</v>
      </c>
      <c r="D17" s="26"/>
      <c r="E17" s="26"/>
      <c r="F17" s="166"/>
      <c r="G17" s="176"/>
      <c r="H17" s="176"/>
      <c r="I17" s="176"/>
      <c r="J17" s="176"/>
      <c r="K17" s="176"/>
      <c r="M17" t="s">
        <v>252</v>
      </c>
    </row>
    <row r="18" spans="3:17" ht="15" customHeight="1">
      <c r="C18" s="29" t="s">
        <v>244</v>
      </c>
      <c r="D18" s="26"/>
      <c r="E18" s="26"/>
      <c r="F18" s="166"/>
      <c r="G18" s="26"/>
      <c r="H18" s="26"/>
      <c r="I18" s="26"/>
      <c r="J18" s="26"/>
      <c r="K18" s="26"/>
      <c r="M18" t="s">
        <v>252</v>
      </c>
    </row>
    <row r="19" spans="3:17" ht="15" customHeight="1">
      <c r="C19" s="29" t="s">
        <v>245</v>
      </c>
      <c r="D19" s="26"/>
      <c r="E19" s="26"/>
      <c r="F19" s="166"/>
      <c r="G19" s="176"/>
      <c r="H19" s="176"/>
      <c r="I19" s="176"/>
      <c r="J19" s="176"/>
      <c r="K19" s="176"/>
      <c r="M19" t="s">
        <v>252</v>
      </c>
    </row>
    <row r="20" spans="3:17" ht="15" customHeight="1">
      <c r="F20" s="177"/>
      <c r="K20" s="177"/>
    </row>
    <row r="21" spans="3:17" ht="15" customHeight="1">
      <c r="C21" s="174" t="s">
        <v>253</v>
      </c>
      <c r="D21" s="80"/>
      <c r="E21" s="80"/>
      <c r="F21" s="177"/>
      <c r="G21" s="85"/>
      <c r="H21" s="80"/>
      <c r="I21" s="80"/>
      <c r="J21" s="80"/>
      <c r="K21" s="175"/>
      <c r="P21" s="40"/>
    </row>
    <row r="22" spans="3:17" ht="15" customHeight="1">
      <c r="C22" s="29" t="s">
        <v>243</v>
      </c>
      <c r="D22" s="178"/>
      <c r="E22" s="178"/>
      <c r="F22" s="179"/>
      <c r="G22" s="180"/>
      <c r="H22" s="181"/>
      <c r="I22" s="181"/>
      <c r="J22" s="181"/>
      <c r="K22" s="181"/>
      <c r="M22" t="s">
        <v>252</v>
      </c>
      <c r="P22" s="40"/>
    </row>
    <row r="23" spans="3:17" ht="15" customHeight="1">
      <c r="C23" s="29" t="s">
        <v>244</v>
      </c>
      <c r="D23" s="178"/>
      <c r="E23" s="178"/>
      <c r="F23" s="182"/>
      <c r="G23" s="181"/>
      <c r="H23" s="181"/>
      <c r="I23" s="181"/>
      <c r="J23" s="181"/>
      <c r="K23" s="181"/>
      <c r="M23" t="s">
        <v>252</v>
      </c>
      <c r="Q23" s="167"/>
    </row>
    <row r="24" spans="3:17" ht="15" customHeight="1">
      <c r="C24" s="29" t="s">
        <v>245</v>
      </c>
      <c r="D24" s="178"/>
      <c r="E24" s="178"/>
      <c r="F24" s="182"/>
      <c r="G24" s="181"/>
      <c r="H24" s="181"/>
      <c r="I24" s="181"/>
      <c r="J24" s="181"/>
      <c r="K24" s="181"/>
      <c r="M24" t="s">
        <v>252</v>
      </c>
    </row>
    <row r="25" spans="3:17" ht="15" customHeight="1">
      <c r="C25" s="29"/>
      <c r="D25" s="183"/>
      <c r="E25" s="183"/>
      <c r="F25" s="184"/>
      <c r="G25" s="185"/>
      <c r="H25" s="185"/>
      <c r="I25" s="185"/>
      <c r="J25" s="185"/>
      <c r="K25" s="186"/>
    </row>
    <row r="26" spans="3:17" ht="15" customHeight="1">
      <c r="C26" s="174" t="s">
        <v>254</v>
      </c>
      <c r="D26" s="80"/>
      <c r="E26" s="80"/>
      <c r="F26" s="175"/>
      <c r="G26" s="80"/>
      <c r="H26" s="80"/>
      <c r="I26" s="80"/>
      <c r="J26" s="80"/>
      <c r="K26" s="175"/>
      <c r="P26" s="40"/>
    </row>
    <row r="27" spans="3:17" ht="15" customHeight="1">
      <c r="C27" s="29" t="s">
        <v>243</v>
      </c>
      <c r="D27" s="168"/>
      <c r="E27" s="72"/>
      <c r="F27" s="72"/>
      <c r="G27" s="187"/>
      <c r="H27" s="72"/>
      <c r="I27" s="72"/>
      <c r="J27" s="72"/>
      <c r="K27" s="188"/>
    </row>
    <row r="28" spans="3:17" ht="15" customHeight="1">
      <c r="C28" s="29" t="s">
        <v>244</v>
      </c>
      <c r="E28" s="72"/>
      <c r="F28" s="72"/>
      <c r="G28" s="187"/>
      <c r="H28" s="72"/>
      <c r="I28" s="72"/>
      <c r="J28" s="72"/>
      <c r="K28" s="188"/>
    </row>
    <row r="29" spans="3:17" ht="15" customHeight="1">
      <c r="C29" s="29" t="s">
        <v>245</v>
      </c>
      <c r="D29" s="168"/>
      <c r="E29" s="72"/>
      <c r="F29" s="72"/>
      <c r="G29" s="187"/>
      <c r="H29" s="72"/>
      <c r="I29" s="72"/>
      <c r="J29" s="72"/>
      <c r="K29" s="188"/>
    </row>
    <row r="30" spans="3:17" ht="15" customHeight="1">
      <c r="C30" s="103"/>
      <c r="G30" s="189"/>
      <c r="K30" s="177"/>
      <c r="P30" s="190"/>
      <c r="Q30" s="40"/>
    </row>
    <row r="31" spans="3:17" ht="15" customHeight="1">
      <c r="C31" s="27" t="s">
        <v>255</v>
      </c>
      <c r="G31" s="189"/>
      <c r="K31" s="177"/>
    </row>
    <row r="32" spans="3:17" ht="15" customHeight="1">
      <c r="C32" s="29" t="s">
        <v>243</v>
      </c>
      <c r="D32" s="191"/>
      <c r="E32" s="72"/>
      <c r="F32" s="72"/>
      <c r="G32" s="187"/>
      <c r="H32" s="72"/>
      <c r="I32" s="72"/>
      <c r="J32" s="72"/>
      <c r="K32" s="188"/>
    </row>
    <row r="33" spans="3:18" ht="15" customHeight="1">
      <c r="C33" s="29" t="s">
        <v>244</v>
      </c>
      <c r="D33" s="191"/>
      <c r="E33" s="72"/>
      <c r="F33" s="72"/>
      <c r="G33" s="187"/>
      <c r="H33" s="72"/>
      <c r="I33" s="72"/>
      <c r="J33" s="72"/>
      <c r="K33" s="188"/>
    </row>
    <row r="34" spans="3:18" ht="15" customHeight="1">
      <c r="C34" s="29" t="s">
        <v>245</v>
      </c>
      <c r="D34" s="191"/>
      <c r="E34" s="72"/>
      <c r="F34" s="72"/>
      <c r="G34" s="187"/>
      <c r="H34" s="72"/>
      <c r="I34" s="72"/>
      <c r="J34" s="72"/>
      <c r="K34" s="188"/>
    </row>
    <row r="35" spans="3:18" ht="15" customHeight="1">
      <c r="G35" s="189"/>
      <c r="K35" s="177"/>
      <c r="Q35" s="40"/>
      <c r="R35" s="40"/>
    </row>
    <row r="36" spans="3:18" ht="15" customHeight="1">
      <c r="C36" s="70" t="s">
        <v>256</v>
      </c>
      <c r="G36" s="189"/>
      <c r="K36" s="177"/>
    </row>
    <row r="37" spans="3:18" ht="15" customHeight="1">
      <c r="C37" s="29" t="s">
        <v>243</v>
      </c>
      <c r="E37" s="156"/>
      <c r="F37" s="156"/>
      <c r="G37" s="192"/>
      <c r="H37" s="156"/>
      <c r="I37" s="156"/>
      <c r="J37" s="156"/>
      <c r="K37" s="193"/>
    </row>
    <row r="38" spans="3:18" ht="15" customHeight="1">
      <c r="C38" s="29" t="s">
        <v>244</v>
      </c>
      <c r="E38" s="156"/>
      <c r="F38" s="156"/>
      <c r="G38" s="192"/>
      <c r="H38" s="156"/>
      <c r="I38" s="156"/>
      <c r="J38" s="156"/>
      <c r="K38" s="193"/>
    </row>
    <row r="39" spans="3:18" ht="15" customHeight="1">
      <c r="C39" s="29" t="s">
        <v>245</v>
      </c>
      <c r="E39" s="156"/>
      <c r="F39" s="156"/>
      <c r="G39" s="192"/>
      <c r="H39" s="156"/>
      <c r="I39" s="156"/>
      <c r="J39" s="156"/>
      <c r="K39" s="193"/>
    </row>
    <row r="40" spans="3:18" ht="15" customHeight="1">
      <c r="C40" s="29" t="s">
        <v>246</v>
      </c>
      <c r="D40" s="71"/>
      <c r="E40" s="156"/>
      <c r="F40" s="156"/>
      <c r="G40" s="194"/>
      <c r="H40" s="34"/>
      <c r="I40" s="34"/>
      <c r="J40" s="34"/>
      <c r="K40" s="34"/>
      <c r="M40" t="s">
        <v>257</v>
      </c>
    </row>
    <row r="41" spans="3:18" ht="15" customHeight="1">
      <c r="C41" s="29" t="s">
        <v>248</v>
      </c>
      <c r="D41" s="71"/>
      <c r="E41" s="156"/>
      <c r="F41" s="156"/>
      <c r="G41" s="194"/>
      <c r="H41" s="34"/>
      <c r="I41" s="34"/>
      <c r="J41" s="34"/>
      <c r="K41" s="34"/>
      <c r="M41" t="s">
        <v>257</v>
      </c>
    </row>
    <row r="47" spans="3:18" ht="15" customHeight="1"/>
    <row r="49" ht="15" customHeight="1"/>
    <row r="50" ht="15" customHeight="1"/>
    <row r="52" ht="15" customHeight="1"/>
    <row r="53" ht="15" customHeight="1"/>
    <row r="54" ht="15.75" customHeight="1"/>
  </sheetData>
  <pageMargins left="0.7" right="0.7" top="0.75" bottom="0.75" header="0.511811023622047" footer="0.511811023622047"/>
  <pageSetup fitToHeight="0" orientation="portrait" horizontalDpi="300" verticalDpi="300"/>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C2:R54"/>
  <sheetViews>
    <sheetView zoomScaleNormal="100" workbookViewId="0">
      <selection activeCell="D7" sqref="D7"/>
    </sheetView>
  </sheetViews>
  <sheetFormatPr baseColWidth="10" defaultColWidth="8.83203125" defaultRowHeight="15"/>
  <cols>
    <col min="1" max="2" width="1.6640625" customWidth="1"/>
    <col min="3" max="3" width="27.5" customWidth="1"/>
    <col min="6" max="6" width="11.5" customWidth="1"/>
    <col min="7" max="11" width="10.83203125" customWidth="1"/>
    <col min="12" max="12" width="2.5" customWidth="1"/>
    <col min="14" max="14" width="29.5" customWidth="1"/>
    <col min="15" max="15" width="12.5" customWidth="1"/>
    <col min="16" max="16" width="10" customWidth="1"/>
  </cols>
  <sheetData>
    <row r="2" spans="3:17" ht="15" customHeight="1">
      <c r="C2" s="16" t="s">
        <v>240</v>
      </c>
      <c r="D2" s="160"/>
      <c r="E2" s="17"/>
      <c r="F2" s="17"/>
      <c r="G2" s="17"/>
      <c r="H2" s="17"/>
      <c r="I2" s="17"/>
      <c r="J2" s="17"/>
      <c r="K2" s="17"/>
    </row>
    <row r="3" spans="3:17" ht="15" customHeight="1">
      <c r="C3" t="str">
        <f>'Extras Complete'!C15</f>
        <v xml:space="preserve">Fiscal year  </v>
      </c>
      <c r="D3" s="37">
        <f>'Extras Complete'!D15</f>
        <v>2016</v>
      </c>
      <c r="E3" s="37">
        <f>'Extras Complete'!E15</f>
        <v>2017</v>
      </c>
      <c r="F3" s="37">
        <f>'Extras Complete'!F15</f>
        <v>2018</v>
      </c>
      <c r="G3" s="65">
        <f>'Extras Complete'!G15</f>
        <v>2019</v>
      </c>
      <c r="H3" s="65">
        <f>'Extras Complete'!H15</f>
        <v>2020</v>
      </c>
      <c r="I3" s="65">
        <f>'Extras Complete'!I15</f>
        <v>2021</v>
      </c>
      <c r="J3" s="65">
        <f>'Extras Complete'!J15</f>
        <v>2022</v>
      </c>
      <c r="K3" s="65">
        <f>'Extras Complete'!K15</f>
        <v>2023</v>
      </c>
    </row>
    <row r="4" spans="3:17" ht="15" customHeight="1">
      <c r="C4" s="23" t="str">
        <f>'Extras Complete'!C16</f>
        <v>Fiscal year end date</v>
      </c>
      <c r="D4" s="161">
        <f>'Extras Complete'!D16</f>
        <v>42643</v>
      </c>
      <c r="E4" s="161">
        <f>'Extras Complete'!E16</f>
        <v>43008</v>
      </c>
      <c r="F4" s="161">
        <f>'Extras Complete'!F16</f>
        <v>43372</v>
      </c>
      <c r="G4" s="161">
        <f>'Extras Complete'!G16</f>
        <v>43738</v>
      </c>
      <c r="H4" s="161">
        <f>'Extras Complete'!H16</f>
        <v>44104</v>
      </c>
      <c r="I4" s="161">
        <f>'Extras Complete'!I16</f>
        <v>44469</v>
      </c>
      <c r="J4" s="161">
        <f>'Extras Complete'!J16</f>
        <v>44834</v>
      </c>
      <c r="K4" s="161">
        <f>'Extras Complete'!K16</f>
        <v>45199</v>
      </c>
    </row>
    <row r="5" spans="3:17" ht="15" customHeight="1">
      <c r="C5" s="162" t="s">
        <v>241</v>
      </c>
      <c r="D5" s="163"/>
      <c r="E5" s="163"/>
      <c r="F5" s="163"/>
      <c r="G5" s="163"/>
      <c r="H5" s="163"/>
      <c r="I5" s="163"/>
      <c r="J5" s="163"/>
      <c r="K5" s="163"/>
    </row>
    <row r="6" spans="3:17" ht="15" customHeight="1">
      <c r="C6" s="164" t="s">
        <v>242</v>
      </c>
      <c r="D6" s="8"/>
      <c r="E6" s="8"/>
      <c r="F6" s="8"/>
      <c r="G6" s="195"/>
      <c r="H6" s="196"/>
      <c r="I6" s="196"/>
      <c r="J6" s="196"/>
      <c r="K6" s="165"/>
    </row>
    <row r="7" spans="3:17" ht="15" customHeight="1">
      <c r="C7" s="29" t="s">
        <v>243</v>
      </c>
      <c r="D7" s="39">
        <v>136700</v>
      </c>
      <c r="E7" s="39">
        <v>141319</v>
      </c>
      <c r="F7" s="39">
        <v>166699</v>
      </c>
      <c r="G7" s="61">
        <f t="shared" ref="G7:K9" si="0">G17*G22/1000</f>
        <v>137570.4</v>
      </c>
      <c r="H7" s="61">
        <f t="shared" si="0"/>
        <v>138388</v>
      </c>
      <c r="I7" s="61">
        <f t="shared" si="0"/>
        <v>138388</v>
      </c>
      <c r="J7" s="61">
        <f t="shared" si="0"/>
        <v>138388</v>
      </c>
      <c r="K7" s="61">
        <f t="shared" si="0"/>
        <v>138388</v>
      </c>
      <c r="P7" s="167"/>
    </row>
    <row r="8" spans="3:17" ht="15" customHeight="1">
      <c r="C8" s="29" t="s">
        <v>244</v>
      </c>
      <c r="D8" s="39">
        <v>20628</v>
      </c>
      <c r="E8" s="39">
        <v>19222</v>
      </c>
      <c r="F8" s="39">
        <v>18805</v>
      </c>
      <c r="G8" s="61">
        <f t="shared" si="0"/>
        <v>20222.921699999999</v>
      </c>
      <c r="H8" s="61">
        <f t="shared" si="0"/>
        <v>20475.904200000001</v>
      </c>
      <c r="I8" s="61">
        <f t="shared" si="0"/>
        <v>20475.904200000001</v>
      </c>
      <c r="J8" s="61">
        <f t="shared" si="0"/>
        <v>20475.904200000001</v>
      </c>
      <c r="K8" s="61">
        <f t="shared" si="0"/>
        <v>20475.904200000001</v>
      </c>
      <c r="O8" s="40"/>
      <c r="P8" s="40"/>
    </row>
    <row r="9" spans="3:17" ht="15" customHeight="1">
      <c r="C9" s="29" t="s">
        <v>245</v>
      </c>
      <c r="D9" s="39">
        <v>22831</v>
      </c>
      <c r="E9" s="39">
        <v>25850</v>
      </c>
      <c r="F9" s="39">
        <v>25484</v>
      </c>
      <c r="G9" s="61">
        <f t="shared" si="0"/>
        <v>26515.16</v>
      </c>
      <c r="H9" s="61">
        <f t="shared" si="0"/>
        <v>26642.880000000001</v>
      </c>
      <c r="I9" s="61">
        <f t="shared" si="0"/>
        <v>26642.880000000001</v>
      </c>
      <c r="J9" s="61">
        <f t="shared" si="0"/>
        <v>26642.880000000001</v>
      </c>
      <c r="K9" s="61">
        <f t="shared" si="0"/>
        <v>26642.880000000001</v>
      </c>
      <c r="O9" s="40"/>
      <c r="P9" s="40"/>
    </row>
    <row r="10" spans="3:17" ht="15" customHeight="1">
      <c r="C10" s="29"/>
      <c r="D10" s="168"/>
      <c r="E10" s="168"/>
      <c r="F10" s="169"/>
      <c r="G10" s="44"/>
      <c r="H10" s="44"/>
      <c r="I10" s="44"/>
      <c r="J10" s="44"/>
      <c r="K10" s="170"/>
      <c r="O10" s="40"/>
      <c r="P10" s="40"/>
    </row>
    <row r="11" spans="3:17" ht="15" customHeight="1">
      <c r="C11" s="29" t="s">
        <v>246</v>
      </c>
      <c r="D11" s="39">
        <v>24348</v>
      </c>
      <c r="E11" s="39">
        <v>29980</v>
      </c>
      <c r="F11" s="197">
        <v>37190</v>
      </c>
      <c r="G11" s="39">
        <v>45603</v>
      </c>
      <c r="H11" s="39">
        <v>53592</v>
      </c>
      <c r="I11" s="61">
        <f t="shared" ref="I11:K12" si="1">H11*(1+I40)</f>
        <v>62980.559700019738</v>
      </c>
      <c r="J11" s="61">
        <f t="shared" si="1"/>
        <v>74013.862145987281</v>
      </c>
      <c r="K11" s="61">
        <f t="shared" si="1"/>
        <v>86980.042982429892</v>
      </c>
      <c r="M11" t="s">
        <v>247</v>
      </c>
      <c r="O11" s="40"/>
      <c r="P11" s="40"/>
    </row>
    <row r="12" spans="3:17" ht="15" customHeight="1">
      <c r="C12" s="29" t="s">
        <v>248</v>
      </c>
      <c r="D12" s="39">
        <v>11132</v>
      </c>
      <c r="E12" s="39">
        <v>12863</v>
      </c>
      <c r="F12" s="197">
        <v>17417</v>
      </c>
      <c r="G12" s="39">
        <v>23079</v>
      </c>
      <c r="H12" s="39">
        <v>26278</v>
      </c>
      <c r="I12" s="61">
        <f t="shared" si="1"/>
        <v>29920.416135881103</v>
      </c>
      <c r="J12" s="61">
        <f t="shared" si="1"/>
        <v>34067.710698846728</v>
      </c>
      <c r="K12" s="61">
        <f t="shared" si="1"/>
        <v>38789.865321040525</v>
      </c>
      <c r="M12" t="s">
        <v>247</v>
      </c>
      <c r="O12" s="40"/>
      <c r="P12" s="40"/>
      <c r="Q12" s="40"/>
    </row>
    <row r="13" spans="3:17" ht="15" customHeight="1">
      <c r="C13" s="27" t="s">
        <v>249</v>
      </c>
      <c r="D13" s="198">
        <f t="shared" ref="D13:K13" si="2">SUM(D7:D9)+SUM(D11:D12)</f>
        <v>215639</v>
      </c>
      <c r="E13" s="198">
        <f t="shared" si="2"/>
        <v>229234</v>
      </c>
      <c r="F13" s="199">
        <f t="shared" si="2"/>
        <v>265595</v>
      </c>
      <c r="G13" s="198">
        <f t="shared" si="2"/>
        <v>252990.4817</v>
      </c>
      <c r="H13" s="198">
        <f t="shared" si="2"/>
        <v>265376.78419999999</v>
      </c>
      <c r="I13" s="198">
        <f t="shared" si="2"/>
        <v>278407.76003590086</v>
      </c>
      <c r="J13" s="198">
        <f t="shared" si="2"/>
        <v>293588.357044834</v>
      </c>
      <c r="K13" s="199">
        <f t="shared" si="2"/>
        <v>311276.6925034704</v>
      </c>
      <c r="Q13" s="40"/>
    </row>
    <row r="14" spans="3:17" ht="15" customHeight="1">
      <c r="C14" s="103" t="s">
        <v>250</v>
      </c>
      <c r="E14" s="71">
        <f t="shared" ref="E14:K14" si="3">E13/D13-1</f>
        <v>6.304518199398057E-2</v>
      </c>
      <c r="F14" s="173">
        <f t="shared" si="3"/>
        <v>0.15861957650261305</v>
      </c>
      <c r="G14" s="71">
        <f t="shared" si="3"/>
        <v>-4.7457664112652731E-2</v>
      </c>
      <c r="H14" s="71">
        <f t="shared" si="3"/>
        <v>4.8959559335073566E-2</v>
      </c>
      <c r="I14" s="71">
        <f t="shared" si="3"/>
        <v>4.9103676778599281E-2</v>
      </c>
      <c r="J14" s="71">
        <f t="shared" si="3"/>
        <v>5.452648664310078E-2</v>
      </c>
      <c r="K14" s="173">
        <f t="shared" si="3"/>
        <v>6.0248763393349503E-2</v>
      </c>
      <c r="Q14" s="40"/>
    </row>
    <row r="15" spans="3:17" ht="15" customHeight="1">
      <c r="C15" s="103"/>
      <c r="E15" s="71"/>
      <c r="F15" s="173"/>
      <c r="G15" s="71"/>
      <c r="H15" s="71"/>
      <c r="I15" s="71"/>
      <c r="J15" s="71"/>
      <c r="K15" s="173"/>
    </row>
    <row r="16" spans="3:17" ht="15" customHeight="1">
      <c r="C16" s="174" t="s">
        <v>251</v>
      </c>
      <c r="D16" s="80"/>
      <c r="E16" s="80"/>
      <c r="F16" s="175"/>
      <c r="G16" s="80"/>
      <c r="H16" s="80"/>
      <c r="I16" s="80"/>
      <c r="J16" s="80"/>
      <c r="K16" s="175"/>
      <c r="Q16" s="40"/>
    </row>
    <row r="17" spans="3:18" ht="15" customHeight="1">
      <c r="C17" s="29" t="s">
        <v>243</v>
      </c>
      <c r="D17" s="39">
        <v>211884</v>
      </c>
      <c r="E17" s="39">
        <v>216756</v>
      </c>
      <c r="F17" s="197">
        <v>217722</v>
      </c>
      <c r="G17" s="39">
        <v>173700</v>
      </c>
      <c r="H17" s="39">
        <v>190880</v>
      </c>
      <c r="I17" s="39">
        <v>190880</v>
      </c>
      <c r="J17" s="39">
        <v>190880</v>
      </c>
      <c r="K17" s="197">
        <v>190880</v>
      </c>
      <c r="M17" t="s">
        <v>252</v>
      </c>
      <c r="Q17" s="40"/>
      <c r="R17" s="40"/>
    </row>
    <row r="18" spans="3:18" ht="15" customHeight="1">
      <c r="C18" s="29" t="s">
        <v>244</v>
      </c>
      <c r="D18" s="39">
        <v>45590</v>
      </c>
      <c r="E18" s="39">
        <v>43753</v>
      </c>
      <c r="F18" s="197">
        <v>43535</v>
      </c>
      <c r="G18" s="39">
        <v>46170</v>
      </c>
      <c r="H18" s="39">
        <v>49260</v>
      </c>
      <c r="I18" s="39">
        <v>49260</v>
      </c>
      <c r="J18" s="39">
        <v>49260</v>
      </c>
      <c r="K18" s="197">
        <v>49260</v>
      </c>
      <c r="M18" t="s">
        <v>252</v>
      </c>
      <c r="Q18" s="40"/>
    </row>
    <row r="19" spans="3:18" ht="15" customHeight="1">
      <c r="C19" s="29" t="s">
        <v>245</v>
      </c>
      <c r="D19" s="39">
        <v>18484</v>
      </c>
      <c r="E19" s="39">
        <v>19251</v>
      </c>
      <c r="F19" s="197">
        <v>18209</v>
      </c>
      <c r="G19" s="39">
        <v>19670</v>
      </c>
      <c r="H19" s="39">
        <v>19140</v>
      </c>
      <c r="I19" s="39">
        <v>19140</v>
      </c>
      <c r="J19" s="39">
        <v>19140</v>
      </c>
      <c r="K19" s="197">
        <v>19140</v>
      </c>
      <c r="M19" t="s">
        <v>252</v>
      </c>
      <c r="Q19" s="40"/>
    </row>
    <row r="20" spans="3:18" ht="15" customHeight="1">
      <c r="F20" s="177"/>
      <c r="K20" s="177"/>
      <c r="Q20" s="40"/>
    </row>
    <row r="21" spans="3:18" ht="15" customHeight="1">
      <c r="C21" s="174" t="s">
        <v>253</v>
      </c>
      <c r="D21" s="80"/>
      <c r="E21" s="80"/>
      <c r="F21" s="175"/>
      <c r="G21" s="80"/>
      <c r="H21" s="80"/>
      <c r="I21" s="80"/>
      <c r="J21" s="80"/>
      <c r="K21" s="175"/>
      <c r="P21" s="40"/>
      <c r="Q21" s="40"/>
      <c r="R21" s="40"/>
    </row>
    <row r="22" spans="3:18" ht="15" customHeight="1">
      <c r="C22" s="29" t="s">
        <v>243</v>
      </c>
      <c r="D22" s="200">
        <f t="shared" ref="D22:F24" si="4">D7/D17*1000</f>
        <v>645.16433520228043</v>
      </c>
      <c r="E22" s="200">
        <f t="shared" si="4"/>
        <v>651.97272509180823</v>
      </c>
      <c r="F22" s="200">
        <f t="shared" si="4"/>
        <v>765.65069216707548</v>
      </c>
      <c r="G22" s="201">
        <v>792</v>
      </c>
      <c r="H22" s="185">
        <v>725</v>
      </c>
      <c r="I22" s="185">
        <v>725</v>
      </c>
      <c r="J22" s="185">
        <v>725</v>
      </c>
      <c r="K22" s="186">
        <v>725</v>
      </c>
      <c r="M22" t="s">
        <v>252</v>
      </c>
      <c r="P22" s="40"/>
    </row>
    <row r="23" spans="3:18" ht="15" customHeight="1">
      <c r="C23" s="29" t="s">
        <v>244</v>
      </c>
      <c r="D23" s="200">
        <f t="shared" si="4"/>
        <v>452.46764641368719</v>
      </c>
      <c r="E23" s="200">
        <f t="shared" si="4"/>
        <v>439.32987452288984</v>
      </c>
      <c r="F23" s="200">
        <f t="shared" si="4"/>
        <v>431.95130354886874</v>
      </c>
      <c r="G23" s="201">
        <v>438.01</v>
      </c>
      <c r="H23" s="185">
        <v>415.67</v>
      </c>
      <c r="I23" s="185">
        <v>415.67</v>
      </c>
      <c r="J23" s="185">
        <v>415.67</v>
      </c>
      <c r="K23" s="186">
        <v>415.67</v>
      </c>
      <c r="M23" t="s">
        <v>252</v>
      </c>
    </row>
    <row r="24" spans="3:18" ht="15" customHeight="1">
      <c r="C24" s="29" t="s">
        <v>245</v>
      </c>
      <c r="D24" s="200">
        <f t="shared" si="4"/>
        <v>1235.1763687513526</v>
      </c>
      <c r="E24" s="200">
        <f t="shared" si="4"/>
        <v>1342.7873876681731</v>
      </c>
      <c r="F24" s="200">
        <f t="shared" si="4"/>
        <v>1399.5277060794112</v>
      </c>
      <c r="G24" s="201">
        <v>1348</v>
      </c>
      <c r="H24" s="185">
        <v>1392</v>
      </c>
      <c r="I24" s="185">
        <v>1392</v>
      </c>
      <c r="J24" s="185">
        <v>1392</v>
      </c>
      <c r="K24" s="186">
        <v>1392</v>
      </c>
      <c r="M24" t="s">
        <v>252</v>
      </c>
    </row>
    <row r="25" spans="3:18" ht="15" customHeight="1">
      <c r="C25" s="29"/>
      <c r="D25" s="183"/>
      <c r="E25" s="183"/>
      <c r="F25" s="183"/>
      <c r="G25" s="201"/>
      <c r="H25" s="185"/>
      <c r="I25" s="185"/>
      <c r="J25" s="185"/>
      <c r="K25" s="186"/>
    </row>
    <row r="26" spans="3:18" ht="15" customHeight="1">
      <c r="C26" s="174" t="s">
        <v>254</v>
      </c>
      <c r="D26" s="80"/>
      <c r="E26" s="80"/>
      <c r="F26" s="80"/>
      <c r="G26" s="202"/>
      <c r="H26" s="80"/>
      <c r="I26" s="80"/>
      <c r="J26" s="80"/>
      <c r="K26" s="175"/>
      <c r="P26" s="40"/>
    </row>
    <row r="27" spans="3:18" ht="15" customHeight="1">
      <c r="C27" s="29" t="s">
        <v>243</v>
      </c>
      <c r="D27" s="168"/>
      <c r="E27" s="63">
        <f t="shared" ref="E27:K29" si="5">E17/D17-1</f>
        <v>2.2993713541371585E-2</v>
      </c>
      <c r="F27" s="63">
        <f t="shared" si="5"/>
        <v>4.4566240380889965E-3</v>
      </c>
      <c r="G27" s="203">
        <f t="shared" si="5"/>
        <v>-0.20219362306060018</v>
      </c>
      <c r="H27" s="63">
        <f t="shared" si="5"/>
        <v>9.8906160046056346E-2</v>
      </c>
      <c r="I27" s="63">
        <f t="shared" si="5"/>
        <v>0</v>
      </c>
      <c r="J27" s="63">
        <f t="shared" si="5"/>
        <v>0</v>
      </c>
      <c r="K27" s="204">
        <f t="shared" si="5"/>
        <v>0</v>
      </c>
    </row>
    <row r="28" spans="3:18" ht="15" customHeight="1">
      <c r="C28" s="29" t="s">
        <v>244</v>
      </c>
      <c r="E28" s="63">
        <f t="shared" si="5"/>
        <v>-4.0293924106163614E-2</v>
      </c>
      <c r="F28" s="63">
        <f t="shared" si="5"/>
        <v>-4.98251548465245E-3</v>
      </c>
      <c r="G28" s="203">
        <f t="shared" si="5"/>
        <v>6.052601355231424E-2</v>
      </c>
      <c r="H28" s="63">
        <f t="shared" si="5"/>
        <v>6.6926575698505575E-2</v>
      </c>
      <c r="I28" s="63">
        <f t="shared" si="5"/>
        <v>0</v>
      </c>
      <c r="J28" s="63">
        <f t="shared" si="5"/>
        <v>0</v>
      </c>
      <c r="K28" s="204">
        <f t="shared" si="5"/>
        <v>0</v>
      </c>
    </row>
    <row r="29" spans="3:18" ht="15" customHeight="1">
      <c r="C29" s="29" t="s">
        <v>245</v>
      </c>
      <c r="D29" s="168"/>
      <c r="E29" s="63">
        <f t="shared" si="5"/>
        <v>4.1495347327418219E-2</v>
      </c>
      <c r="F29" s="63">
        <f t="shared" si="5"/>
        <v>-5.4127058334631939E-2</v>
      </c>
      <c r="G29" s="203">
        <f t="shared" si="5"/>
        <v>8.0235048602339543E-2</v>
      </c>
      <c r="H29" s="63">
        <f t="shared" si="5"/>
        <v>-2.6944585663446818E-2</v>
      </c>
      <c r="I29" s="63">
        <f t="shared" si="5"/>
        <v>0</v>
      </c>
      <c r="J29" s="63">
        <f t="shared" si="5"/>
        <v>0</v>
      </c>
      <c r="K29" s="204">
        <f t="shared" si="5"/>
        <v>0</v>
      </c>
    </row>
    <row r="30" spans="3:18" ht="15" customHeight="1">
      <c r="C30" s="103"/>
      <c r="G30" s="189"/>
      <c r="K30" s="177"/>
      <c r="P30" s="40"/>
    </row>
    <row r="31" spans="3:18" ht="15" customHeight="1">
      <c r="C31" s="27" t="s">
        <v>255</v>
      </c>
      <c r="G31" s="189"/>
      <c r="K31" s="177"/>
    </row>
    <row r="32" spans="3:18" ht="15" customHeight="1">
      <c r="C32" s="29" t="s">
        <v>243</v>
      </c>
      <c r="D32" s="191"/>
      <c r="E32" s="63">
        <f t="shared" ref="E32:K34" si="6">E22/D22-1</f>
        <v>1.0552954523428637E-2</v>
      </c>
      <c r="F32" s="63">
        <f t="shared" si="6"/>
        <v>0.17436000418462227</v>
      </c>
      <c r="G32" s="203">
        <f t="shared" si="6"/>
        <v>3.4414267632079332E-2</v>
      </c>
      <c r="H32" s="63">
        <f t="shared" si="6"/>
        <v>-8.4595959595959558E-2</v>
      </c>
      <c r="I32" s="63">
        <f t="shared" si="6"/>
        <v>0</v>
      </c>
      <c r="J32" s="63">
        <f t="shared" si="6"/>
        <v>0</v>
      </c>
      <c r="K32" s="204">
        <f t="shared" si="6"/>
        <v>0</v>
      </c>
    </row>
    <row r="33" spans="3:13" ht="15" customHeight="1">
      <c r="C33" s="29" t="s">
        <v>244</v>
      </c>
      <c r="D33" s="191"/>
      <c r="E33" s="63">
        <f t="shared" si="6"/>
        <v>-2.9035826085972993E-2</v>
      </c>
      <c r="F33" s="63">
        <f t="shared" si="6"/>
        <v>-1.6795058569677779E-2</v>
      </c>
      <c r="G33" s="203">
        <f t="shared" si="6"/>
        <v>1.4026341398564179E-2</v>
      </c>
      <c r="H33" s="63">
        <f t="shared" si="6"/>
        <v>-5.1003401748818455E-2</v>
      </c>
      <c r="I33" s="63">
        <f t="shared" si="6"/>
        <v>0</v>
      </c>
      <c r="J33" s="63">
        <f t="shared" si="6"/>
        <v>0</v>
      </c>
      <c r="K33" s="204">
        <f t="shared" si="6"/>
        <v>0</v>
      </c>
    </row>
    <row r="34" spans="3:13" ht="15" customHeight="1">
      <c r="C34" s="29" t="s">
        <v>245</v>
      </c>
      <c r="D34" s="191"/>
      <c r="E34" s="63">
        <f t="shared" si="6"/>
        <v>8.7121986494613113E-2</v>
      </c>
      <c r="F34" s="63">
        <f t="shared" si="6"/>
        <v>4.2255623587417634E-2</v>
      </c>
      <c r="G34" s="203">
        <f t="shared" si="6"/>
        <v>-3.6817924972531779E-2</v>
      </c>
      <c r="H34" s="63">
        <f t="shared" si="6"/>
        <v>3.2640949554896048E-2</v>
      </c>
      <c r="I34" s="63">
        <f t="shared" si="6"/>
        <v>0</v>
      </c>
      <c r="J34" s="63">
        <f t="shared" si="6"/>
        <v>0</v>
      </c>
      <c r="K34" s="204">
        <f t="shared" si="6"/>
        <v>0</v>
      </c>
    </row>
    <row r="35" spans="3:13" ht="15" customHeight="1">
      <c r="G35" s="189"/>
      <c r="K35" s="177"/>
    </row>
    <row r="36" spans="3:13" ht="15" customHeight="1">
      <c r="C36" s="70" t="s">
        <v>256</v>
      </c>
      <c r="G36" s="189"/>
      <c r="K36" s="177"/>
    </row>
    <row r="37" spans="3:13" ht="15" customHeight="1">
      <c r="C37" s="29" t="s">
        <v>243</v>
      </c>
      <c r="E37" s="51">
        <f t="shared" ref="E37:K39" si="7">E7/D7-1</f>
        <v>3.3789319678127372E-2</v>
      </c>
      <c r="F37" s="51">
        <f t="shared" si="7"/>
        <v>0.1795936852086415</v>
      </c>
      <c r="G37" s="205">
        <f t="shared" si="7"/>
        <v>-0.17473770088602814</v>
      </c>
      <c r="H37" s="51">
        <f t="shared" si="7"/>
        <v>5.9431389310491411E-3</v>
      </c>
      <c r="I37" s="51">
        <f t="shared" si="7"/>
        <v>0</v>
      </c>
      <c r="J37" s="51">
        <f t="shared" si="7"/>
        <v>0</v>
      </c>
      <c r="K37" s="206">
        <f t="shared" si="7"/>
        <v>0</v>
      </c>
    </row>
    <row r="38" spans="3:13" ht="15" customHeight="1">
      <c r="C38" s="29" t="s">
        <v>244</v>
      </c>
      <c r="E38" s="51">
        <f t="shared" si="7"/>
        <v>-6.8159782819468662E-2</v>
      </c>
      <c r="F38" s="51">
        <f t="shared" si="7"/>
        <v>-2.169389241494124E-2</v>
      </c>
      <c r="G38" s="205">
        <f t="shared" si="7"/>
        <v>7.5401313480457199E-2</v>
      </c>
      <c r="H38" s="51">
        <f t="shared" si="7"/>
        <v>1.2509690921663541E-2</v>
      </c>
      <c r="I38" s="51">
        <f t="shared" si="7"/>
        <v>0</v>
      </c>
      <c r="J38" s="51">
        <f t="shared" si="7"/>
        <v>0</v>
      </c>
      <c r="K38" s="206">
        <f t="shared" si="7"/>
        <v>0</v>
      </c>
    </row>
    <row r="39" spans="3:13" ht="15" customHeight="1">
      <c r="C39" s="29" t="s">
        <v>245</v>
      </c>
      <c r="E39" s="51">
        <f t="shared" si="7"/>
        <v>0.13223249091148004</v>
      </c>
      <c r="F39" s="51">
        <f t="shared" si="7"/>
        <v>-1.4158607350096664E-2</v>
      </c>
      <c r="G39" s="205">
        <f t="shared" si="7"/>
        <v>4.0463035630199373E-2</v>
      </c>
      <c r="H39" s="51">
        <f t="shared" si="7"/>
        <v>4.8168670300312577E-3</v>
      </c>
      <c r="I39" s="51">
        <f t="shared" si="7"/>
        <v>0</v>
      </c>
      <c r="J39" s="51">
        <f t="shared" si="7"/>
        <v>0</v>
      </c>
      <c r="K39" s="206">
        <f t="shared" si="7"/>
        <v>0</v>
      </c>
    </row>
    <row r="40" spans="3:13" ht="15" customHeight="1">
      <c r="C40" s="29" t="s">
        <v>246</v>
      </c>
      <c r="D40" s="71"/>
      <c r="E40" s="51">
        <f t="shared" ref="E40:H41" si="8">E11/D11-1</f>
        <v>0.23131263348118947</v>
      </c>
      <c r="F40" s="51">
        <f t="shared" si="8"/>
        <v>0.24049366244162784</v>
      </c>
      <c r="G40" s="207">
        <f t="shared" si="8"/>
        <v>0.22621672492605538</v>
      </c>
      <c r="H40" s="208">
        <f t="shared" si="8"/>
        <v>0.17518584303664242</v>
      </c>
      <c r="I40" s="73">
        <f t="shared" ref="I40:K41" si="9">H40</f>
        <v>0.17518584303664242</v>
      </c>
      <c r="J40" s="73">
        <f t="shared" si="9"/>
        <v>0.17518584303664242</v>
      </c>
      <c r="K40" s="73">
        <f t="shared" si="9"/>
        <v>0.17518584303664242</v>
      </c>
      <c r="M40" t="s">
        <v>257</v>
      </c>
    </row>
    <row r="41" spans="3:13" ht="15" customHeight="1">
      <c r="C41" s="29" t="s">
        <v>248</v>
      </c>
      <c r="D41" s="71"/>
      <c r="E41" s="51">
        <f t="shared" si="8"/>
        <v>0.15549766439094492</v>
      </c>
      <c r="F41" s="51">
        <f t="shared" si="8"/>
        <v>0.35403871569618284</v>
      </c>
      <c r="G41" s="209">
        <f t="shared" si="8"/>
        <v>0.32508468737440421</v>
      </c>
      <c r="H41" s="210">
        <f t="shared" si="8"/>
        <v>0.13861085835608122</v>
      </c>
      <c r="I41" s="73">
        <f t="shared" si="9"/>
        <v>0.13861085835608122</v>
      </c>
      <c r="J41" s="73">
        <f t="shared" si="9"/>
        <v>0.13861085835608122</v>
      </c>
      <c r="K41" s="73">
        <f t="shared" si="9"/>
        <v>0.13861085835608122</v>
      </c>
      <c r="M41" t="s">
        <v>257</v>
      </c>
    </row>
    <row r="43" spans="3:13" ht="27.75" customHeight="1">
      <c r="M43" s="211" t="s">
        <v>258</v>
      </c>
    </row>
    <row r="44" spans="3:13" ht="15" customHeight="1">
      <c r="M44" t="s">
        <v>259</v>
      </c>
    </row>
    <row r="47" spans="3:13" ht="15" customHeight="1"/>
    <row r="49" ht="15" customHeight="1"/>
    <row r="50" ht="15" customHeight="1"/>
    <row r="52" ht="15" customHeight="1"/>
    <row r="53" ht="15" customHeight="1"/>
    <row r="54" ht="15.75" customHeight="1"/>
  </sheetData>
  <pageMargins left="0.7" right="0.7" top="0.75" bottom="0.75" header="0.511811023622047" footer="0.511811023622047"/>
  <pageSetup fitToHeight="0" orientation="portrait" horizontalDpi="300" verticalDpi="300"/>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C2:P54"/>
  <sheetViews>
    <sheetView zoomScaleNormal="100" workbookViewId="0">
      <selection activeCell="E19" sqref="E19"/>
    </sheetView>
  </sheetViews>
  <sheetFormatPr baseColWidth="10" defaultColWidth="8.83203125" defaultRowHeight="15"/>
  <cols>
    <col min="1" max="2" width="1.6640625" customWidth="1"/>
    <col min="3" max="3" width="27.5" customWidth="1"/>
    <col min="6" max="6" width="11.5" customWidth="1"/>
    <col min="7" max="11" width="10.83203125" customWidth="1"/>
    <col min="12" max="12" width="2.5" customWidth="1"/>
    <col min="14" max="14" width="29.5" customWidth="1"/>
    <col min="15" max="15" width="12.5" customWidth="1"/>
    <col min="16" max="16" width="10" customWidth="1"/>
  </cols>
  <sheetData>
    <row r="2" spans="3:16" ht="15" customHeight="1">
      <c r="C2" s="16" t="s">
        <v>240</v>
      </c>
      <c r="D2" s="160"/>
      <c r="E2" s="17"/>
      <c r="F2" s="17"/>
      <c r="G2" s="17"/>
      <c r="H2" s="17"/>
      <c r="I2" s="17"/>
      <c r="J2" s="17"/>
      <c r="K2" s="17"/>
    </row>
    <row r="3" spans="3:16" ht="15" customHeight="1">
      <c r="C3" t="str">
        <f>'FSM + Rev Scenarios'!C15</f>
        <v xml:space="preserve">Fiscal year  </v>
      </c>
      <c r="D3" s="37">
        <f>'FSM + Rev Scenarios'!D15</f>
        <v>2016</v>
      </c>
      <c r="E3" s="37">
        <f>'FSM + Rev Scenarios'!E15</f>
        <v>2017</v>
      </c>
      <c r="F3" s="37">
        <f>'FSM + Rev Scenarios'!F15</f>
        <v>2018</v>
      </c>
      <c r="G3" s="65">
        <f>'FSM + Rev Scenarios'!G15</f>
        <v>2019</v>
      </c>
      <c r="H3" s="65">
        <f>'FSM + Rev Scenarios'!H15</f>
        <v>2020</v>
      </c>
      <c r="I3" s="65">
        <f>'FSM + Rev Scenarios'!I15</f>
        <v>2021</v>
      </c>
      <c r="J3" s="65">
        <f>'FSM + Rev Scenarios'!J15</f>
        <v>2022</v>
      </c>
      <c r="K3" s="65">
        <f>'FSM + Rev Scenarios'!K15</f>
        <v>2023</v>
      </c>
    </row>
    <row r="4" spans="3:16" ht="15" customHeight="1">
      <c r="C4" s="23" t="str">
        <f>'FSM + Rev Scenarios'!C16</f>
        <v>Fiscal year end date</v>
      </c>
      <c r="D4" s="161">
        <f>'FSM + Rev Scenarios'!D16</f>
        <v>42643</v>
      </c>
      <c r="E4" s="161">
        <f>'FSM + Rev Scenarios'!E16</f>
        <v>43008</v>
      </c>
      <c r="F4" s="161">
        <f>'FSM + Rev Scenarios'!F16</f>
        <v>43372</v>
      </c>
      <c r="G4" s="161">
        <f>'FSM + Rev Scenarios'!G16</f>
        <v>43738</v>
      </c>
      <c r="H4" s="161">
        <f>'FSM + Rev Scenarios'!H16</f>
        <v>44104</v>
      </c>
      <c r="I4" s="161">
        <f>'FSM + Rev Scenarios'!I16</f>
        <v>44469</v>
      </c>
      <c r="J4" s="161">
        <f>'FSM + Rev Scenarios'!J16</f>
        <v>44834</v>
      </c>
      <c r="K4" s="161">
        <f>'FSM + Rev Scenarios'!K16</f>
        <v>45199</v>
      </c>
    </row>
    <row r="5" spans="3:16" ht="15" customHeight="1">
      <c r="C5" s="162" t="s">
        <v>241</v>
      </c>
      <c r="D5" s="163"/>
      <c r="E5" s="163"/>
      <c r="F5" s="163"/>
      <c r="G5" s="163"/>
      <c r="H5" s="163"/>
      <c r="I5" s="163"/>
      <c r="J5" s="163"/>
      <c r="K5" s="163"/>
    </row>
    <row r="6" spans="3:16" ht="15" customHeight="1">
      <c r="C6" s="164" t="s">
        <v>242</v>
      </c>
      <c r="D6" s="8"/>
      <c r="E6" s="8"/>
      <c r="F6" s="8"/>
      <c r="G6" s="195"/>
      <c r="H6" s="196"/>
      <c r="I6" s="196"/>
      <c r="J6" s="196"/>
      <c r="K6" s="165"/>
    </row>
    <row r="7" spans="3:16" ht="15" customHeight="1">
      <c r="C7" s="29" t="s">
        <v>243</v>
      </c>
      <c r="D7" s="39">
        <v>136700</v>
      </c>
      <c r="E7" s="39">
        <v>141319</v>
      </c>
      <c r="F7" s="39">
        <v>166699</v>
      </c>
      <c r="G7" s="212">
        <f t="shared" ref="G7:K9" ca="1" si="0">G17*G22/1000</f>
        <v>137570.4</v>
      </c>
      <c r="H7" s="44">
        <f t="shared" ca="1" si="0"/>
        <v>138388</v>
      </c>
      <c r="I7" s="44">
        <f t="shared" ca="1" si="0"/>
        <v>138388</v>
      </c>
      <c r="J7" s="44">
        <f t="shared" ca="1" si="0"/>
        <v>138388</v>
      </c>
      <c r="K7" s="170">
        <f t="shared" ca="1" si="0"/>
        <v>138388</v>
      </c>
      <c r="O7" s="167"/>
      <c r="P7" s="167"/>
    </row>
    <row r="8" spans="3:16" ht="15" customHeight="1">
      <c r="C8" s="29" t="s">
        <v>244</v>
      </c>
      <c r="D8" s="39">
        <v>20628</v>
      </c>
      <c r="E8" s="39">
        <v>19222</v>
      </c>
      <c r="F8" s="39">
        <v>18805</v>
      </c>
      <c r="G8" s="212">
        <f t="shared" si="0"/>
        <v>20222.921699999999</v>
      </c>
      <c r="H8" s="44">
        <f t="shared" si="0"/>
        <v>20475.904200000001</v>
      </c>
      <c r="I8" s="44">
        <f t="shared" si="0"/>
        <v>20475.904200000001</v>
      </c>
      <c r="J8" s="44">
        <f t="shared" si="0"/>
        <v>20475.904200000001</v>
      </c>
      <c r="K8" s="170">
        <f t="shared" si="0"/>
        <v>20475.904200000001</v>
      </c>
      <c r="O8" s="40"/>
      <c r="P8" s="40"/>
    </row>
    <row r="9" spans="3:16" ht="15" customHeight="1">
      <c r="C9" s="29" t="s">
        <v>245</v>
      </c>
      <c r="D9" s="39">
        <v>22831</v>
      </c>
      <c r="E9" s="39">
        <v>25850</v>
      </c>
      <c r="F9" s="39">
        <v>25484</v>
      </c>
      <c r="G9" s="212">
        <f t="shared" si="0"/>
        <v>26515.16</v>
      </c>
      <c r="H9" s="44">
        <f t="shared" si="0"/>
        <v>26642.880000000001</v>
      </c>
      <c r="I9" s="44">
        <f t="shared" si="0"/>
        <v>26642.880000000001</v>
      </c>
      <c r="J9" s="44">
        <f t="shared" si="0"/>
        <v>26642.880000000001</v>
      </c>
      <c r="K9" s="170">
        <f t="shared" si="0"/>
        <v>26642.880000000001</v>
      </c>
      <c r="O9" s="40"/>
      <c r="P9" s="40"/>
    </row>
    <row r="10" spans="3:16" ht="15" customHeight="1">
      <c r="C10" s="29"/>
      <c r="D10" s="39"/>
      <c r="E10" s="39"/>
      <c r="F10" s="197"/>
      <c r="G10" s="44"/>
      <c r="H10" s="44"/>
      <c r="I10" s="44"/>
      <c r="J10" s="44"/>
      <c r="K10" s="170"/>
      <c r="O10" s="40"/>
      <c r="P10" s="40"/>
    </row>
    <row r="11" spans="3:16" ht="15" customHeight="1">
      <c r="C11" s="29" t="s">
        <v>246</v>
      </c>
      <c r="D11" s="39">
        <v>24348</v>
      </c>
      <c r="E11" s="39">
        <v>29980</v>
      </c>
      <c r="F11" s="197">
        <v>37190</v>
      </c>
      <c r="G11" s="39">
        <v>45603</v>
      </c>
      <c r="H11" s="39">
        <v>53592</v>
      </c>
      <c r="I11" s="39">
        <f t="shared" ref="I11:K12" si="1">H11*(1+I40)</f>
        <v>62980.559700019738</v>
      </c>
      <c r="J11" s="39">
        <f t="shared" si="1"/>
        <v>74013.862145987281</v>
      </c>
      <c r="K11" s="197">
        <f t="shared" si="1"/>
        <v>86980.042982429892</v>
      </c>
      <c r="M11" t="s">
        <v>247</v>
      </c>
      <c r="O11" s="40"/>
      <c r="P11" s="40"/>
    </row>
    <row r="12" spans="3:16" ht="15" customHeight="1">
      <c r="C12" s="29" t="s">
        <v>248</v>
      </c>
      <c r="D12" s="39">
        <v>11132</v>
      </c>
      <c r="E12" s="39">
        <v>12863</v>
      </c>
      <c r="F12" s="197">
        <v>17417</v>
      </c>
      <c r="G12" s="39">
        <v>23079</v>
      </c>
      <c r="H12" s="39">
        <v>26278</v>
      </c>
      <c r="I12" s="39">
        <f t="shared" si="1"/>
        <v>29920.416135881103</v>
      </c>
      <c r="J12" s="39">
        <f t="shared" si="1"/>
        <v>34067.710698846728</v>
      </c>
      <c r="K12" s="197">
        <f t="shared" si="1"/>
        <v>38789.865321040525</v>
      </c>
      <c r="M12" t="s">
        <v>247</v>
      </c>
      <c r="O12" s="40"/>
      <c r="P12" s="40"/>
    </row>
    <row r="13" spans="3:16" ht="15" customHeight="1">
      <c r="C13" s="27" t="s">
        <v>249</v>
      </c>
      <c r="D13" s="198">
        <f t="shared" ref="D13:K13" si="2">SUM(D7:D9)+SUM(D11:D12)</f>
        <v>215639</v>
      </c>
      <c r="E13" s="198">
        <f t="shared" si="2"/>
        <v>229234</v>
      </c>
      <c r="F13" s="199">
        <f t="shared" si="2"/>
        <v>265595</v>
      </c>
      <c r="G13" s="198">
        <f t="shared" ca="1" si="2"/>
        <v>252990.4817</v>
      </c>
      <c r="H13" s="198">
        <f t="shared" ca="1" si="2"/>
        <v>265376.78419999999</v>
      </c>
      <c r="I13" s="198">
        <f t="shared" ca="1" si="2"/>
        <v>278407.76003590086</v>
      </c>
      <c r="J13" s="198">
        <f t="shared" ca="1" si="2"/>
        <v>293588.357044834</v>
      </c>
      <c r="K13" s="199">
        <f t="shared" ca="1" si="2"/>
        <v>311276.6925034704</v>
      </c>
    </row>
    <row r="14" spans="3:16" ht="15" customHeight="1">
      <c r="C14" s="103" t="s">
        <v>250</v>
      </c>
      <c r="E14" s="71">
        <f t="shared" ref="E14:K14" si="3">E13/D13-1</f>
        <v>6.304518199398057E-2</v>
      </c>
      <c r="F14" s="173">
        <f t="shared" si="3"/>
        <v>0.15861957650261305</v>
      </c>
      <c r="G14" s="71">
        <f t="shared" ca="1" si="3"/>
        <v>-4.7457664112652731E-2</v>
      </c>
      <c r="H14" s="71">
        <f t="shared" ca="1" si="3"/>
        <v>4.8959559335073566E-2</v>
      </c>
      <c r="I14" s="71">
        <f t="shared" ca="1" si="3"/>
        <v>4.9103676778599281E-2</v>
      </c>
      <c r="J14" s="71">
        <f t="shared" ca="1" si="3"/>
        <v>5.452648664310078E-2</v>
      </c>
      <c r="K14" s="173">
        <f t="shared" ca="1" si="3"/>
        <v>6.0248763393349503E-2</v>
      </c>
    </row>
    <row r="15" spans="3:16" ht="15" customHeight="1">
      <c r="C15" s="103"/>
      <c r="E15" s="71"/>
      <c r="F15" s="173"/>
      <c r="G15" s="71"/>
      <c r="H15" s="71"/>
      <c r="I15" s="71"/>
      <c r="J15" s="71"/>
      <c r="K15" s="173"/>
    </row>
    <row r="16" spans="3:16" ht="15" customHeight="1">
      <c r="C16" s="174" t="s">
        <v>251</v>
      </c>
      <c r="D16" s="80"/>
      <c r="E16" s="80"/>
      <c r="F16" s="175"/>
      <c r="G16" s="80"/>
      <c r="H16" s="80"/>
      <c r="I16" s="80"/>
      <c r="J16" s="80"/>
      <c r="K16" s="177"/>
    </row>
    <row r="17" spans="3:16" ht="15" customHeight="1">
      <c r="C17" s="29" t="s">
        <v>243</v>
      </c>
      <c r="D17" s="39">
        <v>211884</v>
      </c>
      <c r="E17" s="39">
        <v>216756</v>
      </c>
      <c r="F17" s="197">
        <v>217722</v>
      </c>
      <c r="G17" s="213">
        <f ca="1">'FSM + Rev Scenarios'!G176</f>
        <v>173700</v>
      </c>
      <c r="H17" s="213">
        <f ca="1">'FSM + Rev Scenarios'!H176</f>
        <v>190880</v>
      </c>
      <c r="I17" s="213">
        <f ca="1">'FSM + Rev Scenarios'!I176</f>
        <v>190880</v>
      </c>
      <c r="J17" s="213">
        <f ca="1">'FSM + Rev Scenarios'!J176</f>
        <v>190880</v>
      </c>
      <c r="K17" s="214">
        <f ca="1">'FSM + Rev Scenarios'!K176</f>
        <v>190880</v>
      </c>
      <c r="M17" t="s">
        <v>260</v>
      </c>
    </row>
    <row r="18" spans="3:16" ht="15" customHeight="1">
      <c r="C18" s="29" t="s">
        <v>244</v>
      </c>
      <c r="D18" s="39">
        <v>45590</v>
      </c>
      <c r="E18" s="39">
        <v>43753</v>
      </c>
      <c r="F18" s="197">
        <v>43535</v>
      </c>
      <c r="G18" s="215">
        <v>46170</v>
      </c>
      <c r="H18" s="215">
        <v>49260</v>
      </c>
      <c r="I18" s="215">
        <v>49260</v>
      </c>
      <c r="J18" s="215">
        <v>49260</v>
      </c>
      <c r="K18" s="216">
        <v>49260</v>
      </c>
      <c r="M18" t="s">
        <v>252</v>
      </c>
    </row>
    <row r="19" spans="3:16" ht="15" customHeight="1">
      <c r="C19" s="29" t="s">
        <v>245</v>
      </c>
      <c r="D19" s="39">
        <v>18484</v>
      </c>
      <c r="E19" s="39">
        <v>19251</v>
      </c>
      <c r="F19" s="197">
        <v>18209</v>
      </c>
      <c r="G19" s="215">
        <v>19670</v>
      </c>
      <c r="H19" s="215">
        <v>19140</v>
      </c>
      <c r="I19" s="215">
        <v>19140</v>
      </c>
      <c r="J19" s="215">
        <v>19140</v>
      </c>
      <c r="K19" s="216">
        <v>19140</v>
      </c>
      <c r="M19" t="s">
        <v>252</v>
      </c>
    </row>
    <row r="20" spans="3:16" ht="15" customHeight="1">
      <c r="F20" s="177"/>
      <c r="K20" s="177"/>
    </row>
    <row r="21" spans="3:16" ht="15" customHeight="1">
      <c r="C21" s="174" t="s">
        <v>253</v>
      </c>
      <c r="D21" s="80"/>
      <c r="E21" s="80"/>
      <c r="F21" s="175"/>
      <c r="H21" s="80"/>
      <c r="I21" s="80"/>
      <c r="J21" s="80"/>
      <c r="K21" s="177"/>
      <c r="P21" s="40"/>
    </row>
    <row r="22" spans="3:16" ht="15" customHeight="1">
      <c r="C22" s="29" t="s">
        <v>243</v>
      </c>
      <c r="D22" s="183">
        <f t="shared" ref="D22:F24" si="4">D7/D17*1000</f>
        <v>645.16433520228043</v>
      </c>
      <c r="E22" s="183">
        <f t="shared" si="4"/>
        <v>651.97272509180823</v>
      </c>
      <c r="F22" s="217">
        <f t="shared" si="4"/>
        <v>765.65069216707548</v>
      </c>
      <c r="G22" s="218">
        <f ca="1">'FSM + Rev Scenarios'!G175</f>
        <v>792</v>
      </c>
      <c r="H22" s="219">
        <f ca="1">'FSM + Rev Scenarios'!H175</f>
        <v>725</v>
      </c>
      <c r="I22" s="219">
        <f ca="1">'FSM + Rev Scenarios'!I175</f>
        <v>725</v>
      </c>
      <c r="J22" s="219">
        <f ca="1">'FSM + Rev Scenarios'!J175</f>
        <v>725</v>
      </c>
      <c r="K22" s="220">
        <f ca="1">'FSM + Rev Scenarios'!K175</f>
        <v>725</v>
      </c>
      <c r="M22" t="s">
        <v>260</v>
      </c>
      <c r="P22" s="40"/>
    </row>
    <row r="23" spans="3:16" ht="15" customHeight="1">
      <c r="C23" s="29" t="s">
        <v>244</v>
      </c>
      <c r="D23" s="183">
        <f t="shared" si="4"/>
        <v>452.46764641368719</v>
      </c>
      <c r="E23" s="183">
        <f t="shared" si="4"/>
        <v>439.32987452288984</v>
      </c>
      <c r="F23" s="183">
        <f t="shared" si="4"/>
        <v>431.95130354886874</v>
      </c>
      <c r="G23" s="201">
        <v>438.01</v>
      </c>
      <c r="H23" s="185">
        <v>415.67</v>
      </c>
      <c r="I23" s="185">
        <v>415.67</v>
      </c>
      <c r="J23" s="185">
        <v>415.67</v>
      </c>
      <c r="K23" s="186">
        <v>415.67</v>
      </c>
      <c r="M23" t="s">
        <v>252</v>
      </c>
    </row>
    <row r="24" spans="3:16" ht="15" customHeight="1">
      <c r="C24" s="29" t="s">
        <v>245</v>
      </c>
      <c r="D24" s="183">
        <f t="shared" si="4"/>
        <v>1235.1763687513526</v>
      </c>
      <c r="E24" s="183">
        <f t="shared" si="4"/>
        <v>1342.7873876681731</v>
      </c>
      <c r="F24" s="183">
        <f t="shared" si="4"/>
        <v>1399.5277060794112</v>
      </c>
      <c r="G24" s="201">
        <v>1348</v>
      </c>
      <c r="H24" s="185">
        <v>1392</v>
      </c>
      <c r="I24" s="185">
        <v>1392</v>
      </c>
      <c r="J24" s="185">
        <v>1392</v>
      </c>
      <c r="K24" s="186">
        <v>1392</v>
      </c>
      <c r="M24" t="s">
        <v>252</v>
      </c>
    </row>
    <row r="25" spans="3:16" ht="15" customHeight="1">
      <c r="C25" s="29"/>
      <c r="D25" s="183"/>
      <c r="E25" s="183"/>
      <c r="F25" s="183"/>
      <c r="G25" s="201"/>
      <c r="H25" s="185"/>
      <c r="I25" s="185"/>
      <c r="J25" s="185"/>
      <c r="K25" s="186"/>
    </row>
    <row r="26" spans="3:16" ht="15" customHeight="1">
      <c r="C26" s="174" t="s">
        <v>254</v>
      </c>
      <c r="D26" s="80"/>
      <c r="E26" s="80"/>
      <c r="F26" s="80"/>
      <c r="G26" s="202"/>
      <c r="H26" s="80"/>
      <c r="I26" s="80"/>
      <c r="J26" s="80"/>
      <c r="K26" s="175"/>
      <c r="P26" s="40"/>
    </row>
    <row r="27" spans="3:16" ht="15" customHeight="1">
      <c r="C27" s="29" t="s">
        <v>243</v>
      </c>
      <c r="D27" s="168"/>
      <c r="E27" s="63">
        <f t="shared" ref="E27:K29" si="5">E17/D17-1</f>
        <v>2.2993713541371585E-2</v>
      </c>
      <c r="F27" s="63">
        <f t="shared" si="5"/>
        <v>4.4566240380889965E-3</v>
      </c>
      <c r="G27" s="203">
        <f t="shared" ca="1" si="5"/>
        <v>-0.20219362306060018</v>
      </c>
      <c r="H27" s="63">
        <f t="shared" ca="1" si="5"/>
        <v>9.8906160046056346E-2</v>
      </c>
      <c r="I27" s="63">
        <f t="shared" ca="1" si="5"/>
        <v>0</v>
      </c>
      <c r="J27" s="63">
        <f t="shared" ca="1" si="5"/>
        <v>0</v>
      </c>
      <c r="K27" s="204">
        <f t="shared" ca="1" si="5"/>
        <v>0</v>
      </c>
    </row>
    <row r="28" spans="3:16" ht="15" customHeight="1">
      <c r="C28" s="29" t="s">
        <v>244</v>
      </c>
      <c r="E28" s="63">
        <f t="shared" si="5"/>
        <v>-4.0293924106163614E-2</v>
      </c>
      <c r="F28" s="63">
        <f t="shared" si="5"/>
        <v>-4.98251548465245E-3</v>
      </c>
      <c r="G28" s="203">
        <f t="shared" si="5"/>
        <v>6.052601355231424E-2</v>
      </c>
      <c r="H28" s="63">
        <f t="shared" si="5"/>
        <v>6.6926575698505575E-2</v>
      </c>
      <c r="I28" s="63">
        <f t="shared" si="5"/>
        <v>0</v>
      </c>
      <c r="J28" s="63">
        <f t="shared" si="5"/>
        <v>0</v>
      </c>
      <c r="K28" s="204">
        <f t="shared" si="5"/>
        <v>0</v>
      </c>
    </row>
    <row r="29" spans="3:16" ht="15" customHeight="1">
      <c r="C29" s="29" t="s">
        <v>245</v>
      </c>
      <c r="D29" s="168"/>
      <c r="E29" s="63">
        <f t="shared" si="5"/>
        <v>4.1495347327418219E-2</v>
      </c>
      <c r="F29" s="63">
        <f t="shared" si="5"/>
        <v>-5.4127058334631939E-2</v>
      </c>
      <c r="G29" s="203">
        <f t="shared" si="5"/>
        <v>8.0235048602339543E-2</v>
      </c>
      <c r="H29" s="63">
        <f t="shared" si="5"/>
        <v>-2.6944585663446818E-2</v>
      </c>
      <c r="I29" s="63">
        <f t="shared" si="5"/>
        <v>0</v>
      </c>
      <c r="J29" s="63">
        <f t="shared" si="5"/>
        <v>0</v>
      </c>
      <c r="K29" s="204">
        <f t="shared" si="5"/>
        <v>0</v>
      </c>
    </row>
    <row r="30" spans="3:16" ht="15" customHeight="1">
      <c r="C30" s="103"/>
      <c r="G30" s="189"/>
      <c r="K30" s="177"/>
      <c r="P30" s="40"/>
    </row>
    <row r="31" spans="3:16" ht="15" customHeight="1">
      <c r="C31" s="27" t="s">
        <v>255</v>
      </c>
      <c r="G31" s="189"/>
      <c r="K31" s="177"/>
    </row>
    <row r="32" spans="3:16" ht="15" customHeight="1">
      <c r="C32" s="29" t="s">
        <v>243</v>
      </c>
      <c r="D32" s="191"/>
      <c r="E32" s="63">
        <f t="shared" ref="E32:K34" si="6">E22/D22-1</f>
        <v>1.0552954523428637E-2</v>
      </c>
      <c r="F32" s="63">
        <f t="shared" si="6"/>
        <v>0.17436000418462227</v>
      </c>
      <c r="G32" s="203">
        <f t="shared" ca="1" si="6"/>
        <v>3.4414267632079332E-2</v>
      </c>
      <c r="H32" s="63">
        <f t="shared" ca="1" si="6"/>
        <v>-8.4595959595959558E-2</v>
      </c>
      <c r="I32" s="63">
        <f t="shared" ca="1" si="6"/>
        <v>0</v>
      </c>
      <c r="J32" s="63">
        <f t="shared" ca="1" si="6"/>
        <v>0</v>
      </c>
      <c r="K32" s="204">
        <f t="shared" ca="1" si="6"/>
        <v>0</v>
      </c>
    </row>
    <row r="33" spans="3:13" ht="15" customHeight="1">
      <c r="C33" s="29" t="s">
        <v>244</v>
      </c>
      <c r="D33" s="191"/>
      <c r="E33" s="63">
        <f t="shared" si="6"/>
        <v>-2.9035826085972993E-2</v>
      </c>
      <c r="F33" s="63">
        <f t="shared" si="6"/>
        <v>-1.6795058569677779E-2</v>
      </c>
      <c r="G33" s="203">
        <f t="shared" si="6"/>
        <v>1.4026341398564179E-2</v>
      </c>
      <c r="H33" s="63">
        <f t="shared" si="6"/>
        <v>-5.1003401748818455E-2</v>
      </c>
      <c r="I33" s="63">
        <f t="shared" si="6"/>
        <v>0</v>
      </c>
      <c r="J33" s="63">
        <f t="shared" si="6"/>
        <v>0</v>
      </c>
      <c r="K33" s="204">
        <f t="shared" si="6"/>
        <v>0</v>
      </c>
    </row>
    <row r="34" spans="3:13" ht="15" customHeight="1">
      <c r="C34" s="29" t="s">
        <v>245</v>
      </c>
      <c r="D34" s="191"/>
      <c r="E34" s="63">
        <f t="shared" si="6"/>
        <v>8.7121986494613113E-2</v>
      </c>
      <c r="F34" s="63">
        <f t="shared" si="6"/>
        <v>4.2255623587417634E-2</v>
      </c>
      <c r="G34" s="203">
        <f t="shared" si="6"/>
        <v>-3.6817924972531779E-2</v>
      </c>
      <c r="H34" s="63">
        <f t="shared" si="6"/>
        <v>3.2640949554896048E-2</v>
      </c>
      <c r="I34" s="63">
        <f t="shared" si="6"/>
        <v>0</v>
      </c>
      <c r="J34" s="63">
        <f t="shared" si="6"/>
        <v>0</v>
      </c>
      <c r="K34" s="204">
        <f t="shared" si="6"/>
        <v>0</v>
      </c>
    </row>
    <row r="35" spans="3:13" ht="15" customHeight="1">
      <c r="G35" s="189"/>
      <c r="K35" s="177"/>
    </row>
    <row r="36" spans="3:13" ht="15" customHeight="1">
      <c r="C36" s="70" t="s">
        <v>256</v>
      </c>
      <c r="G36" s="189"/>
      <c r="K36" s="177"/>
    </row>
    <row r="37" spans="3:13" ht="15" customHeight="1">
      <c r="C37" s="29" t="s">
        <v>243</v>
      </c>
      <c r="E37" s="51">
        <f t="shared" ref="E37:K39" si="7">E7/D7-1</f>
        <v>3.3789319678127372E-2</v>
      </c>
      <c r="F37" s="51">
        <f t="shared" si="7"/>
        <v>0.1795936852086415</v>
      </c>
      <c r="G37" s="205">
        <f t="shared" ca="1" si="7"/>
        <v>-0.17473770088602814</v>
      </c>
      <c r="H37" s="51">
        <f t="shared" ca="1" si="7"/>
        <v>5.9431389310491411E-3</v>
      </c>
      <c r="I37" s="51">
        <f t="shared" ca="1" si="7"/>
        <v>0</v>
      </c>
      <c r="J37" s="51">
        <f t="shared" ca="1" si="7"/>
        <v>0</v>
      </c>
      <c r="K37" s="206">
        <f t="shared" ca="1" si="7"/>
        <v>0</v>
      </c>
    </row>
    <row r="38" spans="3:13" ht="15" customHeight="1">
      <c r="C38" s="29" t="s">
        <v>244</v>
      </c>
      <c r="E38" s="51">
        <f t="shared" si="7"/>
        <v>-6.8159782819468662E-2</v>
      </c>
      <c r="F38" s="51">
        <f t="shared" si="7"/>
        <v>-2.169389241494124E-2</v>
      </c>
      <c r="G38" s="205">
        <f t="shared" si="7"/>
        <v>7.5401313480457199E-2</v>
      </c>
      <c r="H38" s="51">
        <f t="shared" si="7"/>
        <v>1.2509690921663541E-2</v>
      </c>
      <c r="I38" s="51">
        <f t="shared" si="7"/>
        <v>0</v>
      </c>
      <c r="J38" s="51">
        <f t="shared" si="7"/>
        <v>0</v>
      </c>
      <c r="K38" s="206">
        <f t="shared" si="7"/>
        <v>0</v>
      </c>
    </row>
    <row r="39" spans="3:13" ht="15" customHeight="1">
      <c r="C39" s="29" t="s">
        <v>245</v>
      </c>
      <c r="E39" s="51">
        <f t="shared" si="7"/>
        <v>0.13223249091148004</v>
      </c>
      <c r="F39" s="51">
        <f t="shared" si="7"/>
        <v>-1.4158607350096664E-2</v>
      </c>
      <c r="G39" s="205">
        <f t="shared" si="7"/>
        <v>4.0463035630199373E-2</v>
      </c>
      <c r="H39" s="51">
        <f t="shared" si="7"/>
        <v>4.8168670300312577E-3</v>
      </c>
      <c r="I39" s="51">
        <f t="shared" si="7"/>
        <v>0</v>
      </c>
      <c r="J39" s="51">
        <f t="shared" si="7"/>
        <v>0</v>
      </c>
      <c r="K39" s="206">
        <f t="shared" si="7"/>
        <v>0</v>
      </c>
    </row>
    <row r="40" spans="3:13" ht="15" customHeight="1">
      <c r="C40" s="29" t="s">
        <v>246</v>
      </c>
      <c r="D40" s="71"/>
      <c r="E40" s="51">
        <f t="shared" ref="E40:H41" si="8">E11/D11-1</f>
        <v>0.23131263348118947</v>
      </c>
      <c r="F40" s="51">
        <f t="shared" si="8"/>
        <v>0.24049366244162784</v>
      </c>
      <c r="G40" s="207">
        <f t="shared" si="8"/>
        <v>0.22621672492605538</v>
      </c>
      <c r="H40" s="208">
        <f t="shared" si="8"/>
        <v>0.17518584303664242</v>
      </c>
      <c r="I40" s="115">
        <f t="shared" ref="I40:K41" si="9">H40</f>
        <v>0.17518584303664242</v>
      </c>
      <c r="J40" s="115">
        <f t="shared" si="9"/>
        <v>0.17518584303664242</v>
      </c>
      <c r="K40" s="221">
        <f t="shared" si="9"/>
        <v>0.17518584303664242</v>
      </c>
      <c r="M40" t="s">
        <v>257</v>
      </c>
    </row>
    <row r="41" spans="3:13" ht="15" customHeight="1">
      <c r="C41" s="29" t="s">
        <v>248</v>
      </c>
      <c r="D41" s="71"/>
      <c r="E41" s="51">
        <f t="shared" si="8"/>
        <v>0.15549766439094492</v>
      </c>
      <c r="F41" s="51">
        <f t="shared" si="8"/>
        <v>0.35403871569618284</v>
      </c>
      <c r="G41" s="209">
        <f t="shared" si="8"/>
        <v>0.32508468737440421</v>
      </c>
      <c r="H41" s="210">
        <f t="shared" si="8"/>
        <v>0.13861085835608122</v>
      </c>
      <c r="I41" s="222">
        <f t="shared" si="9"/>
        <v>0.13861085835608122</v>
      </c>
      <c r="J41" s="222">
        <f t="shared" si="9"/>
        <v>0.13861085835608122</v>
      </c>
      <c r="K41" s="223">
        <f t="shared" si="9"/>
        <v>0.13861085835608122</v>
      </c>
      <c r="M41" t="s">
        <v>257</v>
      </c>
    </row>
    <row r="43" spans="3:13" ht="27.75" customHeight="1">
      <c r="M43" s="211" t="s">
        <v>258</v>
      </c>
    </row>
    <row r="44" spans="3:13" ht="15" customHeight="1">
      <c r="M44" t="s">
        <v>259</v>
      </c>
    </row>
    <row r="47" spans="3:13" ht="15" customHeight="1"/>
    <row r="49" ht="15" customHeight="1"/>
    <row r="50" ht="15" customHeight="1"/>
    <row r="52" ht="15" customHeight="1"/>
    <row r="53" ht="15" customHeight="1"/>
    <row r="54" ht="15.75" customHeight="1"/>
  </sheetData>
  <pageMargins left="0.7" right="0.7" top="0.75" bottom="0.75" header="0.511811023622047" footer="0.511811023622047"/>
  <pageSetup fitToHeight="0" orientation="portrait" horizontalDpi="300" verticalDpi="300"/>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B1:T216"/>
  <sheetViews>
    <sheetView topLeftCell="A204" zoomScaleNormal="100" workbookViewId="0">
      <selection activeCell="G214" sqref="G214"/>
    </sheetView>
  </sheetViews>
  <sheetFormatPr baseColWidth="10" defaultColWidth="8.83203125" defaultRowHeight="15"/>
  <cols>
    <col min="1" max="2" width="1.6640625" customWidth="1"/>
    <col min="3" max="3" width="58.33203125" customWidth="1"/>
    <col min="4" max="4" width="13.33203125" customWidth="1"/>
    <col min="5" max="11" width="11.5" customWidth="1"/>
    <col min="12" max="12" width="2.33203125" customWidth="1"/>
    <col min="13" max="13" width="11.5" customWidth="1"/>
    <col min="14" max="14" width="11.83203125" customWidth="1"/>
    <col min="15" max="17" width="10.33203125" customWidth="1"/>
    <col min="18" max="19" width="9.5" customWidth="1"/>
  </cols>
  <sheetData>
    <row r="1" spans="2:19" ht="15.75" customHeight="1"/>
    <row r="2" spans="2:19" ht="15.75" customHeight="1">
      <c r="C2" s="4" t="str">
        <f>"Financial Statement Model for "&amp;D5</f>
        <v>Financial Statement Model for Apple</v>
      </c>
      <c r="D2" s="5"/>
      <c r="E2" s="5"/>
      <c r="F2" s="5"/>
      <c r="G2" s="5"/>
      <c r="H2" s="5"/>
      <c r="I2" s="5"/>
      <c r="J2" s="5"/>
      <c r="K2" s="5"/>
    </row>
    <row r="3" spans="2:19" ht="15" customHeight="1">
      <c r="C3" s="6" t="s">
        <v>0</v>
      </c>
      <c r="D3" s="7"/>
      <c r="E3" s="7"/>
      <c r="F3" s="7"/>
      <c r="G3" s="7"/>
      <c r="H3" s="7"/>
    </row>
    <row r="5" spans="2:19" ht="15" customHeight="1">
      <c r="C5" s="8" t="s">
        <v>1</v>
      </c>
      <c r="D5" s="9" t="s">
        <v>2</v>
      </c>
      <c r="H5" s="53"/>
    </row>
    <row r="6" spans="2:19" ht="15" customHeight="1">
      <c r="C6" s="8" t="s">
        <v>3</v>
      </c>
      <c r="D6" s="9" t="s">
        <v>4</v>
      </c>
    </row>
    <row r="7" spans="2:19" ht="15" customHeight="1">
      <c r="C7" t="s">
        <v>5</v>
      </c>
      <c r="D7" s="10">
        <v>1</v>
      </c>
      <c r="G7" s="224"/>
    </row>
    <row r="8" spans="2:19" ht="15" customHeight="1">
      <c r="C8" t="s">
        <v>6</v>
      </c>
      <c r="D8" s="11">
        <v>171.25</v>
      </c>
      <c r="G8" s="224"/>
    </row>
    <row r="9" spans="2:19" ht="15" customHeight="1">
      <c r="C9" t="s">
        <v>7</v>
      </c>
      <c r="D9" s="12">
        <v>43500</v>
      </c>
      <c r="G9" s="225"/>
      <c r="J9" s="226"/>
    </row>
    <row r="10" spans="2:19" ht="15" customHeight="1">
      <c r="C10" s="8" t="s">
        <v>8</v>
      </c>
      <c r="D10" s="13">
        <v>43372</v>
      </c>
      <c r="G10" s="225"/>
    </row>
    <row r="11" spans="2:19" ht="15" customHeight="1">
      <c r="C11" t="s">
        <v>9</v>
      </c>
      <c r="D11" s="54">
        <v>4745.3980000000001</v>
      </c>
      <c r="H11" s="227"/>
    </row>
    <row r="12" spans="2:19" ht="15" customHeight="1">
      <c r="C12" t="s">
        <v>188</v>
      </c>
      <c r="D12" s="10" t="s">
        <v>189</v>
      </c>
    </row>
    <row r="13" spans="2:19" ht="15" customHeight="1">
      <c r="C13" s="27"/>
      <c r="D13" s="27"/>
    </row>
    <row r="14" spans="2:19" ht="15" customHeight="1">
      <c r="B14" t="s">
        <v>187</v>
      </c>
      <c r="C14" s="16" t="s">
        <v>10</v>
      </c>
      <c r="D14" s="17"/>
      <c r="E14" s="17"/>
      <c r="F14" s="17"/>
      <c r="G14" s="17"/>
      <c r="H14" s="17"/>
      <c r="I14" s="17"/>
      <c r="J14" s="17"/>
      <c r="K14" s="17"/>
    </row>
    <row r="15" spans="2:19" ht="15" customHeight="1">
      <c r="C15" t="s">
        <v>11</v>
      </c>
      <c r="D15" s="18">
        <f>E15-1</f>
        <v>2016</v>
      </c>
      <c r="E15" s="18">
        <f>F15-1</f>
        <v>2017</v>
      </c>
      <c r="F15" s="18">
        <f>YEAR(D10)</f>
        <v>2018</v>
      </c>
      <c r="G15" s="55">
        <f>F15+1</f>
        <v>2019</v>
      </c>
      <c r="H15" s="55">
        <f>G15+1</f>
        <v>2020</v>
      </c>
      <c r="I15" s="55">
        <f>H15+1</f>
        <v>2021</v>
      </c>
      <c r="J15" s="55">
        <f>I15+1</f>
        <v>2022</v>
      </c>
      <c r="K15" s="55">
        <f>J15+1</f>
        <v>2023</v>
      </c>
    </row>
    <row r="16" spans="2:19" ht="15" customHeight="1">
      <c r="C16" s="19" t="s">
        <v>12</v>
      </c>
      <c r="D16" s="20">
        <f>EOMONTH(E16,-12)</f>
        <v>42643</v>
      </c>
      <c r="E16" s="20">
        <f>EOMONTH(F16,-12)</f>
        <v>43008</v>
      </c>
      <c r="F16" s="20">
        <f>D10</f>
        <v>43372</v>
      </c>
      <c r="G16" s="20">
        <f>EOMONTH(F16,12)</f>
        <v>43738</v>
      </c>
      <c r="H16" s="20">
        <f>EOMONTH(G16,12)</f>
        <v>44104</v>
      </c>
      <c r="I16" s="20">
        <f>EOMONTH(H16,12)</f>
        <v>44469</v>
      </c>
      <c r="J16" s="20">
        <f>EOMONTH(I16,12)</f>
        <v>44834</v>
      </c>
      <c r="K16" s="20">
        <f>EOMONTH(J16,12)</f>
        <v>45199</v>
      </c>
      <c r="M16" s="16" t="s">
        <v>66</v>
      </c>
      <c r="N16" s="17"/>
      <c r="O16" s="17"/>
      <c r="P16" s="17"/>
      <c r="Q16" s="17"/>
      <c r="R16" s="17"/>
      <c r="S16" s="17"/>
    </row>
    <row r="17" spans="3:14" ht="15" customHeight="1">
      <c r="C17" s="23"/>
      <c r="D17" s="24"/>
      <c r="E17" s="25"/>
      <c r="F17" s="25"/>
      <c r="G17" s="56"/>
      <c r="H17" s="57"/>
      <c r="I17" s="57"/>
      <c r="J17" s="25"/>
      <c r="K17" s="25"/>
    </row>
    <row r="18" spans="3:14" ht="15" customHeight="1">
      <c r="C18" t="s">
        <v>13</v>
      </c>
      <c r="D18" s="39">
        <v>215639</v>
      </c>
      <c r="E18" s="39">
        <v>229234</v>
      </c>
      <c r="F18" s="39">
        <v>265595</v>
      </c>
      <c r="G18" s="44">
        <f ca="1">F18*(1+G37)</f>
        <v>252990.4817</v>
      </c>
      <c r="H18" s="44">
        <f ca="1">G18*(1+H37)</f>
        <v>265376.78419999999</v>
      </c>
      <c r="I18" s="44">
        <f ca="1">H18*(1+I37)</f>
        <v>278407.76003590086</v>
      </c>
      <c r="J18" s="44">
        <f ca="1">I18*(1+J37)</f>
        <v>293588.357044834</v>
      </c>
      <c r="K18" s="44">
        <f ca="1">J18*(1+K37)</f>
        <v>311276.6925034704</v>
      </c>
      <c r="M18" t="s">
        <v>67</v>
      </c>
    </row>
    <row r="19" spans="3:14" ht="15" customHeight="1">
      <c r="C19" t="s">
        <v>14</v>
      </c>
      <c r="D19" s="39">
        <v>-131376</v>
      </c>
      <c r="E19" s="39">
        <v>-141048</v>
      </c>
      <c r="F19" s="39">
        <v>-163756</v>
      </c>
      <c r="G19" s="44">
        <f ca="1">G20-G18</f>
        <v>-157360.07961740001</v>
      </c>
      <c r="H19" s="44">
        <f ca="1">H20-H18</f>
        <v>-164268.22941979999</v>
      </c>
      <c r="I19" s="44">
        <f ca="1">I20-I18</f>
        <v>-172055.99570218672</v>
      </c>
      <c r="J19" s="44">
        <f ca="1">J20-J18</f>
        <v>-181437.60465370741</v>
      </c>
      <c r="K19" s="44">
        <f ca="1">K20-K18</f>
        <v>-192368.99596714473</v>
      </c>
      <c r="M19" t="s">
        <v>68</v>
      </c>
    </row>
    <row r="20" spans="3:14" ht="15" customHeight="1">
      <c r="C20" s="27" t="s">
        <v>15</v>
      </c>
      <c r="D20" s="41">
        <f>SUM(D18:D19)</f>
        <v>84263</v>
      </c>
      <c r="E20" s="41">
        <f>SUM(E18:E19)</f>
        <v>88186</v>
      </c>
      <c r="F20" s="41">
        <f>SUM(F18:F19)</f>
        <v>101839</v>
      </c>
      <c r="G20" s="41">
        <f ca="1">G18*G38</f>
        <v>95630.402082600005</v>
      </c>
      <c r="H20" s="41">
        <f ca="1">H18*H38</f>
        <v>101108.55478019999</v>
      </c>
      <c r="I20" s="41">
        <f ca="1">I18*I38</f>
        <v>106351.76433371413</v>
      </c>
      <c r="J20" s="41">
        <f ca="1">J18*J38</f>
        <v>112150.75239112659</v>
      </c>
      <c r="K20" s="41">
        <f ca="1">K18*K38</f>
        <v>118907.69653632569</v>
      </c>
      <c r="M20" t="s">
        <v>69</v>
      </c>
    </row>
    <row r="21" spans="3:14" ht="15" customHeight="1">
      <c r="C21" t="s">
        <v>16</v>
      </c>
      <c r="D21" s="39">
        <v>-10045</v>
      </c>
      <c r="E21" s="39">
        <v>-11581</v>
      </c>
      <c r="F21" s="39">
        <v>-14236</v>
      </c>
      <c r="G21" s="44">
        <f ca="1">-G39*G18</f>
        <v>-15685.409865400001</v>
      </c>
      <c r="H21" s="44">
        <f ca="1">-H39*H18</f>
        <v>-16718.7374046</v>
      </c>
      <c r="I21" s="44">
        <f ca="1">-I39*I18</f>
        <v>-17539.688882261755</v>
      </c>
      <c r="J21" s="44">
        <f ca="1">-J39*J18</f>
        <v>-18496.066493824543</v>
      </c>
      <c r="K21" s="44">
        <f ca="1">-K39*K18</f>
        <v>-19610.431627718637</v>
      </c>
      <c r="M21" t="s">
        <v>70</v>
      </c>
    </row>
    <row r="22" spans="3:14" ht="15" customHeight="1">
      <c r="C22" t="s">
        <v>17</v>
      </c>
      <c r="D22" s="39">
        <v>-14194</v>
      </c>
      <c r="E22" s="39">
        <v>-15261</v>
      </c>
      <c r="F22" s="39">
        <v>-16705</v>
      </c>
      <c r="G22" s="44">
        <f ca="1">-G18*G40</f>
        <v>-18721.295645800001</v>
      </c>
      <c r="H22" s="44">
        <f ca="1">-H18*H40</f>
        <v>-18310.998109800003</v>
      </c>
      <c r="I22" s="44">
        <f ca="1">-I18*I40</f>
        <v>-19210.13544247716</v>
      </c>
      <c r="J22" s="44">
        <f ca="1">-J18*J40</f>
        <v>-20257.596636093549</v>
      </c>
      <c r="K22" s="44">
        <f ca="1">-K18*K40</f>
        <v>-21478.091782739459</v>
      </c>
      <c r="M22" t="s">
        <v>71</v>
      </c>
    </row>
    <row r="23" spans="3:14" ht="15" customHeight="1">
      <c r="C23" s="27" t="s">
        <v>18</v>
      </c>
      <c r="D23" s="41">
        <f t="shared" ref="D23:K23" si="0">D20+D21+D22</f>
        <v>60024</v>
      </c>
      <c r="E23" s="41">
        <f t="shared" si="0"/>
        <v>61344</v>
      </c>
      <c r="F23" s="41">
        <f t="shared" si="0"/>
        <v>70898</v>
      </c>
      <c r="G23" s="41">
        <f t="shared" ca="1" si="0"/>
        <v>61223.696571400011</v>
      </c>
      <c r="H23" s="41">
        <f t="shared" ca="1" si="0"/>
        <v>66078.81926579999</v>
      </c>
      <c r="I23" s="41">
        <f t="shared" ca="1" si="0"/>
        <v>69601.940008975216</v>
      </c>
      <c r="J23" s="41">
        <f t="shared" ca="1" si="0"/>
        <v>73397.089261208486</v>
      </c>
      <c r="K23" s="41">
        <f t="shared" ca="1" si="0"/>
        <v>77819.173125867601</v>
      </c>
      <c r="M23" s="27" t="s">
        <v>72</v>
      </c>
    </row>
    <row r="24" spans="3:14" ht="15" customHeight="1">
      <c r="C24" t="s">
        <v>19</v>
      </c>
      <c r="D24" s="39">
        <v>3999</v>
      </c>
      <c r="E24" s="39">
        <v>5201</v>
      </c>
      <c r="F24" s="39">
        <v>5686</v>
      </c>
      <c r="G24" s="42">
        <f>G157</f>
        <v>5121.3600000000006</v>
      </c>
      <c r="H24" s="42">
        <f ca="1">H157</f>
        <v>4355.5991830484472</v>
      </c>
      <c r="I24" s="42">
        <f ca="1">I157</f>
        <v>3768.3359227849814</v>
      </c>
      <c r="J24" s="42">
        <f ca="1">J157</f>
        <v>3252.1605894896443</v>
      </c>
      <c r="K24" s="42">
        <f ca="1">K157</f>
        <v>2815.5643897959931</v>
      </c>
      <c r="M24" t="s">
        <v>73</v>
      </c>
    </row>
    <row r="25" spans="3:14" ht="15" customHeight="1">
      <c r="C25" t="s">
        <v>20</v>
      </c>
      <c r="D25" s="39">
        <v>-1456</v>
      </c>
      <c r="E25" s="39">
        <v>-2323</v>
      </c>
      <c r="F25" s="39">
        <v>-3240</v>
      </c>
      <c r="G25" s="42">
        <f>-G143</f>
        <v>-3222.7544651501776</v>
      </c>
      <c r="H25" s="42">
        <f ca="1">-H143</f>
        <v>-3223.5392651501775</v>
      </c>
      <c r="I25" s="42">
        <f ca="1">-I143</f>
        <v>-3223.5392651501775</v>
      </c>
      <c r="J25" s="42">
        <f ca="1">-J143</f>
        <v>-3223.5392651501775</v>
      </c>
      <c r="K25" s="42">
        <f ca="1">-K143</f>
        <v>-3223.5392651501775</v>
      </c>
      <c r="M25" t="s">
        <v>74</v>
      </c>
    </row>
    <row r="26" spans="3:14" ht="15" customHeight="1">
      <c r="C26" t="s">
        <v>21</v>
      </c>
      <c r="D26" s="39">
        <v>-1195</v>
      </c>
      <c r="E26" s="39">
        <v>-133</v>
      </c>
      <c r="F26" s="39">
        <v>-441</v>
      </c>
      <c r="G26" s="42">
        <f>F26</f>
        <v>-441</v>
      </c>
      <c r="H26" s="42">
        <f>G26</f>
        <v>-441</v>
      </c>
      <c r="I26" s="42">
        <f>H26</f>
        <v>-441</v>
      </c>
      <c r="J26" s="42">
        <f>I26</f>
        <v>-441</v>
      </c>
      <c r="K26" s="42">
        <f>J26</f>
        <v>-441</v>
      </c>
      <c r="M26" t="s">
        <v>75</v>
      </c>
    </row>
    <row r="27" spans="3:14" ht="15" customHeight="1">
      <c r="C27" s="27" t="s">
        <v>22</v>
      </c>
      <c r="D27" s="41">
        <f t="shared" ref="D27:K27" si="1">SUM(D23:D26)</f>
        <v>61372</v>
      </c>
      <c r="E27" s="41">
        <f t="shared" si="1"/>
        <v>64089</v>
      </c>
      <c r="F27" s="41">
        <f t="shared" si="1"/>
        <v>72903</v>
      </c>
      <c r="G27" s="41">
        <f t="shared" ca="1" si="1"/>
        <v>62681.30210624983</v>
      </c>
      <c r="H27" s="41">
        <f t="shared" ca="1" si="1"/>
        <v>66769.879183698256</v>
      </c>
      <c r="I27" s="41">
        <f t="shared" ca="1" si="1"/>
        <v>69705.736666610028</v>
      </c>
      <c r="J27" s="41">
        <f t="shared" ca="1" si="1"/>
        <v>72984.71058554796</v>
      </c>
      <c r="K27" s="41">
        <f t="shared" ca="1" si="1"/>
        <v>76970.198250513422</v>
      </c>
      <c r="M27" s="27" t="s">
        <v>76</v>
      </c>
      <c r="N27" s="27"/>
    </row>
    <row r="28" spans="3:14" ht="15" customHeight="1">
      <c r="C28" t="s">
        <v>23</v>
      </c>
      <c r="D28" s="39">
        <v>-15685</v>
      </c>
      <c r="E28" s="39">
        <v>-15738</v>
      </c>
      <c r="F28" s="39">
        <v>-13372</v>
      </c>
      <c r="G28" s="44">
        <f ca="1">-G41*G27</f>
        <v>-10467.777451743723</v>
      </c>
      <c r="H28" s="44">
        <f ca="1">-H41*H27</f>
        <v>-11350.879461228704</v>
      </c>
      <c r="I28" s="44">
        <f ca="1">-I41*I27</f>
        <v>-11780.269496657096</v>
      </c>
      <c r="J28" s="44">
        <f ca="1">-J41*J27</f>
        <v>-12334.416088957607</v>
      </c>
      <c r="K28" s="44">
        <f ca="1">-K41*K27</f>
        <v>-13007.963504336769</v>
      </c>
      <c r="M28" t="s">
        <v>77</v>
      </c>
    </row>
    <row r="29" spans="3:14" ht="15" customHeight="1">
      <c r="C29" s="27" t="s">
        <v>24</v>
      </c>
      <c r="D29" s="41">
        <f t="shared" ref="D29:K29" si="2">SUM(D27:D28)</f>
        <v>45687</v>
      </c>
      <c r="E29" s="41">
        <f t="shared" si="2"/>
        <v>48351</v>
      </c>
      <c r="F29" s="41">
        <f t="shared" si="2"/>
        <v>59531</v>
      </c>
      <c r="G29" s="41">
        <f t="shared" ca="1" si="2"/>
        <v>52213.524654506109</v>
      </c>
      <c r="H29" s="41">
        <f t="shared" ca="1" si="2"/>
        <v>55418.999722469554</v>
      </c>
      <c r="I29" s="41">
        <f t="shared" ca="1" si="2"/>
        <v>57925.467169952928</v>
      </c>
      <c r="J29" s="41">
        <f t="shared" ca="1" si="2"/>
        <v>60650.294496590352</v>
      </c>
      <c r="K29" s="41">
        <f t="shared" ca="1" si="2"/>
        <v>63962.234746176655</v>
      </c>
      <c r="M29" s="27" t="s">
        <v>78</v>
      </c>
    </row>
    <row r="30" spans="3:14" ht="15" customHeight="1">
      <c r="C30" s="29"/>
      <c r="D30" s="42"/>
      <c r="E30" s="42"/>
      <c r="F30" s="42"/>
      <c r="G30" s="42"/>
      <c r="H30" s="42"/>
      <c r="I30" s="42"/>
      <c r="J30" s="42"/>
      <c r="K30" s="42"/>
    </row>
    <row r="31" spans="3:14" ht="15" customHeight="1">
      <c r="C31" s="30" t="s">
        <v>25</v>
      </c>
      <c r="D31" s="39">
        <v>10505</v>
      </c>
      <c r="E31" s="39">
        <v>10157</v>
      </c>
      <c r="F31" s="39">
        <v>10903</v>
      </c>
      <c r="G31" s="42">
        <f ca="1">G107</f>
        <v>11073.065535688591</v>
      </c>
      <c r="H31" s="42">
        <f ca="1">H107</f>
        <v>11682.360902273253</v>
      </c>
      <c r="I31" s="42">
        <f ca="1">I107</f>
        <v>12162.945527572734</v>
      </c>
      <c r="J31" s="42">
        <f ca="1">J107</f>
        <v>13117.598244801113</v>
      </c>
      <c r="K31" s="42">
        <f ca="1">K107</f>
        <v>14216.926852040826</v>
      </c>
      <c r="M31" t="s">
        <v>79</v>
      </c>
    </row>
    <row r="32" spans="3:14" ht="15" customHeight="1">
      <c r="C32" s="31" t="s">
        <v>26</v>
      </c>
      <c r="D32" s="41">
        <f t="shared" ref="D32:K32" si="3">D23+D31</f>
        <v>70529</v>
      </c>
      <c r="E32" s="41">
        <f t="shared" si="3"/>
        <v>71501</v>
      </c>
      <c r="F32" s="41">
        <f t="shared" si="3"/>
        <v>81801</v>
      </c>
      <c r="G32" s="41">
        <f t="shared" ca="1" si="3"/>
        <v>72296.762107088609</v>
      </c>
      <c r="H32" s="41">
        <f t="shared" ca="1" si="3"/>
        <v>77761.180168073246</v>
      </c>
      <c r="I32" s="41">
        <f t="shared" ca="1" si="3"/>
        <v>81764.885536547954</v>
      </c>
      <c r="J32" s="41">
        <f t="shared" ca="1" si="3"/>
        <v>86514.687506009592</v>
      </c>
      <c r="K32" s="41">
        <f t="shared" ca="1" si="3"/>
        <v>92036.099977908423</v>
      </c>
      <c r="M32" s="27" t="s">
        <v>80</v>
      </c>
    </row>
    <row r="33" spans="2:20" ht="15" customHeight="1">
      <c r="C33" s="30" t="s">
        <v>27</v>
      </c>
      <c r="D33" s="39">
        <v>4210</v>
      </c>
      <c r="E33" s="39">
        <v>4840</v>
      </c>
      <c r="F33" s="39">
        <v>5340</v>
      </c>
      <c r="G33" s="42">
        <f ca="1">F33*(1+G37)</f>
        <v>5086.5760736384345</v>
      </c>
      <c r="H33" s="42">
        <f ca="1">G33*(1+H37)</f>
        <v>5335.6125967281014</v>
      </c>
      <c r="I33" s="42">
        <f ca="1">H33*(1+I37)</f>
        <v>5597.6107930936605</v>
      </c>
      <c r="J33" s="42">
        <f ca="1">I33*(1+J37)</f>
        <v>5902.8288432365589</v>
      </c>
      <c r="K33" s="42">
        <f ca="1">J33*(1+K37)</f>
        <v>6258.4669815641573</v>
      </c>
      <c r="M33" t="s">
        <v>81</v>
      </c>
    </row>
    <row r="34" spans="2:20" ht="15" customHeight="1">
      <c r="C34" s="31" t="s">
        <v>28</v>
      </c>
      <c r="D34" s="41">
        <f t="shared" ref="D34:K34" si="4">SUM(D32:D33)</f>
        <v>74739</v>
      </c>
      <c r="E34" s="41">
        <f t="shared" si="4"/>
        <v>76341</v>
      </c>
      <c r="F34" s="41">
        <f t="shared" si="4"/>
        <v>87141</v>
      </c>
      <c r="G34" s="41">
        <f t="shared" ca="1" si="4"/>
        <v>77383.338180727049</v>
      </c>
      <c r="H34" s="41">
        <f t="shared" ca="1" si="4"/>
        <v>83096.792764801343</v>
      </c>
      <c r="I34" s="41">
        <f t="shared" ca="1" si="4"/>
        <v>87362.49632964161</v>
      </c>
      <c r="J34" s="41">
        <f t="shared" ca="1" si="4"/>
        <v>92417.516349246143</v>
      </c>
      <c r="K34" s="41">
        <f t="shared" ca="1" si="4"/>
        <v>98294.566959472577</v>
      </c>
      <c r="M34" s="27" t="s">
        <v>82</v>
      </c>
    </row>
    <row r="35" spans="2:20" ht="15" customHeight="1">
      <c r="C35" s="29"/>
      <c r="G35" s="62"/>
    </row>
    <row r="36" spans="2:20" ht="15" customHeight="1">
      <c r="C36" s="32" t="s">
        <v>83</v>
      </c>
    </row>
    <row r="37" spans="2:20" ht="15" customHeight="1">
      <c r="C37" s="29" t="s">
        <v>30</v>
      </c>
      <c r="D37" s="63"/>
      <c r="E37" s="63">
        <f>E18/D18-1</f>
        <v>6.304518199398057E-2</v>
      </c>
      <c r="F37" s="63">
        <f>F18/E18-1</f>
        <v>0.15861957650261305</v>
      </c>
      <c r="G37" s="228">
        <f ca="1">'Rev Build'!G14</f>
        <v>-4.7457664112652731E-2</v>
      </c>
      <c r="H37" s="228">
        <f ca="1">'Rev Build'!H14</f>
        <v>4.8959559335073566E-2</v>
      </c>
      <c r="I37" s="228">
        <f ca="1">'Rev Build'!I14</f>
        <v>4.9103676778599281E-2</v>
      </c>
      <c r="J37" s="228">
        <f ca="1">'Rev Build'!J14</f>
        <v>5.452648664310078E-2</v>
      </c>
      <c r="K37" s="228">
        <f ca="1">'Rev Build'!K14</f>
        <v>6.0248763393349503E-2</v>
      </c>
      <c r="M37" t="s">
        <v>261</v>
      </c>
      <c r="O37" s="35"/>
      <c r="P37" s="35"/>
      <c r="Q37" s="35"/>
      <c r="R37" s="35"/>
      <c r="S37" s="35"/>
      <c r="T37" s="35"/>
    </row>
    <row r="38" spans="2:20" ht="15" customHeight="1">
      <c r="C38" s="29" t="s">
        <v>31</v>
      </c>
      <c r="D38" s="63">
        <f>D20/D18</f>
        <v>0.39075955648097049</v>
      </c>
      <c r="E38" s="63">
        <f>E20/E18</f>
        <v>0.38469860491899105</v>
      </c>
      <c r="F38" s="63">
        <f>F20/F18</f>
        <v>0.38343718820007905</v>
      </c>
      <c r="G38" s="63">
        <f t="shared" ref="G38:K40" ca="1" si="5">G177</f>
        <v>0.378</v>
      </c>
      <c r="H38" s="63">
        <f t="shared" ca="1" si="5"/>
        <v>0.38100000000000001</v>
      </c>
      <c r="I38" s="63">
        <f t="shared" ca="1" si="5"/>
        <v>0.38200000000000001</v>
      </c>
      <c r="J38" s="63">
        <f t="shared" ca="1" si="5"/>
        <v>0.38200000000000001</v>
      </c>
      <c r="K38" s="63">
        <f t="shared" ca="1" si="5"/>
        <v>0.38200000000000001</v>
      </c>
      <c r="M38" t="s">
        <v>190</v>
      </c>
      <c r="O38" s="35"/>
      <c r="P38" s="35"/>
      <c r="Q38" s="35"/>
      <c r="R38" s="35"/>
      <c r="S38" s="35"/>
      <c r="T38" s="35"/>
    </row>
    <row r="39" spans="2:20" ht="15" customHeight="1">
      <c r="C39" s="29" t="s">
        <v>32</v>
      </c>
      <c r="D39" s="63">
        <f>-D21/D18</f>
        <v>4.6582482760539605E-2</v>
      </c>
      <c r="E39" s="63">
        <f>-E21/E18</f>
        <v>5.0520428906706681E-2</v>
      </c>
      <c r="F39" s="63">
        <f>-F21/F18</f>
        <v>5.3600406634161032E-2</v>
      </c>
      <c r="G39" s="63">
        <f t="shared" ca="1" si="5"/>
        <v>6.2E-2</v>
      </c>
      <c r="H39" s="63">
        <f t="shared" ca="1" si="5"/>
        <v>6.3E-2</v>
      </c>
      <c r="I39" s="63">
        <f t="shared" ca="1" si="5"/>
        <v>6.3E-2</v>
      </c>
      <c r="J39" s="63">
        <f t="shared" ca="1" si="5"/>
        <v>6.3E-2</v>
      </c>
      <c r="K39" s="63">
        <f t="shared" ca="1" si="5"/>
        <v>6.3E-2</v>
      </c>
      <c r="M39" t="s">
        <v>190</v>
      </c>
      <c r="O39" s="35"/>
      <c r="P39" s="35"/>
      <c r="Q39" s="35"/>
      <c r="R39" s="35"/>
      <c r="S39" s="35"/>
      <c r="T39" s="35"/>
    </row>
    <row r="40" spans="2:20" ht="15" customHeight="1">
      <c r="C40" s="29" t="s">
        <v>33</v>
      </c>
      <c r="D40" s="63">
        <f>-D22/D18</f>
        <v>6.5822972653369755E-2</v>
      </c>
      <c r="E40" s="63">
        <f>-E22/E18</f>
        <v>6.6573893924984945E-2</v>
      </c>
      <c r="F40" s="63">
        <f>-F22/F18</f>
        <v>6.2896515371147807E-2</v>
      </c>
      <c r="G40" s="63">
        <f t="shared" ca="1" si="5"/>
        <v>7.3999999999999996E-2</v>
      </c>
      <c r="H40" s="63">
        <f t="shared" ca="1" si="5"/>
        <v>6.9000000000000006E-2</v>
      </c>
      <c r="I40" s="63">
        <f t="shared" ca="1" si="5"/>
        <v>6.9000000000000006E-2</v>
      </c>
      <c r="J40" s="63">
        <f t="shared" ca="1" si="5"/>
        <v>6.9000000000000006E-2</v>
      </c>
      <c r="K40" s="63">
        <f t="shared" ca="1" si="5"/>
        <v>6.9000000000000006E-2</v>
      </c>
      <c r="M40" t="s">
        <v>190</v>
      </c>
      <c r="O40" s="35"/>
      <c r="P40" s="35"/>
      <c r="Q40" s="35"/>
      <c r="R40" s="35"/>
      <c r="S40" s="35"/>
      <c r="T40" s="35"/>
    </row>
    <row r="41" spans="2:20" ht="15" customHeight="1">
      <c r="C41" s="29" t="s">
        <v>34</v>
      </c>
      <c r="D41" s="63">
        <f>-(D28/D27)</f>
        <v>0.25557257381216192</v>
      </c>
      <c r="E41" s="63">
        <f>-(E28/E27)</f>
        <v>0.24556476150353415</v>
      </c>
      <c r="F41" s="63">
        <f>-(F28/F27)</f>
        <v>0.18342180705869443</v>
      </c>
      <c r="G41" s="35">
        <v>0.16700000000000001</v>
      </c>
      <c r="H41" s="35">
        <v>0.17</v>
      </c>
      <c r="I41" s="35">
        <v>0.16900000000000001</v>
      </c>
      <c r="J41" s="63">
        <f>I41</f>
        <v>0.16900000000000001</v>
      </c>
      <c r="K41" s="63">
        <f>J41</f>
        <v>0.16900000000000001</v>
      </c>
      <c r="M41" t="s">
        <v>86</v>
      </c>
      <c r="O41" s="35"/>
      <c r="P41" s="35"/>
      <c r="Q41" s="35"/>
      <c r="R41" s="35"/>
      <c r="S41" s="35"/>
      <c r="T41" s="35"/>
    </row>
    <row r="42" spans="2:20" ht="15" customHeight="1">
      <c r="C42" s="29"/>
      <c r="G42" s="62"/>
    </row>
    <row r="43" spans="2:20" ht="15" customHeight="1">
      <c r="B43" t="s">
        <v>187</v>
      </c>
      <c r="C43" s="16" t="s">
        <v>35</v>
      </c>
      <c r="D43" s="20"/>
      <c r="E43" s="20"/>
      <c r="F43" s="20"/>
      <c r="G43" s="17"/>
      <c r="H43" s="17"/>
      <c r="I43" s="17"/>
      <c r="J43" s="17"/>
      <c r="K43" s="17"/>
    </row>
    <row r="44" spans="2:20" ht="15" customHeight="1">
      <c r="C44" s="36" t="str">
        <f>C15</f>
        <v xml:space="preserve">Fiscal year  </v>
      </c>
      <c r="D44" s="37"/>
      <c r="E44" s="37">
        <f t="shared" ref="E44:K45" si="6">E15</f>
        <v>2017</v>
      </c>
      <c r="F44" s="37">
        <f t="shared" si="6"/>
        <v>2018</v>
      </c>
      <c r="G44" s="65">
        <f t="shared" si="6"/>
        <v>2019</v>
      </c>
      <c r="H44" s="65">
        <f t="shared" si="6"/>
        <v>2020</v>
      </c>
      <c r="I44" s="65">
        <f t="shared" si="6"/>
        <v>2021</v>
      </c>
      <c r="J44" s="65">
        <f t="shared" si="6"/>
        <v>2022</v>
      </c>
      <c r="K44" s="65">
        <f t="shared" si="6"/>
        <v>2023</v>
      </c>
    </row>
    <row r="45" spans="2:20" ht="15" customHeight="1">
      <c r="C45" s="17" t="str">
        <f>C16</f>
        <v>Fiscal year end date</v>
      </c>
      <c r="D45" s="38"/>
      <c r="E45" s="38">
        <f t="shared" si="6"/>
        <v>43008</v>
      </c>
      <c r="F45" s="38">
        <f t="shared" si="6"/>
        <v>43372</v>
      </c>
      <c r="G45" s="38">
        <f t="shared" si="6"/>
        <v>43738</v>
      </c>
      <c r="H45" s="38">
        <f t="shared" si="6"/>
        <v>44104</v>
      </c>
      <c r="I45" s="38">
        <f t="shared" si="6"/>
        <v>44469</v>
      </c>
      <c r="J45" s="38">
        <f t="shared" si="6"/>
        <v>44834</v>
      </c>
      <c r="K45" s="38">
        <f t="shared" si="6"/>
        <v>45199</v>
      </c>
    </row>
    <row r="46" spans="2:20" ht="15" customHeight="1">
      <c r="C46" t="s">
        <v>38</v>
      </c>
      <c r="D46" s="39"/>
      <c r="E46" s="39">
        <f>20289+53892+194714</f>
        <v>268895</v>
      </c>
      <c r="F46" s="39">
        <f>25913+40388+170799</f>
        <v>237100</v>
      </c>
      <c r="G46" s="42">
        <f ca="1">G91+F46</f>
        <v>201648.11032631699</v>
      </c>
      <c r="H46" s="42">
        <f ca="1">H91+G46</f>
        <v>174459.99642523061</v>
      </c>
      <c r="I46" s="42">
        <f ca="1">I91+H46</f>
        <v>150562.99025415018</v>
      </c>
      <c r="J46" s="42">
        <f ca="1">J91+I46</f>
        <v>130350.20323129596</v>
      </c>
      <c r="K46" s="42">
        <f ca="1">K91+J46</f>
        <v>114456.79100282822</v>
      </c>
      <c r="M46" t="s">
        <v>87</v>
      </c>
    </row>
    <row r="47" spans="2:20" ht="15" customHeight="1">
      <c r="C47" t="s">
        <v>39</v>
      </c>
      <c r="D47" s="39"/>
      <c r="E47" s="39">
        <v>17874</v>
      </c>
      <c r="F47" s="39">
        <v>23186</v>
      </c>
      <c r="G47" s="42">
        <f ca="1">F47*(1+G37)</f>
        <v>22085.646599884032</v>
      </c>
      <c r="H47" s="42">
        <f ca="1">G47*(1+H37)</f>
        <v>23166.950125044521</v>
      </c>
      <c r="I47" s="42">
        <f ca="1">H47*(1+I37)</f>
        <v>24304.532555930637</v>
      </c>
      <c r="J47" s="42">
        <f ca="1">I47*(1+J37)</f>
        <v>25629.773325708396</v>
      </c>
      <c r="K47" s="42">
        <f ca="1">J47*(1+K37)</f>
        <v>27173.935474634181</v>
      </c>
      <c r="M47" t="s">
        <v>88</v>
      </c>
    </row>
    <row r="48" spans="2:20" ht="15" customHeight="1">
      <c r="C48" t="s">
        <v>40</v>
      </c>
      <c r="D48" s="39"/>
      <c r="E48" s="39">
        <v>4855</v>
      </c>
      <c r="F48" s="39">
        <v>3956</v>
      </c>
      <c r="G48" s="42">
        <f ca="1">F48*G19/F19</f>
        <v>3801.4880368745844</v>
      </c>
      <c r="H48" s="42">
        <f ca="1">G48*H19/G19</f>
        <v>3968.3743837461143</v>
      </c>
      <c r="I48" s="42">
        <f ca="1">H48*I19/H19</f>
        <v>4156.5104118191121</v>
      </c>
      <c r="J48" s="42">
        <f ca="1">I48*J19/I19</f>
        <v>4383.1503212710768</v>
      </c>
      <c r="K48" s="42">
        <f ca="1">J48*K19/J19</f>
        <v>4647.2297078948222</v>
      </c>
      <c r="M48" t="s">
        <v>89</v>
      </c>
    </row>
    <row r="49" spans="3:13" ht="15" customHeight="1">
      <c r="C49" t="s">
        <v>41</v>
      </c>
      <c r="D49" s="39"/>
      <c r="E49" s="39">
        <f>17799+13936</f>
        <v>31735</v>
      </c>
      <c r="F49" s="39">
        <f>25809+12087</f>
        <v>37896</v>
      </c>
      <c r="G49" s="42">
        <f ca="1">F49*(1+G37)</f>
        <v>36097.544360786909</v>
      </c>
      <c r="H49" s="42">
        <f ca="1">G49*(1+H37)</f>
        <v>37864.864225769306</v>
      </c>
      <c r="I49" s="42">
        <f ca="1">H49*(1+I37)</f>
        <v>39724.168279977028</v>
      </c>
      <c r="J49" s="42">
        <f ca="1">I49*(1+J37)</f>
        <v>41890.18761110348</v>
      </c>
      <c r="K49" s="42">
        <f ca="1">J49*(1+K37)</f>
        <v>44414.019612987875</v>
      </c>
      <c r="M49" t="s">
        <v>88</v>
      </c>
    </row>
    <row r="50" spans="3:13" ht="15" customHeight="1">
      <c r="C50" t="s">
        <v>42</v>
      </c>
      <c r="D50" s="39"/>
      <c r="E50" s="39">
        <v>33783</v>
      </c>
      <c r="F50" s="39">
        <v>41304</v>
      </c>
      <c r="G50" s="42">
        <f>G100</f>
        <v>45042.85982873883</v>
      </c>
      <c r="H50" s="42">
        <f>H100</f>
        <v>48611.181883872909</v>
      </c>
      <c r="I50" s="42">
        <f>I100</f>
        <v>51947.567835949827</v>
      </c>
      <c r="J50" s="42">
        <f ca="1">J100</f>
        <v>55174.425161700477</v>
      </c>
      <c r="K50" s="42">
        <f ca="1">K100</f>
        <v>58286.687116674701</v>
      </c>
      <c r="M50" t="s">
        <v>90</v>
      </c>
    </row>
    <row r="51" spans="3:13" ht="15" customHeight="1">
      <c r="C51" t="s">
        <v>43</v>
      </c>
      <c r="D51" s="39"/>
      <c r="E51" s="39">
        <v>18177</v>
      </c>
      <c r="F51" s="39">
        <v>22283</v>
      </c>
      <c r="G51" s="42">
        <f ca="1">F51*(1+G37)</f>
        <v>21225.500870577758</v>
      </c>
      <c r="H51" s="42">
        <f ca="1">G51*(1+H37)</f>
        <v>22264.692039867467</v>
      </c>
      <c r="I51" s="42">
        <f ca="1">H51*(1+I37)</f>
        <v>23357.970281368172</v>
      </c>
      <c r="J51" s="42">
        <f ca="1">I51*(1+J37)</f>
        <v>24631.59833592514</v>
      </c>
      <c r="K51" s="42">
        <f ca="1">J51*(1+K37)</f>
        <v>26115.621676066316</v>
      </c>
      <c r="M51" t="s">
        <v>88</v>
      </c>
    </row>
    <row r="52" spans="3:13" ht="15" customHeight="1">
      <c r="C52" s="31" t="s">
        <v>44</v>
      </c>
      <c r="D52" s="41"/>
      <c r="E52" s="41">
        <f t="shared" ref="E52:K52" si="7">SUM(E46:E51)</f>
        <v>375319</v>
      </c>
      <c r="F52" s="41">
        <f t="shared" si="7"/>
        <v>365725</v>
      </c>
      <c r="G52" s="45">
        <f t="shared" ca="1" si="7"/>
        <v>329901.15002317913</v>
      </c>
      <c r="H52" s="45">
        <f t="shared" ca="1" si="7"/>
        <v>310336.05908353091</v>
      </c>
      <c r="I52" s="45">
        <f t="shared" ca="1" si="7"/>
        <v>294053.73961919494</v>
      </c>
      <c r="J52" s="45">
        <f t="shared" ca="1" si="7"/>
        <v>282059.33798700449</v>
      </c>
      <c r="K52" s="45">
        <f t="shared" ca="1" si="7"/>
        <v>275094.28459108609</v>
      </c>
    </row>
    <row r="53" spans="3:13" ht="15" customHeight="1">
      <c r="C53" s="30"/>
      <c r="D53" s="42"/>
      <c r="E53" s="42"/>
      <c r="F53" s="42"/>
      <c r="G53" s="42"/>
      <c r="H53" s="42"/>
      <c r="I53" s="42"/>
      <c r="J53" s="42"/>
      <c r="K53" s="42"/>
    </row>
    <row r="54" spans="3:13" ht="15" customHeight="1">
      <c r="C54" s="30" t="s">
        <v>45</v>
      </c>
      <c r="D54" s="39"/>
      <c r="E54" s="39">
        <v>44242</v>
      </c>
      <c r="F54" s="39">
        <v>55888</v>
      </c>
      <c r="G54" s="42">
        <f ca="1">F54*G19/F19</f>
        <v>53705.147473419303</v>
      </c>
      <c r="H54" s="42">
        <f ca="1">G54*H19/G19</f>
        <v>56062.817886451681</v>
      </c>
      <c r="I54" s="42">
        <f ca="1">H54*I19/H19</f>
        <v>58720.691075770112</v>
      </c>
      <c r="J54" s="42">
        <f ca="1">I54*J19/I19</f>
        <v>61922.524053386733</v>
      </c>
      <c r="K54" s="42">
        <f ca="1">J54*K19/J19</f>
        <v>65653.279553798231</v>
      </c>
      <c r="M54" t="s">
        <v>89</v>
      </c>
    </row>
    <row r="55" spans="3:13" ht="15" customHeight="1">
      <c r="C55" s="30" t="s">
        <v>46</v>
      </c>
      <c r="D55" s="39"/>
      <c r="E55" s="39">
        <v>30551</v>
      </c>
      <c r="F55" s="39">
        <v>32687</v>
      </c>
      <c r="G55" s="42">
        <f ca="1">F55*(1+G37)</f>
        <v>31135.751333149721</v>
      </c>
      <c r="H55" s="42">
        <f ca="1">G55*(1+H37)</f>
        <v>32660.143997987161</v>
      </c>
      <c r="I55" s="42">
        <f ca="1">H55*(1+I37)</f>
        <v>34263.877152406829</v>
      </c>
      <c r="J55" s="42">
        <f ca="1">I55*(1+J37)</f>
        <v>36132.165992298389</v>
      </c>
      <c r="K55" s="42">
        <f ca="1">J55*(1+K37)</f>
        <v>38309.084312057603</v>
      </c>
      <c r="M55" t="s">
        <v>88</v>
      </c>
    </row>
    <row r="56" spans="3:13" ht="15" customHeight="1">
      <c r="C56" s="30" t="s">
        <v>47</v>
      </c>
      <c r="D56" s="39"/>
      <c r="E56" s="39">
        <f>7548+2836</f>
        <v>10384</v>
      </c>
      <c r="F56" s="39">
        <f>7543+2797</f>
        <v>10340</v>
      </c>
      <c r="G56" s="42">
        <f ca="1">F56*(1+G37)</f>
        <v>9849.2877530751703</v>
      </c>
      <c r="H56" s="42">
        <f ca="1">G56*(1+H37)</f>
        <v>10331.504541230068</v>
      </c>
      <c r="I56" s="42">
        <f ca="1">H56*(1+I37)</f>
        <v>10838.81940085926</v>
      </c>
      <c r="J56" s="42">
        <f ca="1">I56*(1+J37)</f>
        <v>11429.822142147194</v>
      </c>
      <c r="K56" s="42">
        <f ca="1">J56*(1+K37)</f>
        <v>12118.454792017486</v>
      </c>
      <c r="M56" t="s">
        <v>88</v>
      </c>
    </row>
    <row r="57" spans="3:13" ht="15" customHeight="1">
      <c r="C57" s="30" t="s">
        <v>48</v>
      </c>
      <c r="D57" s="39"/>
      <c r="E57" s="39">
        <v>11977</v>
      </c>
      <c r="F57" s="39">
        <v>11964</v>
      </c>
      <c r="G57" s="42">
        <f ca="1">G136</f>
        <v>12000</v>
      </c>
      <c r="H57" s="42">
        <f ca="1">H136</f>
        <v>12000</v>
      </c>
      <c r="I57" s="42">
        <f ca="1">I136</f>
        <v>12000</v>
      </c>
      <c r="J57" s="42">
        <f ca="1">J136</f>
        <v>12000</v>
      </c>
      <c r="K57" s="42">
        <f ca="1">K136</f>
        <v>12000</v>
      </c>
      <c r="M57" t="s">
        <v>91</v>
      </c>
    </row>
    <row r="58" spans="3:13" ht="15" customHeight="1">
      <c r="C58" s="30" t="s">
        <v>92</v>
      </c>
      <c r="D58" s="39"/>
      <c r="E58" s="39">
        <f>6496+97207</f>
        <v>103703</v>
      </c>
      <c r="F58" s="39">
        <f>8784+93735</f>
        <v>102519</v>
      </c>
      <c r="G58" s="42">
        <f>F58</f>
        <v>102519</v>
      </c>
      <c r="H58" s="42">
        <f>G58</f>
        <v>102519</v>
      </c>
      <c r="I58" s="42">
        <f>H58</f>
        <v>102519</v>
      </c>
      <c r="J58" s="42">
        <f>I58</f>
        <v>102519</v>
      </c>
      <c r="K58" s="42">
        <f>J58</f>
        <v>102519</v>
      </c>
      <c r="M58" t="s">
        <v>93</v>
      </c>
    </row>
    <row r="59" spans="3:13" ht="15.75" customHeight="1">
      <c r="C59" s="30" t="s">
        <v>50</v>
      </c>
      <c r="D59" s="39"/>
      <c r="E59" s="39">
        <v>40415</v>
      </c>
      <c r="F59" s="39">
        <v>45180</v>
      </c>
      <c r="G59" s="42">
        <f ca="1">F59*(1+G37)</f>
        <v>43035.86273539035</v>
      </c>
      <c r="H59" s="42">
        <f ca="1">G59*(1+H37)</f>
        <v>45142.879610519776</v>
      </c>
      <c r="I59" s="42">
        <f ca="1">H59*(1+I37)</f>
        <v>47359.560979769958</v>
      </c>
      <c r="J59" s="42">
        <f ca="1">I59*(1+J37)</f>
        <v>49941.911448956504</v>
      </c>
      <c r="K59" s="42">
        <f ca="1">J59*(1+K37)</f>
        <v>52950.849855256296</v>
      </c>
      <c r="M59" t="s">
        <v>88</v>
      </c>
    </row>
    <row r="60" spans="3:13" ht="15" customHeight="1">
      <c r="C60" s="31" t="s">
        <v>51</v>
      </c>
      <c r="D60" s="41"/>
      <c r="E60" s="41">
        <f t="shared" ref="E60:K60" si="8">SUM(E54:E59)</f>
        <v>241272</v>
      </c>
      <c r="F60" s="41">
        <f t="shared" si="8"/>
        <v>258578</v>
      </c>
      <c r="G60" s="45">
        <f t="shared" ca="1" si="8"/>
        <v>252245.04929503452</v>
      </c>
      <c r="H60" s="45">
        <f t="shared" ca="1" si="8"/>
        <v>258716.34603618868</v>
      </c>
      <c r="I60" s="45">
        <f t="shared" ca="1" si="8"/>
        <v>265701.94860880618</v>
      </c>
      <c r="J60" s="45">
        <f t="shared" ca="1" si="8"/>
        <v>273945.42363678885</v>
      </c>
      <c r="K60" s="45">
        <f t="shared" ca="1" si="8"/>
        <v>283550.66851312958</v>
      </c>
    </row>
    <row r="61" spans="3:13" ht="15" customHeight="1">
      <c r="C61" s="31"/>
      <c r="D61" s="41"/>
      <c r="E61" s="41"/>
      <c r="F61" s="41"/>
      <c r="G61" s="42"/>
      <c r="H61" s="42"/>
      <c r="I61" s="42"/>
      <c r="J61" s="42"/>
      <c r="K61" s="42"/>
    </row>
    <row r="62" spans="3:13" ht="15" customHeight="1">
      <c r="C62" s="30" t="s">
        <v>52</v>
      </c>
      <c r="D62" s="39"/>
      <c r="E62" s="39">
        <v>35867</v>
      </c>
      <c r="F62" s="39">
        <v>40201</v>
      </c>
      <c r="G62" s="42">
        <f ca="1">F62+G33</f>
        <v>45287.576073638433</v>
      </c>
      <c r="H62" s="42">
        <f ca="1">G62+H33</f>
        <v>50623.188670366537</v>
      </c>
      <c r="I62" s="42">
        <f ca="1">H62+I33</f>
        <v>56220.7994634602</v>
      </c>
      <c r="J62" s="42">
        <f ca="1">I62+J33</f>
        <v>62123.628306696759</v>
      </c>
      <c r="K62" s="42">
        <f ca="1">J62+K33</f>
        <v>68382.095288260913</v>
      </c>
      <c r="M62" t="s">
        <v>94</v>
      </c>
    </row>
    <row r="63" spans="3:13" ht="15.75" customHeight="1">
      <c r="C63" s="30" t="s">
        <v>53</v>
      </c>
      <c r="D63" s="44"/>
      <c r="E63" s="44">
        <f>98330</f>
        <v>98330</v>
      </c>
      <c r="F63" s="39">
        <v>70400</v>
      </c>
      <c r="G63" s="42">
        <f ca="1">G120</f>
        <v>35822.524654506109</v>
      </c>
      <c r="H63" s="42">
        <f ca="1">H120</f>
        <v>4450.5243769756635</v>
      </c>
      <c r="I63" s="42">
        <f ca="1">I120</f>
        <v>-24415.008453071408</v>
      </c>
      <c r="J63" s="42">
        <f ca="1">J120</f>
        <v>-50555.713956481057</v>
      </c>
      <c r="K63" s="42">
        <f ca="1">K120</f>
        <v>-73384.479210304402</v>
      </c>
      <c r="M63" t="s">
        <v>95</v>
      </c>
    </row>
    <row r="64" spans="3:13" ht="15.75" customHeight="1">
      <c r="C64" s="30" t="s">
        <v>54</v>
      </c>
      <c r="D64" s="39"/>
      <c r="E64" s="39">
        <v>-150</v>
      </c>
      <c r="F64" s="39">
        <v>-3454</v>
      </c>
      <c r="G64" s="42">
        <f>F64</f>
        <v>-3454</v>
      </c>
      <c r="H64" s="42">
        <f>G64</f>
        <v>-3454</v>
      </c>
      <c r="I64" s="42">
        <f>H64</f>
        <v>-3454</v>
      </c>
      <c r="J64" s="42">
        <f>I64</f>
        <v>-3454</v>
      </c>
      <c r="K64" s="42">
        <f>J64</f>
        <v>-3454</v>
      </c>
      <c r="M64" t="s">
        <v>93</v>
      </c>
    </row>
    <row r="65" spans="2:13" ht="15" customHeight="1">
      <c r="C65" s="31" t="s">
        <v>55</v>
      </c>
      <c r="D65" s="45"/>
      <c r="E65" s="45">
        <f t="shared" ref="E65:K65" si="9">SUM(E62:E64)</f>
        <v>134047</v>
      </c>
      <c r="F65" s="45">
        <f t="shared" si="9"/>
        <v>107147</v>
      </c>
      <c r="G65" s="45">
        <f t="shared" ca="1" si="9"/>
        <v>77656.100728144549</v>
      </c>
      <c r="H65" s="45">
        <f t="shared" ca="1" si="9"/>
        <v>51619.7130473422</v>
      </c>
      <c r="I65" s="45">
        <f t="shared" ca="1" si="9"/>
        <v>28351.791010388792</v>
      </c>
      <c r="J65" s="45">
        <f t="shared" ca="1" si="9"/>
        <v>8113.9143502157021</v>
      </c>
      <c r="K65" s="45">
        <f t="shared" ca="1" si="9"/>
        <v>-8456.3839220434893</v>
      </c>
    </row>
    <row r="66" spans="2:13" ht="15" customHeight="1">
      <c r="D66" s="42"/>
      <c r="E66" s="42"/>
      <c r="F66" s="42"/>
    </row>
    <row r="67" spans="2:13" ht="15" customHeight="1">
      <c r="C67" s="23" t="s">
        <v>56</v>
      </c>
      <c r="D67" s="46"/>
      <c r="E67" s="46">
        <f t="shared" ref="E67:K67" si="10">ROUND(E52-E60-E65,3)</f>
        <v>0</v>
      </c>
      <c r="F67" s="46">
        <f t="shared" si="10"/>
        <v>0</v>
      </c>
      <c r="G67" s="46">
        <f t="shared" ca="1" si="10"/>
        <v>0</v>
      </c>
      <c r="H67" s="46">
        <f t="shared" ca="1" si="10"/>
        <v>0</v>
      </c>
      <c r="I67" s="46">
        <f t="shared" ca="1" si="10"/>
        <v>0</v>
      </c>
      <c r="J67" s="46">
        <f t="shared" ca="1" si="10"/>
        <v>0</v>
      </c>
      <c r="K67" s="46">
        <f t="shared" ca="1" si="10"/>
        <v>0</v>
      </c>
    </row>
    <row r="68" spans="2:13" ht="15" customHeight="1">
      <c r="E68" s="42"/>
      <c r="F68" s="42"/>
      <c r="H68" s="42"/>
      <c r="I68" s="42"/>
      <c r="J68" s="42"/>
      <c r="K68" s="42"/>
    </row>
    <row r="69" spans="2:13" ht="15" customHeight="1">
      <c r="B69" t="s">
        <v>187</v>
      </c>
      <c r="C69" s="16" t="s">
        <v>96</v>
      </c>
      <c r="D69" s="20"/>
      <c r="E69" s="20"/>
      <c r="F69" s="20"/>
      <c r="G69" s="20"/>
      <c r="H69" s="20"/>
      <c r="I69" s="20"/>
      <c r="J69" s="20"/>
      <c r="K69" s="20"/>
    </row>
    <row r="70" spans="2:13" ht="15" customHeight="1">
      <c r="C70" s="36" t="str">
        <f>C15</f>
        <v xml:space="preserve">Fiscal year  </v>
      </c>
      <c r="D70" s="37"/>
      <c r="E70" s="37"/>
      <c r="F70" s="37"/>
      <c r="G70" s="65">
        <f t="shared" ref="G70:K71" si="11">G15</f>
        <v>2019</v>
      </c>
      <c r="H70" s="65">
        <f t="shared" si="11"/>
        <v>2020</v>
      </c>
      <c r="I70" s="65">
        <f t="shared" si="11"/>
        <v>2021</v>
      </c>
      <c r="J70" s="65">
        <f t="shared" si="11"/>
        <v>2022</v>
      </c>
      <c r="K70" s="65">
        <f t="shared" si="11"/>
        <v>2023</v>
      </c>
    </row>
    <row r="71" spans="2:13" ht="15" customHeight="1">
      <c r="C71" s="17" t="str">
        <f>C16</f>
        <v>Fiscal year end date</v>
      </c>
      <c r="D71" s="38"/>
      <c r="E71" s="38"/>
      <c r="F71" s="38"/>
      <c r="G71" s="38">
        <f t="shared" si="11"/>
        <v>43738</v>
      </c>
      <c r="H71" s="38">
        <f t="shared" si="11"/>
        <v>44104</v>
      </c>
      <c r="I71" s="38">
        <f t="shared" si="11"/>
        <v>44469</v>
      </c>
      <c r="J71" s="38">
        <f t="shared" si="11"/>
        <v>44834</v>
      </c>
      <c r="K71" s="38">
        <f t="shared" si="11"/>
        <v>45199</v>
      </c>
    </row>
    <row r="73" spans="2:13" ht="15" customHeight="1">
      <c r="C73" t="s">
        <v>24</v>
      </c>
      <c r="D73" s="40"/>
      <c r="E73" s="40"/>
      <c r="F73" s="40"/>
      <c r="G73" s="42">
        <f ca="1">G29</f>
        <v>52213.524654506109</v>
      </c>
      <c r="H73" s="42">
        <f ca="1">H29</f>
        <v>55418.999722469554</v>
      </c>
      <c r="I73" s="42">
        <f ca="1">I29</f>
        <v>57925.467169952928</v>
      </c>
      <c r="J73" s="42">
        <f ca="1">J29</f>
        <v>60650.294496590352</v>
      </c>
      <c r="K73" s="42">
        <f ca="1">K29</f>
        <v>63962.234746176655</v>
      </c>
      <c r="M73" s="27"/>
    </row>
    <row r="74" spans="2:13" ht="15" customHeight="1">
      <c r="C74" t="s">
        <v>97</v>
      </c>
      <c r="D74" s="40"/>
      <c r="E74" s="40"/>
      <c r="F74" s="40"/>
      <c r="G74" s="42">
        <f ca="1">G31</f>
        <v>11073.065535688591</v>
      </c>
      <c r="H74" s="42">
        <f ca="1">H31</f>
        <v>11682.360902273253</v>
      </c>
      <c r="I74" s="42">
        <f ca="1">I31</f>
        <v>12162.945527572734</v>
      </c>
      <c r="J74" s="42">
        <f ca="1">J31</f>
        <v>13117.598244801113</v>
      </c>
      <c r="K74" s="42">
        <f ca="1">K31</f>
        <v>14216.926852040826</v>
      </c>
      <c r="M74" t="s">
        <v>98</v>
      </c>
    </row>
    <row r="75" spans="2:13" ht="15" customHeight="1">
      <c r="C75" t="s">
        <v>27</v>
      </c>
      <c r="D75" s="40"/>
      <c r="E75" s="40"/>
      <c r="F75" s="40"/>
      <c r="G75" s="42">
        <f ca="1">G33</f>
        <v>5086.5760736384345</v>
      </c>
      <c r="H75" s="42">
        <f ca="1">H33</f>
        <v>5335.6125967281014</v>
      </c>
      <c r="I75" s="42">
        <f ca="1">I33</f>
        <v>5597.6107930936605</v>
      </c>
      <c r="J75" s="42">
        <f ca="1">J33</f>
        <v>5902.8288432365589</v>
      </c>
      <c r="K75" s="42">
        <f ca="1">K33</f>
        <v>6258.4669815641573</v>
      </c>
    </row>
    <row r="76" spans="2:13" ht="15" customHeight="1">
      <c r="C76" t="s">
        <v>99</v>
      </c>
      <c r="D76" s="42"/>
      <c r="E76" s="42"/>
      <c r="F76" s="42"/>
      <c r="G76" s="42">
        <f ca="1">-1*(SUM(G47:G49)-SUM(F47:F49))</f>
        <v>3053.3210024544751</v>
      </c>
      <c r="H76" s="42">
        <f ca="1">-1*(SUM(H47:H49)-SUM(G47:G49))</f>
        <v>-3015.509737014414</v>
      </c>
      <c r="I76" s="42">
        <f ca="1">-1*(SUM(I47:I49)-SUM(H47:H49))</f>
        <v>-3185.0225131668412</v>
      </c>
      <c r="J76" s="42">
        <f ca="1">-1*(SUM(J47:J49)-SUM(I47:I49))</f>
        <v>-3717.9000103561702</v>
      </c>
      <c r="K76" s="42">
        <f ca="1">-1*(SUM(K47:K49)-SUM(J47:J49))</f>
        <v>-4332.0735374339274</v>
      </c>
    </row>
    <row r="77" spans="2:13" ht="15" customHeight="1">
      <c r="C77" t="s">
        <v>100</v>
      </c>
      <c r="D77" s="42"/>
      <c r="E77" s="42"/>
      <c r="F77" s="42"/>
      <c r="G77" s="42">
        <f ca="1">SUM(G54:G56)-SUM(F54:F56)</f>
        <v>-4224.813440355807</v>
      </c>
      <c r="H77" s="42">
        <f ca="1">SUM(H54:H56)-SUM(G54:G56)</f>
        <v>4364.2798660247208</v>
      </c>
      <c r="I77" s="42">
        <f ca="1">SUM(I54:I56)-SUM(H54:H56)</f>
        <v>4768.9212033672811</v>
      </c>
      <c r="J77" s="42">
        <f ca="1">SUM(J54:J56)-SUM(I54:I56)</f>
        <v>5661.1245587961312</v>
      </c>
      <c r="K77" s="42">
        <f ca="1">SUM(K54:K56)-SUM(J54:J56)</f>
        <v>6596.3064700409886</v>
      </c>
    </row>
    <row r="78" spans="2:13" ht="15" customHeight="1">
      <c r="C78" t="s">
        <v>43</v>
      </c>
      <c r="G78" s="42">
        <f ca="1">-(G112)</f>
        <v>-469.42623500517584</v>
      </c>
      <c r="H78" s="42">
        <f ca="1">-(H112)</f>
        <v>-2640.8741266970392</v>
      </c>
      <c r="I78" s="42">
        <f ca="1">-(I112)</f>
        <v>-2773.6097211503584</v>
      </c>
      <c r="J78" s="42">
        <f ca="1">-(J112)</f>
        <v>-3045.5821061877177</v>
      </c>
      <c r="K78" s="42">
        <f ca="1">-(K112)</f>
        <v>-3362.7354321725143</v>
      </c>
      <c r="M78" t="s">
        <v>101</v>
      </c>
    </row>
    <row r="79" spans="2:13" ht="15" customHeight="1">
      <c r="C79" t="s">
        <v>50</v>
      </c>
      <c r="G79" s="42">
        <f ca="1">G59-F59</f>
        <v>-2144.1372646096497</v>
      </c>
      <c r="H79" s="42">
        <f ca="1">H59-G59</f>
        <v>2107.0168751294259</v>
      </c>
      <c r="I79" s="42">
        <f ca="1">I59-H59</f>
        <v>2216.6813692501819</v>
      </c>
      <c r="J79" s="42">
        <f ca="1">J59-I59</f>
        <v>2582.3504691865455</v>
      </c>
      <c r="K79" s="42">
        <f ca="1">K59-J59</f>
        <v>3008.9384062997924</v>
      </c>
      <c r="M79" s="27"/>
    </row>
    <row r="80" spans="2:13" ht="15" customHeight="1">
      <c r="C80" s="27" t="s">
        <v>102</v>
      </c>
      <c r="G80" s="45">
        <f ca="1">SUM(G73:G79)</f>
        <v>64588.110326316986</v>
      </c>
      <c r="H80" s="45">
        <f ca="1">SUM(H73:H79)</f>
        <v>73251.886098913616</v>
      </c>
      <c r="I80" s="45">
        <f ca="1">SUM(I73:I79)</f>
        <v>76712.993828919571</v>
      </c>
      <c r="J80" s="45">
        <f ca="1">SUM(J73:J79)</f>
        <v>81150.714496066794</v>
      </c>
      <c r="K80" s="45">
        <f ca="1">SUM(K73:K79)</f>
        <v>86348.06448651597</v>
      </c>
    </row>
    <row r="81" spans="3:13" ht="15" customHeight="1">
      <c r="G81" s="42"/>
      <c r="H81" s="42"/>
      <c r="I81" s="42"/>
      <c r="J81" s="42"/>
      <c r="K81" s="42"/>
    </row>
    <row r="82" spans="3:13" ht="15" customHeight="1">
      <c r="C82" t="s">
        <v>103</v>
      </c>
      <c r="G82" s="42">
        <f>-(G98)</f>
        <v>-13285</v>
      </c>
      <c r="H82" s="42">
        <f>-(H98)</f>
        <v>-13649</v>
      </c>
      <c r="I82" s="42">
        <f>-(I98)</f>
        <v>-13819</v>
      </c>
      <c r="J82" s="42">
        <f ca="1">-(J98)</f>
        <v>-14572.50151892101</v>
      </c>
      <c r="K82" s="42">
        <f ca="1">-(K98)</f>
        <v>-15450.476714983708</v>
      </c>
      <c r="M82" t="s">
        <v>90</v>
      </c>
    </row>
    <row r="83" spans="3:13" ht="15" customHeight="1">
      <c r="C83" s="27" t="s">
        <v>104</v>
      </c>
      <c r="G83" s="45">
        <f>IFERROR(G82,"NA")</f>
        <v>-13285</v>
      </c>
      <c r="H83" s="45">
        <f>IFERROR(H82,"NA")</f>
        <v>-13649</v>
      </c>
      <c r="I83" s="45">
        <f>IFERROR(I82,"NA")</f>
        <v>-13819</v>
      </c>
      <c r="J83" s="45">
        <f ca="1">IFERROR(J82,"NA")</f>
        <v>-14572.50151892101</v>
      </c>
      <c r="K83" s="45">
        <f ca="1">IFERROR(K82,"NA")</f>
        <v>-15450.476714983708</v>
      </c>
    </row>
    <row r="84" spans="3:13" ht="15" customHeight="1">
      <c r="G84" s="42"/>
      <c r="H84" s="42"/>
      <c r="I84" s="42"/>
      <c r="J84" s="42"/>
      <c r="K84" s="42"/>
    </row>
    <row r="85" spans="3:13" ht="15" customHeight="1">
      <c r="C85" t="s">
        <v>105</v>
      </c>
      <c r="G85" s="42">
        <f>G58-F58</f>
        <v>0</v>
      </c>
      <c r="H85" s="42">
        <f>H58-G58</f>
        <v>0</v>
      </c>
      <c r="I85" s="42">
        <f>I58-H58</f>
        <v>0</v>
      </c>
      <c r="J85" s="42">
        <f>J58-I58</f>
        <v>0</v>
      </c>
      <c r="K85" s="42">
        <f>K58-J58</f>
        <v>0</v>
      </c>
    </row>
    <row r="86" spans="3:13" ht="15" customHeight="1">
      <c r="C86" t="s">
        <v>106</v>
      </c>
      <c r="G86" s="42">
        <f ca="1">G57-F57</f>
        <v>36</v>
      </c>
      <c r="H86" s="42">
        <f ca="1">H57-G57</f>
        <v>0</v>
      </c>
      <c r="I86" s="42">
        <f ca="1">I57-H57</f>
        <v>0</v>
      </c>
      <c r="J86" s="42">
        <f ca="1">J57-I57</f>
        <v>0</v>
      </c>
      <c r="K86" s="42">
        <f ca="1">K57-J57</f>
        <v>0</v>
      </c>
      <c r="M86" t="s">
        <v>107</v>
      </c>
    </row>
    <row r="87" spans="3:13" ht="15" customHeight="1">
      <c r="C87" t="s">
        <v>108</v>
      </c>
      <c r="G87" s="42">
        <f>G119</f>
        <v>-73056</v>
      </c>
      <c r="H87" s="42">
        <f>H119</f>
        <v>-73056</v>
      </c>
      <c r="I87" s="42">
        <f>I119</f>
        <v>-73056</v>
      </c>
      <c r="J87" s="42">
        <f>J119</f>
        <v>-73056</v>
      </c>
      <c r="K87" s="42">
        <f>K119</f>
        <v>-73056</v>
      </c>
      <c r="M87" t="s">
        <v>95</v>
      </c>
    </row>
    <row r="88" spans="3:13" ht="15" customHeight="1">
      <c r="C88" t="s">
        <v>109</v>
      </c>
      <c r="G88" s="42">
        <f>G118</f>
        <v>-13735</v>
      </c>
      <c r="H88" s="42">
        <f>H118</f>
        <v>-13735</v>
      </c>
      <c r="I88" s="42">
        <f>I118</f>
        <v>-13735</v>
      </c>
      <c r="J88" s="42">
        <f>J118</f>
        <v>-13735</v>
      </c>
      <c r="K88" s="42">
        <f>K118</f>
        <v>-13735</v>
      </c>
      <c r="M88" t="s">
        <v>95</v>
      </c>
    </row>
    <row r="89" spans="3:13" ht="15" customHeight="1">
      <c r="C89" s="27" t="s">
        <v>110</v>
      </c>
      <c r="G89" s="45">
        <f ca="1">SUM(G85:G88)</f>
        <v>-86755</v>
      </c>
      <c r="H89" s="45">
        <f ca="1">SUM(H85:H88)</f>
        <v>-86791</v>
      </c>
      <c r="I89" s="45">
        <f ca="1">SUM(I85:I88)</f>
        <v>-86791</v>
      </c>
      <c r="J89" s="45">
        <f ca="1">SUM(J85:J88)</f>
        <v>-86791</v>
      </c>
      <c r="K89" s="45">
        <f ca="1">SUM(K85:K88)</f>
        <v>-86791</v>
      </c>
    </row>
    <row r="90" spans="3:13" ht="15" customHeight="1">
      <c r="G90" s="42"/>
      <c r="H90" s="42"/>
      <c r="I90" s="42"/>
      <c r="J90" s="42"/>
      <c r="K90" s="42"/>
    </row>
    <row r="91" spans="3:13" ht="15" customHeight="1">
      <c r="C91" s="27" t="s">
        <v>111</v>
      </c>
      <c r="G91" s="45">
        <f ca="1">G80+G83+G89</f>
        <v>-35451.889673683014</v>
      </c>
      <c r="H91" s="45">
        <f ca="1">H80+H83+H89</f>
        <v>-27188.113901086384</v>
      </c>
      <c r="I91" s="45">
        <f ca="1">I80+I83+I89</f>
        <v>-23897.006171080429</v>
      </c>
      <c r="J91" s="45">
        <f ca="1">J80+J83+J89</f>
        <v>-20212.787022854216</v>
      </c>
      <c r="K91" s="45">
        <f ca="1">K80+K83+K89</f>
        <v>-15893.412228467743</v>
      </c>
    </row>
    <row r="93" spans="3:13" ht="15" customHeight="1">
      <c r="C93" s="16" t="s">
        <v>112</v>
      </c>
      <c r="D93" s="17"/>
      <c r="E93" s="17"/>
      <c r="F93" s="17"/>
      <c r="G93" s="17"/>
      <c r="H93" s="17"/>
      <c r="I93" s="17"/>
      <c r="J93" s="17"/>
      <c r="K93" s="17"/>
    </row>
    <row r="94" spans="3:13" ht="15" customHeight="1">
      <c r="C94" s="36" t="str">
        <f t="shared" ref="C94:K94" si="12">C15</f>
        <v xml:space="preserve">Fiscal year  </v>
      </c>
      <c r="D94" s="37">
        <f t="shared" si="12"/>
        <v>2016</v>
      </c>
      <c r="E94" s="37">
        <f t="shared" si="12"/>
        <v>2017</v>
      </c>
      <c r="F94" s="37">
        <f t="shared" si="12"/>
        <v>2018</v>
      </c>
      <c r="G94" s="65">
        <f t="shared" si="12"/>
        <v>2019</v>
      </c>
      <c r="H94" s="65">
        <f t="shared" si="12"/>
        <v>2020</v>
      </c>
      <c r="I94" s="65">
        <f t="shared" si="12"/>
        <v>2021</v>
      </c>
      <c r="J94" s="65">
        <f t="shared" si="12"/>
        <v>2022</v>
      </c>
      <c r="K94" s="65">
        <f t="shared" si="12"/>
        <v>2023</v>
      </c>
    </row>
    <row r="95" spans="3:13" ht="15" customHeight="1">
      <c r="C95" s="17" t="str">
        <f t="shared" ref="C95:K95" si="13">C16</f>
        <v>Fiscal year end date</v>
      </c>
      <c r="D95" s="38">
        <f t="shared" si="13"/>
        <v>42643</v>
      </c>
      <c r="E95" s="38">
        <f t="shared" si="13"/>
        <v>43008</v>
      </c>
      <c r="F95" s="38">
        <f t="shared" si="13"/>
        <v>43372</v>
      </c>
      <c r="G95" s="38">
        <f t="shared" si="13"/>
        <v>43738</v>
      </c>
      <c r="H95" s="38">
        <f t="shared" si="13"/>
        <v>44104</v>
      </c>
      <c r="I95" s="38">
        <f t="shared" si="13"/>
        <v>44469</v>
      </c>
      <c r="J95" s="38">
        <f t="shared" si="13"/>
        <v>44834</v>
      </c>
      <c r="K95" s="38">
        <f t="shared" si="13"/>
        <v>45199</v>
      </c>
    </row>
    <row r="96" spans="3:13" ht="15" customHeight="1">
      <c r="C96" s="27"/>
      <c r="G96" s="3" t="s">
        <v>113</v>
      </c>
      <c r="H96" s="3"/>
      <c r="I96" s="3"/>
      <c r="J96" s="3"/>
      <c r="K96" s="3"/>
    </row>
    <row r="97" spans="3:17" ht="15" customHeight="1">
      <c r="C97" s="30" t="s">
        <v>114</v>
      </c>
      <c r="G97" s="42">
        <f>F100</f>
        <v>41304</v>
      </c>
      <c r="H97" s="42">
        <f>G100</f>
        <v>45042.85982873883</v>
      </c>
      <c r="I97" s="42">
        <f>H100</f>
        <v>48611.181883872909</v>
      </c>
      <c r="J97" s="42">
        <f>I100</f>
        <v>51947.567835949827</v>
      </c>
      <c r="K97" s="42">
        <f ca="1">J100</f>
        <v>55174.425161700477</v>
      </c>
      <c r="M97" t="s">
        <v>115</v>
      </c>
    </row>
    <row r="98" spans="3:17" ht="15" customHeight="1">
      <c r="C98" s="29" t="s">
        <v>116</v>
      </c>
      <c r="D98" s="39">
        <v>12734</v>
      </c>
      <c r="E98" s="39">
        <v>12451</v>
      </c>
      <c r="F98" s="39">
        <v>13313</v>
      </c>
      <c r="G98" s="39">
        <v>13285</v>
      </c>
      <c r="H98" s="39">
        <v>13649</v>
      </c>
      <c r="I98" s="39">
        <v>13819</v>
      </c>
      <c r="J98" s="39">
        <f ca="1">I98*(1+J37)</f>
        <v>14572.50151892101</v>
      </c>
      <c r="K98" s="39">
        <f ca="1">J98*(1+K37)</f>
        <v>15450.476714983708</v>
      </c>
      <c r="M98" t="s">
        <v>117</v>
      </c>
    </row>
    <row r="99" spans="3:17" ht="15" customHeight="1">
      <c r="C99" s="67" t="s">
        <v>118</v>
      </c>
      <c r="D99" s="68">
        <v>-8300</v>
      </c>
      <c r="E99" s="68">
        <v>-8200</v>
      </c>
      <c r="F99" s="68">
        <v>-9300</v>
      </c>
      <c r="G99" s="85">
        <f>-(G102*G98)</f>
        <v>-9546.1401712611732</v>
      </c>
      <c r="H99" s="85">
        <f>-(H102*H98)</f>
        <v>-10080.677944865922</v>
      </c>
      <c r="I99" s="85">
        <f>-(I102*I98)</f>
        <v>-10482.614047923083</v>
      </c>
      <c r="J99" s="85">
        <f ca="1">-(J102*J98)</f>
        <v>-11345.644193170363</v>
      </c>
      <c r="K99" s="85">
        <f ca="1">-(K102*K98)</f>
        <v>-12338.214760009489</v>
      </c>
      <c r="M99" t="s">
        <v>119</v>
      </c>
    </row>
    <row r="100" spans="3:17" ht="15" customHeight="1">
      <c r="C100" s="70" t="s">
        <v>120</v>
      </c>
      <c r="D100" s="45"/>
      <c r="E100" s="45">
        <f>E50</f>
        <v>33783</v>
      </c>
      <c r="F100" s="45">
        <f>F50</f>
        <v>41304</v>
      </c>
      <c r="G100" s="45">
        <f>SUM(G97:G99)</f>
        <v>45042.85982873883</v>
      </c>
      <c r="H100" s="45">
        <f>SUM(H97:H99)</f>
        <v>48611.181883872909</v>
      </c>
      <c r="I100" s="45">
        <f>SUM(I97:I99)</f>
        <v>51947.567835949827</v>
      </c>
      <c r="J100" s="45">
        <f ca="1">SUM(J97:J99)</f>
        <v>55174.425161700477</v>
      </c>
      <c r="K100" s="45">
        <f ca="1">SUM(K97:K99)</f>
        <v>58286.687116674701</v>
      </c>
      <c r="M100" t="s">
        <v>121</v>
      </c>
    </row>
    <row r="101" spans="3:17" ht="15" customHeight="1">
      <c r="C101" s="30"/>
      <c r="M101" s="32" t="s">
        <v>122</v>
      </c>
    </row>
    <row r="102" spans="3:17" ht="15" customHeight="1">
      <c r="C102" s="30" t="s">
        <v>123</v>
      </c>
      <c r="D102" s="71">
        <f>-(D99/D98)</f>
        <v>0.65179833516569818</v>
      </c>
      <c r="E102" s="71">
        <f>-(E99/E98)</f>
        <v>0.6585816400289134</v>
      </c>
      <c r="F102" s="71">
        <f>-(F99/F98)</f>
        <v>0.69856531210095396</v>
      </c>
      <c r="G102" s="63">
        <f>F102+$M$102</f>
        <v>0.71856531210095398</v>
      </c>
      <c r="H102" s="63">
        <f>G102+$M$102</f>
        <v>0.738565312100954</v>
      </c>
      <c r="I102" s="63">
        <f>H102+$M$102</f>
        <v>0.75856531210095401</v>
      </c>
      <c r="J102" s="63">
        <f>I102+$M$102</f>
        <v>0.77856531210095403</v>
      </c>
      <c r="K102" s="63">
        <f>J102+$M$102</f>
        <v>0.79856531210095405</v>
      </c>
      <c r="M102" s="73">
        <v>0.02</v>
      </c>
      <c r="O102" s="74"/>
      <c r="P102" s="74"/>
      <c r="Q102" s="74"/>
    </row>
    <row r="103" spans="3:17" ht="15" customHeight="1">
      <c r="C103" s="30"/>
      <c r="D103" s="71"/>
      <c r="E103" s="71"/>
      <c r="F103" s="71"/>
      <c r="G103" s="63"/>
      <c r="H103" s="63"/>
      <c r="I103" s="63"/>
      <c r="J103" s="63"/>
      <c r="K103" s="63"/>
      <c r="O103" s="74"/>
      <c r="P103" s="74"/>
      <c r="Q103" s="74"/>
    </row>
    <row r="104" spans="3:17" ht="15" customHeight="1">
      <c r="C104" s="75" t="s">
        <v>124</v>
      </c>
      <c r="D104" s="76"/>
      <c r="E104" s="76"/>
      <c r="F104" s="76"/>
      <c r="G104" s="77"/>
      <c r="H104" s="77"/>
      <c r="I104" s="77"/>
      <c r="J104" s="77"/>
      <c r="K104" s="77"/>
      <c r="O104" s="74"/>
      <c r="P104" s="74"/>
      <c r="Q104" s="74"/>
    </row>
    <row r="105" spans="3:17" ht="15" customHeight="1">
      <c r="C105" s="30" t="s">
        <v>125</v>
      </c>
      <c r="D105" s="42">
        <f>D107+D99</f>
        <v>2205</v>
      </c>
      <c r="E105" s="42">
        <f>E107+E99</f>
        <v>1957</v>
      </c>
      <c r="F105" s="42">
        <f>F107+F99</f>
        <v>1603</v>
      </c>
      <c r="G105" s="44">
        <f ca="1">G106*G18</f>
        <v>1526.9253644274177</v>
      </c>
      <c r="H105" s="44">
        <f ca="1">H106*H18</f>
        <v>1601.6829574073306</v>
      </c>
      <c r="I105" s="44">
        <f ca="1">I106*I18</f>
        <v>1680.3314796496511</v>
      </c>
      <c r="J105" s="44">
        <f ca="1">J106*J18</f>
        <v>1771.9540516307495</v>
      </c>
      <c r="K105" s="44">
        <f ca="1">K106*K18</f>
        <v>1878.7120920313373</v>
      </c>
      <c r="M105" t="s">
        <v>126</v>
      </c>
      <c r="O105" s="74"/>
      <c r="P105" s="74"/>
      <c r="Q105" s="74"/>
    </row>
    <row r="106" spans="3:17" ht="15" customHeight="1">
      <c r="C106" s="29" t="s">
        <v>127</v>
      </c>
      <c r="D106" s="51">
        <f>D105/D18</f>
        <v>1.0225423044996499E-2</v>
      </c>
      <c r="E106" s="51">
        <f>E105/E18</f>
        <v>8.537128000209393E-3</v>
      </c>
      <c r="F106" s="51">
        <f>F105/F18</f>
        <v>6.0355051864681188E-3</v>
      </c>
      <c r="G106" s="63">
        <f>F106</f>
        <v>6.0355051864681188E-3</v>
      </c>
      <c r="H106" s="63">
        <f>G106</f>
        <v>6.0355051864681188E-3</v>
      </c>
      <c r="I106" s="63">
        <f>H106</f>
        <v>6.0355051864681188E-3</v>
      </c>
      <c r="J106" s="63">
        <f>I106</f>
        <v>6.0355051864681188E-3</v>
      </c>
      <c r="K106" s="63">
        <f>J106</f>
        <v>6.0355051864681188E-3</v>
      </c>
      <c r="M106" t="s">
        <v>128</v>
      </c>
    </row>
    <row r="107" spans="3:17" ht="15" customHeight="1">
      <c r="C107" s="31" t="s">
        <v>129</v>
      </c>
      <c r="D107" s="45">
        <f>D31</f>
        <v>10505</v>
      </c>
      <c r="E107" s="45">
        <f>E31</f>
        <v>10157</v>
      </c>
      <c r="F107" s="45">
        <f>F31</f>
        <v>10903</v>
      </c>
      <c r="G107" s="41">
        <f ca="1">-G99+G105</f>
        <v>11073.065535688591</v>
      </c>
      <c r="H107" s="41">
        <f ca="1">-H99+H105</f>
        <v>11682.360902273253</v>
      </c>
      <c r="I107" s="41">
        <f ca="1">-I99+I105</f>
        <v>12162.945527572734</v>
      </c>
      <c r="J107" s="41">
        <f ca="1">-J99+J105</f>
        <v>13117.598244801113</v>
      </c>
      <c r="K107" s="41">
        <f ca="1">-K99+K105</f>
        <v>14216.926852040826</v>
      </c>
      <c r="M107" t="s">
        <v>130</v>
      </c>
    </row>
    <row r="108" spans="3:17" ht="15" customHeight="1">
      <c r="C108" s="30"/>
      <c r="D108" s="42"/>
      <c r="E108" s="42"/>
      <c r="F108" s="42"/>
      <c r="H108" s="42"/>
      <c r="I108" s="42"/>
      <c r="J108" s="42"/>
      <c r="K108" s="42"/>
    </row>
    <row r="109" spans="3:17" ht="15" customHeight="1">
      <c r="C109" s="78" t="s">
        <v>131</v>
      </c>
      <c r="D109" s="17"/>
      <c r="E109" s="17"/>
      <c r="F109" s="17"/>
      <c r="H109" s="42"/>
      <c r="I109" s="42"/>
      <c r="J109" s="42"/>
      <c r="K109" s="42"/>
    </row>
    <row r="110" spans="3:17" ht="15" customHeight="1">
      <c r="C110" s="30" t="s">
        <v>114</v>
      </c>
      <c r="D110" s="42"/>
      <c r="G110" s="123">
        <f>F113</f>
        <v>22283</v>
      </c>
      <c r="H110" s="123">
        <f ca="1">G113</f>
        <v>21225.500870577758</v>
      </c>
      <c r="I110" s="123">
        <f ca="1">H113</f>
        <v>22264.692039867467</v>
      </c>
      <c r="J110" s="123">
        <f ca="1">I113</f>
        <v>23357.970281368172</v>
      </c>
      <c r="K110" s="123">
        <f ca="1">J113</f>
        <v>24631.59833592514</v>
      </c>
      <c r="M110" t="s">
        <v>115</v>
      </c>
    </row>
    <row r="111" spans="3:17" ht="15" customHeight="1">
      <c r="C111" s="29" t="s">
        <v>132</v>
      </c>
      <c r="G111" s="42">
        <f ca="1">-(G105)</f>
        <v>-1526.9253644274177</v>
      </c>
      <c r="H111" s="42">
        <f ca="1">-(H105)</f>
        <v>-1601.6829574073306</v>
      </c>
      <c r="I111" s="42">
        <f ca="1">-(I105)</f>
        <v>-1680.3314796496511</v>
      </c>
      <c r="J111" s="42">
        <f ca="1">-(J105)</f>
        <v>-1771.9540516307495</v>
      </c>
      <c r="K111" s="42">
        <f ca="1">-(K105)</f>
        <v>-1878.7120920313373</v>
      </c>
      <c r="M111" t="s">
        <v>133</v>
      </c>
    </row>
    <row r="112" spans="3:17" ht="15" customHeight="1">
      <c r="C112" s="67" t="s">
        <v>134</v>
      </c>
      <c r="D112" s="80"/>
      <c r="E112" s="80"/>
      <c r="F112" s="80"/>
      <c r="G112" s="124">
        <f ca="1">G113-G111-G110</f>
        <v>469.42623500517584</v>
      </c>
      <c r="H112" s="124">
        <f ca="1">H113-H111-H110</f>
        <v>2640.8741266970392</v>
      </c>
      <c r="I112" s="124">
        <f ca="1">I113-I111-I110</f>
        <v>2773.6097211503584</v>
      </c>
      <c r="J112" s="124">
        <f ca="1">J113-J111-J110</f>
        <v>3045.5821061877177</v>
      </c>
      <c r="K112" s="124">
        <f ca="1">K113-K111-K110</f>
        <v>3362.7354321725143</v>
      </c>
      <c r="M112" t="s">
        <v>135</v>
      </c>
    </row>
    <row r="113" spans="2:17" ht="15" customHeight="1">
      <c r="C113" s="70" t="s">
        <v>120</v>
      </c>
      <c r="E113" s="45">
        <f t="shared" ref="E113:K113" si="14">E51</f>
        <v>18177</v>
      </c>
      <c r="F113" s="45">
        <f t="shared" si="14"/>
        <v>22283</v>
      </c>
      <c r="G113" s="45">
        <f t="shared" ca="1" si="14"/>
        <v>21225.500870577758</v>
      </c>
      <c r="H113" s="45">
        <f t="shared" ca="1" si="14"/>
        <v>22264.692039867467</v>
      </c>
      <c r="I113" s="45">
        <f t="shared" ca="1" si="14"/>
        <v>23357.970281368172</v>
      </c>
      <c r="J113" s="45">
        <f t="shared" ca="1" si="14"/>
        <v>24631.59833592514</v>
      </c>
      <c r="K113" s="45">
        <f t="shared" ca="1" si="14"/>
        <v>26115.621676066316</v>
      </c>
      <c r="M113" t="s">
        <v>136</v>
      </c>
    </row>
    <row r="114" spans="2:17" ht="15" customHeight="1">
      <c r="C114" s="29"/>
      <c r="E114" s="42"/>
      <c r="F114" s="42"/>
      <c r="H114" s="42"/>
      <c r="I114" s="42"/>
      <c r="J114" s="42"/>
      <c r="K114" s="42"/>
    </row>
    <row r="115" spans="2:17" ht="15" customHeight="1">
      <c r="B115" t="s">
        <v>187</v>
      </c>
      <c r="C115" s="82" t="s">
        <v>137</v>
      </c>
      <c r="D115" s="78"/>
      <c r="E115" s="78"/>
      <c r="F115" s="78"/>
      <c r="G115" s="17"/>
      <c r="H115" s="17"/>
      <c r="I115" s="17"/>
      <c r="J115" s="17"/>
      <c r="K115" s="17"/>
    </row>
    <row r="116" spans="2:17" ht="15" customHeight="1">
      <c r="C116" s="30" t="s">
        <v>114</v>
      </c>
      <c r="G116" s="42">
        <f>F120</f>
        <v>70400</v>
      </c>
      <c r="H116" s="42">
        <f ca="1">G120</f>
        <v>35822.524654506109</v>
      </c>
      <c r="I116" s="42">
        <f ca="1">H120</f>
        <v>4450.5243769756635</v>
      </c>
      <c r="J116" s="42">
        <f ca="1">I120</f>
        <v>-24415.008453071408</v>
      </c>
      <c r="K116" s="42">
        <f ca="1">J120</f>
        <v>-50555.713956481057</v>
      </c>
      <c r="M116" t="s">
        <v>115</v>
      </c>
    </row>
    <row r="117" spans="2:17" ht="15" customHeight="1">
      <c r="C117" s="29" t="s">
        <v>138</v>
      </c>
      <c r="D117" s="44">
        <f t="shared" ref="D117:K117" si="15">D29</f>
        <v>45687</v>
      </c>
      <c r="E117" s="44">
        <f t="shared" si="15"/>
        <v>48351</v>
      </c>
      <c r="F117" s="44">
        <f t="shared" si="15"/>
        <v>59531</v>
      </c>
      <c r="G117" s="42">
        <f t="shared" ca="1" si="15"/>
        <v>52213.524654506109</v>
      </c>
      <c r="H117" s="42">
        <f t="shared" ca="1" si="15"/>
        <v>55418.999722469554</v>
      </c>
      <c r="I117" s="42">
        <f t="shared" ca="1" si="15"/>
        <v>57925.467169952928</v>
      </c>
      <c r="J117" s="42">
        <f t="shared" ca="1" si="15"/>
        <v>60650.294496590352</v>
      </c>
      <c r="K117" s="42">
        <f t="shared" ca="1" si="15"/>
        <v>63962.234746176655</v>
      </c>
      <c r="M117" t="s">
        <v>139</v>
      </c>
    </row>
    <row r="118" spans="2:17" ht="15" customHeight="1">
      <c r="C118" s="29" t="s">
        <v>140</v>
      </c>
      <c r="D118" s="39">
        <v>-12188</v>
      </c>
      <c r="E118" s="39">
        <v>-12803</v>
      </c>
      <c r="F118" s="39">
        <v>-13735</v>
      </c>
      <c r="G118" s="42">
        <f t="shared" ref="G118:K119" si="16">F118</f>
        <v>-13735</v>
      </c>
      <c r="H118" s="42">
        <f t="shared" si="16"/>
        <v>-13735</v>
      </c>
      <c r="I118" s="42">
        <f t="shared" si="16"/>
        <v>-13735</v>
      </c>
      <c r="J118" s="42">
        <f t="shared" si="16"/>
        <v>-13735</v>
      </c>
      <c r="K118" s="42">
        <f t="shared" si="16"/>
        <v>-13735</v>
      </c>
      <c r="M118" t="s">
        <v>141</v>
      </c>
    </row>
    <row r="119" spans="2:17" ht="15" customHeight="1">
      <c r="C119" s="67" t="s">
        <v>142</v>
      </c>
      <c r="D119" s="68">
        <v>-29000</v>
      </c>
      <c r="E119" s="68">
        <v>-33001</v>
      </c>
      <c r="F119" s="68">
        <v>-73056</v>
      </c>
      <c r="G119" s="85">
        <f t="shared" si="16"/>
        <v>-73056</v>
      </c>
      <c r="H119" s="85">
        <f t="shared" si="16"/>
        <v>-73056</v>
      </c>
      <c r="I119" s="85">
        <f t="shared" si="16"/>
        <v>-73056</v>
      </c>
      <c r="J119" s="85">
        <f t="shared" si="16"/>
        <v>-73056</v>
      </c>
      <c r="K119" s="85">
        <f t="shared" si="16"/>
        <v>-73056</v>
      </c>
      <c r="M119" t="s">
        <v>143</v>
      </c>
    </row>
    <row r="120" spans="2:17" ht="15" customHeight="1">
      <c r="C120" s="70" t="s">
        <v>120</v>
      </c>
      <c r="D120" s="41">
        <f>D63</f>
        <v>0</v>
      </c>
      <c r="E120" s="41">
        <f>E63</f>
        <v>98330</v>
      </c>
      <c r="F120" s="41">
        <f>F63</f>
        <v>70400</v>
      </c>
      <c r="G120" s="45">
        <f ca="1">SUM(G116:G119)</f>
        <v>35822.524654506109</v>
      </c>
      <c r="H120" s="45">
        <f ca="1">SUM(H116:H119)</f>
        <v>4450.5243769756635</v>
      </c>
      <c r="I120" s="45">
        <f ca="1">SUM(I116:I119)</f>
        <v>-24415.008453071408</v>
      </c>
      <c r="J120" s="45">
        <f ca="1">SUM(J116:J119)</f>
        <v>-50555.713956481057</v>
      </c>
      <c r="K120" s="45">
        <f ca="1">SUM(K116:K119)</f>
        <v>-73384.479210304402</v>
      </c>
      <c r="M120" t="s">
        <v>144</v>
      </c>
    </row>
    <row r="121" spans="2:17" ht="15" customHeight="1">
      <c r="E121" s="40"/>
      <c r="F121" s="40"/>
    </row>
    <row r="122" spans="2:17" ht="15" customHeight="1">
      <c r="C122" s="16" t="s">
        <v>145</v>
      </c>
      <c r="D122" s="17"/>
      <c r="E122" s="17"/>
      <c r="F122" s="17"/>
      <c r="G122" s="17"/>
      <c r="H122" s="17"/>
      <c r="I122" s="17"/>
      <c r="J122" s="17"/>
      <c r="K122" s="17"/>
      <c r="O122" s="74"/>
      <c r="P122" s="74"/>
    </row>
    <row r="123" spans="2:17" ht="15" customHeight="1">
      <c r="C123" s="36" t="str">
        <f t="shared" ref="C123:K123" si="17">C15</f>
        <v xml:space="preserve">Fiscal year  </v>
      </c>
      <c r="D123" s="37">
        <f t="shared" si="17"/>
        <v>2016</v>
      </c>
      <c r="E123" s="37">
        <f t="shared" si="17"/>
        <v>2017</v>
      </c>
      <c r="F123" s="37">
        <f t="shared" si="17"/>
        <v>2018</v>
      </c>
      <c r="G123" s="65">
        <f t="shared" si="17"/>
        <v>2019</v>
      </c>
      <c r="H123" s="65">
        <f t="shared" si="17"/>
        <v>2020</v>
      </c>
      <c r="I123" s="65">
        <f t="shared" si="17"/>
        <v>2021</v>
      </c>
      <c r="J123" s="65">
        <f t="shared" si="17"/>
        <v>2022</v>
      </c>
      <c r="K123" s="65">
        <f t="shared" si="17"/>
        <v>2023</v>
      </c>
      <c r="O123" s="74"/>
      <c r="P123" s="74"/>
    </row>
    <row r="124" spans="2:17" ht="15" customHeight="1">
      <c r="C124" s="17" t="str">
        <f t="shared" ref="C124:K124" si="18">C16</f>
        <v>Fiscal year end date</v>
      </c>
      <c r="D124" s="38">
        <f t="shared" si="18"/>
        <v>42643</v>
      </c>
      <c r="E124" s="38">
        <f t="shared" si="18"/>
        <v>43008</v>
      </c>
      <c r="F124" s="38">
        <f t="shared" si="18"/>
        <v>43372</v>
      </c>
      <c r="G124" s="38">
        <f t="shared" si="18"/>
        <v>43738</v>
      </c>
      <c r="H124" s="38">
        <f t="shared" si="18"/>
        <v>44104</v>
      </c>
      <c r="I124" s="38">
        <f t="shared" si="18"/>
        <v>44469</v>
      </c>
      <c r="J124" s="38">
        <f t="shared" si="18"/>
        <v>44834</v>
      </c>
      <c r="K124" s="38">
        <f t="shared" si="18"/>
        <v>45199</v>
      </c>
      <c r="O124" s="74"/>
      <c r="P124" s="74"/>
    </row>
    <row r="125" spans="2:17" ht="15" customHeight="1">
      <c r="C125" s="27"/>
      <c r="O125" s="74"/>
      <c r="P125" s="74"/>
    </row>
    <row r="126" spans="2:17" ht="15" customHeight="1">
      <c r="C126" s="32" t="s">
        <v>146</v>
      </c>
      <c r="O126" s="74"/>
      <c r="P126" s="74"/>
      <c r="Q126" s="74"/>
    </row>
    <row r="127" spans="2:17" ht="15" customHeight="1">
      <c r="C127" s="29" t="s">
        <v>147</v>
      </c>
      <c r="G127" s="42">
        <f>F46</f>
        <v>237100</v>
      </c>
      <c r="H127" s="42">
        <f ca="1">G46</f>
        <v>201648.11032631699</v>
      </c>
      <c r="I127" s="42">
        <f ca="1">H46</f>
        <v>174459.99642523061</v>
      </c>
      <c r="J127" s="42">
        <f ca="1">I46</f>
        <v>150562.99025415018</v>
      </c>
      <c r="K127" s="42">
        <f ca="1">J46</f>
        <v>130350.20323129596</v>
      </c>
      <c r="M127" t="s">
        <v>148</v>
      </c>
      <c r="O127" s="74"/>
      <c r="P127" s="74"/>
    </row>
    <row r="128" spans="2:17" ht="15" customHeight="1">
      <c r="C128" s="29" t="s">
        <v>149</v>
      </c>
      <c r="G128" s="39">
        <v>-50000</v>
      </c>
      <c r="H128" s="39">
        <v>-50000</v>
      </c>
      <c r="I128" s="39">
        <v>-50000</v>
      </c>
      <c r="J128" s="39">
        <v>-50000</v>
      </c>
      <c r="K128" s="39">
        <v>-50000</v>
      </c>
      <c r="M128" t="s">
        <v>150</v>
      </c>
      <c r="O128" s="74"/>
      <c r="P128" s="74"/>
    </row>
    <row r="129" spans="3:19" ht="15" customHeight="1">
      <c r="C129" s="67" t="s">
        <v>151</v>
      </c>
      <c r="D129" s="80"/>
      <c r="E129" s="80"/>
      <c r="F129" s="80"/>
      <c r="G129" s="85">
        <f ca="1">SUM(G80,G83,G85,G87,G88)</f>
        <v>-35487.889673683014</v>
      </c>
      <c r="H129" s="85">
        <f ca="1">SUM(H80,H83,H85,H87,H88)</f>
        <v>-27188.113901086384</v>
      </c>
      <c r="I129" s="85">
        <f ca="1">SUM(I80,I83,I85,I87,I88)</f>
        <v>-23897.006171080429</v>
      </c>
      <c r="J129" s="85">
        <f ca="1">SUM(J80,J83,J85,J87,J88)</f>
        <v>-20212.787022854216</v>
      </c>
      <c r="K129" s="85">
        <f ca="1">SUM(K80,K83,K85,K87,K88)</f>
        <v>-15893.412228467743</v>
      </c>
      <c r="M129" t="s">
        <v>152</v>
      </c>
    </row>
    <row r="130" spans="3:19" ht="15" customHeight="1">
      <c r="C130" s="70" t="s">
        <v>153</v>
      </c>
      <c r="G130" s="45">
        <f ca="1">SUM(G127:G129)</f>
        <v>151612.11032631699</v>
      </c>
      <c r="H130" s="45">
        <f ca="1">SUM(H127:H129)</f>
        <v>124459.99642523061</v>
      </c>
      <c r="I130" s="45">
        <f ca="1">SUM(I127:I129)</f>
        <v>100562.99025415018</v>
      </c>
      <c r="J130" s="45">
        <f ca="1">SUM(J127:J129)</f>
        <v>80350.203231295964</v>
      </c>
      <c r="K130" s="45">
        <f ca="1">SUM(K127:K129)</f>
        <v>64456.79100282822</v>
      </c>
    </row>
    <row r="132" spans="3:19" ht="15" customHeight="1">
      <c r="C132" s="27" t="s">
        <v>154</v>
      </c>
    </row>
    <row r="133" spans="3:19" ht="15" customHeight="1">
      <c r="C133" s="29" t="s">
        <v>114</v>
      </c>
      <c r="G133" s="42">
        <f>F136</f>
        <v>11964</v>
      </c>
      <c r="H133" s="42">
        <f ca="1">G136</f>
        <v>12000</v>
      </c>
      <c r="I133" s="42">
        <f ca="1">H136</f>
        <v>12000</v>
      </c>
      <c r="J133" s="42">
        <f ca="1">I136</f>
        <v>12000</v>
      </c>
      <c r="K133" s="42">
        <f ca="1">J136</f>
        <v>12000</v>
      </c>
      <c r="M133" t="s">
        <v>115</v>
      </c>
    </row>
    <row r="134" spans="3:19" ht="15" customHeight="1">
      <c r="C134" s="29" t="s">
        <v>155</v>
      </c>
      <c r="G134" s="42">
        <f ca="1">-MIN(G130,G133)</f>
        <v>-11964</v>
      </c>
      <c r="H134" s="42">
        <f ca="1">-MIN(H130,H133)</f>
        <v>-12000</v>
      </c>
      <c r="I134" s="42">
        <f ca="1">-MIN(I130,I133)</f>
        <v>-12000</v>
      </c>
      <c r="J134" s="42">
        <f ca="1">-MIN(J130,J133)</f>
        <v>-12000</v>
      </c>
      <c r="K134" s="42">
        <f ca="1">-MIN(K130,K133)</f>
        <v>-12000</v>
      </c>
      <c r="M134" t="s">
        <v>156</v>
      </c>
    </row>
    <row r="135" spans="3:19" ht="15" customHeight="1">
      <c r="C135" s="67" t="s">
        <v>157</v>
      </c>
      <c r="D135" s="80"/>
      <c r="E135" s="80"/>
      <c r="F135" s="80"/>
      <c r="G135" s="68">
        <v>12000</v>
      </c>
      <c r="H135" s="68">
        <v>12000</v>
      </c>
      <c r="I135" s="68">
        <v>12000</v>
      </c>
      <c r="J135" s="68">
        <v>12000</v>
      </c>
      <c r="K135" s="68">
        <v>12000</v>
      </c>
      <c r="M135" t="s">
        <v>150</v>
      </c>
    </row>
    <row r="136" spans="3:19" ht="15" customHeight="1">
      <c r="C136" s="29" t="s">
        <v>120</v>
      </c>
      <c r="D136" s="85">
        <f>D57</f>
        <v>0</v>
      </c>
      <c r="E136" s="85">
        <f>E57</f>
        <v>11977</v>
      </c>
      <c r="F136" s="85">
        <f>F57</f>
        <v>11964</v>
      </c>
      <c r="G136" s="86">
        <f ca="1">SUM(G133:G135)</f>
        <v>12000</v>
      </c>
      <c r="H136" s="86">
        <f ca="1">SUM(H133:H135)</f>
        <v>12000</v>
      </c>
      <c r="I136" s="86">
        <f ca="1">SUM(I133:I135)</f>
        <v>12000</v>
      </c>
      <c r="J136" s="86">
        <f ca="1">SUM(J133:J135)</f>
        <v>12000</v>
      </c>
      <c r="K136" s="86">
        <f ca="1">SUM(K133:K135)</f>
        <v>12000</v>
      </c>
    </row>
    <row r="137" spans="3:19" ht="15" customHeight="1">
      <c r="C137" s="87" t="s">
        <v>158</v>
      </c>
      <c r="D137" s="88"/>
      <c r="E137" s="88"/>
      <c r="F137" s="89"/>
      <c r="G137" s="90" t="str">
        <f ca="1">IF(G136&lt;0,"Negative Debt","OK")</f>
        <v>OK</v>
      </c>
      <c r="H137" s="90" t="str">
        <f ca="1">IF(H136&lt;0,"Negative Debt","OK")</f>
        <v>OK</v>
      </c>
      <c r="I137" s="90" t="str">
        <f ca="1">IF(I136&lt;0,"Negative Debt","OK")</f>
        <v>OK</v>
      </c>
      <c r="J137" s="90" t="str">
        <f ca="1">IF(J136&lt;0,"Negative Debt","OK")</f>
        <v>OK</v>
      </c>
      <c r="K137" s="91" t="str">
        <f ca="1">IF(K136&lt;0,"Negative Debt","OK")</f>
        <v>OK</v>
      </c>
      <c r="S137" s="40"/>
    </row>
    <row r="138" spans="3:19" ht="15" customHeight="1">
      <c r="D138" s="42"/>
      <c r="E138" s="42"/>
      <c r="F138" s="92"/>
      <c r="G138" s="93"/>
      <c r="H138" s="93"/>
      <c r="I138" s="93"/>
      <c r="J138" s="93"/>
      <c r="K138" s="93"/>
      <c r="S138" s="40"/>
    </row>
    <row r="139" spans="3:19" ht="15" customHeight="1">
      <c r="C139" s="16" t="s">
        <v>159</v>
      </c>
      <c r="D139" s="76"/>
      <c r="E139" s="76"/>
      <c r="F139" s="76"/>
      <c r="G139" s="94"/>
      <c r="H139" s="94"/>
      <c r="I139" s="94"/>
      <c r="J139" s="94"/>
      <c r="K139" s="94"/>
      <c r="R139" s="95"/>
    </row>
    <row r="140" spans="3:19" ht="15" customHeight="1">
      <c r="C140" s="36" t="str">
        <f t="shared" ref="C140:K140" si="19">C15</f>
        <v xml:space="preserve">Fiscal year  </v>
      </c>
      <c r="D140" s="37">
        <f t="shared" si="19"/>
        <v>2016</v>
      </c>
      <c r="E140" s="37">
        <f t="shared" si="19"/>
        <v>2017</v>
      </c>
      <c r="F140" s="37">
        <f t="shared" si="19"/>
        <v>2018</v>
      </c>
      <c r="G140" s="65">
        <f t="shared" si="19"/>
        <v>2019</v>
      </c>
      <c r="H140" s="65">
        <f t="shared" si="19"/>
        <v>2020</v>
      </c>
      <c r="I140" s="65">
        <f t="shared" si="19"/>
        <v>2021</v>
      </c>
      <c r="J140" s="65">
        <f t="shared" si="19"/>
        <v>2022</v>
      </c>
      <c r="K140" s="65">
        <f t="shared" si="19"/>
        <v>2023</v>
      </c>
      <c r="R140" s="95"/>
      <c r="S140" s="40"/>
    </row>
    <row r="141" spans="3:19" ht="15" customHeight="1">
      <c r="C141" s="17" t="str">
        <f t="shared" ref="C141:K141" si="20">C16</f>
        <v>Fiscal year end date</v>
      </c>
      <c r="D141" s="38">
        <f t="shared" si="20"/>
        <v>42643</v>
      </c>
      <c r="E141" s="38">
        <f t="shared" si="20"/>
        <v>43008</v>
      </c>
      <c r="F141" s="38">
        <f t="shared" si="20"/>
        <v>43372</v>
      </c>
      <c r="G141" s="38">
        <f t="shared" si="20"/>
        <v>43738</v>
      </c>
      <c r="H141" s="38">
        <f t="shared" si="20"/>
        <v>44104</v>
      </c>
      <c r="I141" s="38">
        <f t="shared" si="20"/>
        <v>44469</v>
      </c>
      <c r="J141" s="38">
        <f t="shared" si="20"/>
        <v>44834</v>
      </c>
      <c r="K141" s="38">
        <f t="shared" si="20"/>
        <v>45199</v>
      </c>
      <c r="R141" s="95"/>
    </row>
    <row r="142" spans="3:19" ht="15" customHeight="1">
      <c r="C142" s="29"/>
      <c r="D142" s="42"/>
      <c r="E142" s="42"/>
      <c r="F142" s="42"/>
      <c r="G142" s="96"/>
      <c r="H142" s="96"/>
      <c r="I142" s="96"/>
      <c r="J142" s="96"/>
      <c r="K142" s="96"/>
      <c r="R142" s="95"/>
    </row>
    <row r="143" spans="3:19" ht="15" customHeight="1">
      <c r="C143" s="30" t="s">
        <v>160</v>
      </c>
      <c r="D143" s="42">
        <f>-(D25)</f>
        <v>1456</v>
      </c>
      <c r="E143" s="42">
        <f>-(E25)</f>
        <v>2323</v>
      </c>
      <c r="F143" s="42">
        <f>-(F25)</f>
        <v>3240</v>
      </c>
      <c r="G143" s="42">
        <f>G148+G153</f>
        <v>3222.7544651501776</v>
      </c>
      <c r="H143" s="42">
        <f ca="1">H148+H153</f>
        <v>3223.5392651501775</v>
      </c>
      <c r="I143" s="42">
        <f ca="1">I148+I153</f>
        <v>3223.5392651501775</v>
      </c>
      <c r="J143" s="42">
        <f ca="1">J148+J153</f>
        <v>3223.5392651501775</v>
      </c>
      <c r="K143" s="42">
        <f ca="1">K148+K153</f>
        <v>3223.5392651501775</v>
      </c>
      <c r="M143" t="s">
        <v>161</v>
      </c>
      <c r="R143" s="40"/>
    </row>
    <row r="144" spans="3:19" ht="15" customHeight="1">
      <c r="C144" s="97"/>
      <c r="R144" s="40"/>
    </row>
    <row r="145" spans="3:18" ht="15" customHeight="1">
      <c r="C145" s="98" t="s">
        <v>162</v>
      </c>
      <c r="R145" s="40"/>
    </row>
    <row r="146" spans="3:18" ht="15" customHeight="1">
      <c r="C146" s="29" t="s">
        <v>163</v>
      </c>
      <c r="E146" s="99">
        <v>1.2E-2</v>
      </c>
      <c r="F146" s="99">
        <v>2.18E-2</v>
      </c>
      <c r="G146" s="125">
        <f>F146</f>
        <v>2.18E-2</v>
      </c>
      <c r="H146" s="125">
        <f>G146</f>
        <v>2.18E-2</v>
      </c>
      <c r="I146" s="125">
        <f>H146</f>
        <v>2.18E-2</v>
      </c>
      <c r="J146" s="125">
        <f>I146</f>
        <v>2.18E-2</v>
      </c>
      <c r="K146" s="125">
        <f>J146</f>
        <v>2.18E-2</v>
      </c>
      <c r="M146" t="s">
        <v>164</v>
      </c>
    </row>
    <row r="147" spans="3:18" ht="15" customHeight="1">
      <c r="C147" s="29" t="s">
        <v>165</v>
      </c>
      <c r="D147" s="85"/>
      <c r="E147" s="85">
        <f t="shared" ref="E147:K147" si="21">E57</f>
        <v>11977</v>
      </c>
      <c r="F147" s="85">
        <f t="shared" si="21"/>
        <v>11964</v>
      </c>
      <c r="G147" s="42">
        <f t="shared" ca="1" si="21"/>
        <v>12000</v>
      </c>
      <c r="H147" s="42">
        <f t="shared" ca="1" si="21"/>
        <v>12000</v>
      </c>
      <c r="I147" s="42">
        <f t="shared" ca="1" si="21"/>
        <v>12000</v>
      </c>
      <c r="J147" s="42">
        <f t="shared" ca="1" si="21"/>
        <v>12000</v>
      </c>
      <c r="K147" s="42">
        <f t="shared" ca="1" si="21"/>
        <v>12000</v>
      </c>
      <c r="M147" t="s">
        <v>166</v>
      </c>
    </row>
    <row r="148" spans="3:18" ht="15" customHeight="1">
      <c r="C148" s="101" t="s">
        <v>167</v>
      </c>
      <c r="D148" s="42"/>
      <c r="E148" s="45">
        <f>AVERAGE(D147:E147)*E146</f>
        <v>143.72399999999999</v>
      </c>
      <c r="F148" s="45">
        <f>AVERAGE(E147:F147)*F146</f>
        <v>260.95690000000002</v>
      </c>
      <c r="G148" s="119">
        <f>F147*G146</f>
        <v>260.8152</v>
      </c>
      <c r="H148" s="119">
        <f ca="1">G147*H146</f>
        <v>261.60000000000002</v>
      </c>
      <c r="I148" s="119">
        <f ca="1">H147*I146</f>
        <v>261.60000000000002</v>
      </c>
      <c r="J148" s="119">
        <f ca="1">I147*J146</f>
        <v>261.60000000000002</v>
      </c>
      <c r="K148" s="119">
        <f ca="1">J147*K146</f>
        <v>261.60000000000002</v>
      </c>
      <c r="M148" t="s">
        <v>168</v>
      </c>
    </row>
    <row r="149" spans="3:18" ht="15" customHeight="1">
      <c r="C149" s="103"/>
      <c r="D149" s="42"/>
      <c r="E149" s="42"/>
      <c r="F149" s="42"/>
    </row>
    <row r="150" spans="3:18" ht="15" customHeight="1">
      <c r="C150" s="98" t="s">
        <v>105</v>
      </c>
      <c r="D150" s="42"/>
      <c r="E150" s="42"/>
      <c r="F150" s="42"/>
    </row>
    <row r="151" spans="3:18" ht="15" customHeight="1">
      <c r="C151" s="29" t="s">
        <v>165</v>
      </c>
      <c r="D151" s="42"/>
      <c r="E151" s="42">
        <f t="shared" ref="E151:K151" si="22">E58</f>
        <v>103703</v>
      </c>
      <c r="F151" s="42">
        <f t="shared" si="22"/>
        <v>102519</v>
      </c>
      <c r="G151" s="42">
        <f t="shared" si="22"/>
        <v>102519</v>
      </c>
      <c r="H151" s="42">
        <f t="shared" si="22"/>
        <v>102519</v>
      </c>
      <c r="I151" s="42">
        <f t="shared" si="22"/>
        <v>102519</v>
      </c>
      <c r="J151" s="42">
        <f t="shared" si="22"/>
        <v>102519</v>
      </c>
      <c r="K151" s="42">
        <f t="shared" si="22"/>
        <v>102519</v>
      </c>
      <c r="M151" t="s">
        <v>107</v>
      </c>
    </row>
    <row r="152" spans="3:18" ht="15" customHeight="1">
      <c r="C152" s="29" t="s">
        <v>163</v>
      </c>
      <c r="E152" s="51">
        <f>E153/AVERAGE(D151:E151)</f>
        <v>2.101458974185896E-2</v>
      </c>
      <c r="F152" s="51">
        <f>F153/AVERAGE(E151:F151)</f>
        <v>2.8891612921996681E-2</v>
      </c>
      <c r="G152" s="125">
        <f>F152</f>
        <v>2.8891612921996681E-2</v>
      </c>
      <c r="H152" s="125">
        <f>G152</f>
        <v>2.8891612921996681E-2</v>
      </c>
      <c r="I152" s="125">
        <f>H152</f>
        <v>2.8891612921996681E-2</v>
      </c>
      <c r="J152" s="125">
        <f>I152</f>
        <v>2.8891612921996681E-2</v>
      </c>
      <c r="K152" s="125">
        <f>J152</f>
        <v>2.8891612921996681E-2</v>
      </c>
      <c r="M152" t="s">
        <v>164</v>
      </c>
      <c r="R152" s="95"/>
    </row>
    <row r="153" spans="3:18" ht="15" customHeight="1">
      <c r="C153" s="70" t="s">
        <v>169</v>
      </c>
      <c r="D153" s="45"/>
      <c r="E153" s="45">
        <f>E143-E148</f>
        <v>2179.2759999999998</v>
      </c>
      <c r="F153" s="45">
        <f>F143-F148</f>
        <v>2979.0430999999999</v>
      </c>
      <c r="G153" s="41">
        <f>G152*AVERAGE(F151:G151)</f>
        <v>2961.9392651501776</v>
      </c>
      <c r="H153" s="41">
        <f>H152*AVERAGE(G151:H151)</f>
        <v>2961.9392651501776</v>
      </c>
      <c r="I153" s="41">
        <f>I152*AVERAGE(H151:I151)</f>
        <v>2961.9392651501776</v>
      </c>
      <c r="J153" s="41">
        <f>J152*AVERAGE(I151:J151)</f>
        <v>2961.9392651501776</v>
      </c>
      <c r="K153" s="41">
        <f>K152*AVERAGE(J151:K151)</f>
        <v>2961.9392651501776</v>
      </c>
      <c r="M153" t="s">
        <v>170</v>
      </c>
    </row>
    <row r="154" spans="3:18" ht="15" customHeight="1">
      <c r="E154" s="42"/>
    </row>
    <row r="155" spans="3:18" ht="15" customHeight="1">
      <c r="C155" s="97" t="s">
        <v>171</v>
      </c>
      <c r="E155" s="42"/>
      <c r="F155" s="42"/>
    </row>
    <row r="156" spans="3:18" ht="15" customHeight="1">
      <c r="C156" s="29" t="s">
        <v>172</v>
      </c>
      <c r="D156" s="49">
        <v>1.7299999999999999E-2</v>
      </c>
      <c r="E156" s="99">
        <v>1.9900000000000001E-2</v>
      </c>
      <c r="F156" s="99">
        <v>2.1600000000000001E-2</v>
      </c>
      <c r="G156" s="127">
        <f>F156</f>
        <v>2.1600000000000001E-2</v>
      </c>
      <c r="H156" s="127">
        <f>G156</f>
        <v>2.1600000000000001E-2</v>
      </c>
      <c r="I156" s="127">
        <f>H156</f>
        <v>2.1600000000000001E-2</v>
      </c>
      <c r="J156" s="127">
        <f>I156</f>
        <v>2.1600000000000001E-2</v>
      </c>
      <c r="K156" s="127">
        <f>J156</f>
        <v>2.1600000000000001E-2</v>
      </c>
      <c r="M156" t="s">
        <v>164</v>
      </c>
    </row>
    <row r="157" spans="3:18" ht="15" customHeight="1">
      <c r="C157" s="29" t="s">
        <v>19</v>
      </c>
      <c r="D157" s="42">
        <f>D24</f>
        <v>3999</v>
      </c>
      <c r="E157" s="42">
        <f>E24</f>
        <v>5201</v>
      </c>
      <c r="F157" s="42">
        <f>F24</f>
        <v>5686</v>
      </c>
      <c r="G157" s="44">
        <f>G156*F46</f>
        <v>5121.3600000000006</v>
      </c>
      <c r="H157" s="44">
        <f ca="1">H156*G46</f>
        <v>4355.5991830484472</v>
      </c>
      <c r="I157" s="44">
        <f ca="1">I156*H46</f>
        <v>3768.3359227849814</v>
      </c>
      <c r="J157" s="44">
        <f ca="1">J156*I46</f>
        <v>3252.1605894896443</v>
      </c>
      <c r="K157" s="44">
        <f ca="1">K156*J46</f>
        <v>2815.5643897959931</v>
      </c>
      <c r="M157" t="s">
        <v>173</v>
      </c>
    </row>
    <row r="158" spans="3:18" ht="15" customHeight="1">
      <c r="C158" s="50"/>
      <c r="D158" s="51"/>
      <c r="E158" s="51"/>
      <c r="F158" s="51"/>
      <c r="G158" s="51"/>
      <c r="H158" s="51"/>
    </row>
    <row r="159" spans="3:18" ht="15" customHeight="1">
      <c r="C159" s="16" t="s">
        <v>191</v>
      </c>
      <c r="D159" s="16"/>
      <c r="E159" s="16"/>
      <c r="F159" s="16"/>
      <c r="G159" s="16"/>
      <c r="H159" s="16"/>
      <c r="I159" s="16"/>
      <c r="J159" s="16"/>
      <c r="K159" s="16"/>
    </row>
    <row r="160" spans="3:18" ht="15" customHeight="1">
      <c r="C160" s="27"/>
    </row>
    <row r="161" spans="2:16" ht="15.75" customHeight="1">
      <c r="C161" s="128" t="s">
        <v>192</v>
      </c>
      <c r="D161" s="129"/>
      <c r="E161" s="129"/>
      <c r="F161" s="129"/>
      <c r="G161" s="129"/>
      <c r="H161" s="129"/>
      <c r="I161" s="129"/>
    </row>
    <row r="162" spans="2:16" ht="15" customHeight="1">
      <c r="D162" s="27"/>
      <c r="E162" s="2" t="s">
        <v>193</v>
      </c>
      <c r="F162" s="2"/>
      <c r="G162" s="2"/>
      <c r="H162" s="2"/>
      <c r="I162" s="2"/>
    </row>
    <row r="163" spans="2:16" ht="15.75" customHeight="1">
      <c r="D163" s="229">
        <f ca="1">G29</f>
        <v>52213.524654506109</v>
      </c>
      <c r="E163" s="230">
        <v>-0.05</v>
      </c>
      <c r="F163" s="230">
        <v>-2.5000000000000001E-2</v>
      </c>
      <c r="G163" s="230">
        <v>0</v>
      </c>
      <c r="H163" s="230">
        <v>2.5000000000000001E-2</v>
      </c>
      <c r="I163" s="230">
        <v>0.05</v>
      </c>
    </row>
    <row r="164" spans="2:16" ht="15" customHeight="1">
      <c r="C164" s="154"/>
      <c r="D164" s="231">
        <v>0.39</v>
      </c>
      <c r="E164" s="232">
        <v>54599.550636029897</v>
      </c>
      <c r="F164" s="232">
        <v>56004.428668279899</v>
      </c>
      <c r="G164" s="232">
        <v>57409.306700529902</v>
      </c>
      <c r="H164" s="232">
        <v>58814.184732779897</v>
      </c>
      <c r="I164" s="232">
        <v>60219.062765029899</v>
      </c>
    </row>
    <row r="165" spans="2:16" ht="15" customHeight="1">
      <c r="C165" s="135" t="s">
        <v>194</v>
      </c>
      <c r="D165" s="231">
        <v>0.38500000000000001</v>
      </c>
      <c r="E165" s="232">
        <v>53548.6576197799</v>
      </c>
      <c r="F165" s="232">
        <v>54925.880572654904</v>
      </c>
      <c r="G165" s="232">
        <v>56303.103525529899</v>
      </c>
      <c r="H165" s="232">
        <v>57680.326478404902</v>
      </c>
      <c r="I165" s="232">
        <v>59057.549431279898</v>
      </c>
    </row>
    <row r="166" spans="2:16" ht="15" customHeight="1">
      <c r="C166" s="135" t="s">
        <v>195</v>
      </c>
      <c r="D166" s="231">
        <v>0.38</v>
      </c>
      <c r="E166" s="232">
        <v>52497.764603529897</v>
      </c>
      <c r="F166" s="232">
        <v>53847.3324770299</v>
      </c>
      <c r="G166" s="232">
        <v>55196.900350529897</v>
      </c>
      <c r="H166" s="232">
        <v>56546.468224029901</v>
      </c>
      <c r="I166" s="232">
        <v>57896.036097529897</v>
      </c>
    </row>
    <row r="167" spans="2:16" ht="15" customHeight="1">
      <c r="C167" s="135" t="s">
        <v>196</v>
      </c>
      <c r="D167" s="231">
        <v>0.375</v>
      </c>
      <c r="E167" s="232">
        <v>51446.8715872799</v>
      </c>
      <c r="F167" s="232">
        <v>52768.784381404897</v>
      </c>
      <c r="G167" s="232">
        <v>54090.697175529902</v>
      </c>
      <c r="H167" s="232">
        <v>55412.609969654899</v>
      </c>
      <c r="I167" s="232">
        <v>56734.522763779903</v>
      </c>
    </row>
    <row r="168" spans="2:16" ht="15" customHeight="1">
      <c r="D168" s="231">
        <v>0.37</v>
      </c>
      <c r="E168" s="232">
        <v>50395.978571029897</v>
      </c>
      <c r="F168" s="232">
        <v>51690.236285779902</v>
      </c>
      <c r="G168" s="232">
        <v>52984.494000529899</v>
      </c>
      <c r="H168" s="232">
        <v>54278.751715279897</v>
      </c>
      <c r="I168" s="232">
        <v>55573.009430029902</v>
      </c>
    </row>
    <row r="169" spans="2:16" ht="15" customHeight="1">
      <c r="D169" s="231">
        <v>0.36499999999999999</v>
      </c>
      <c r="E169" s="232">
        <v>49345.0855547799</v>
      </c>
      <c r="F169" s="232">
        <v>50611.688190154899</v>
      </c>
      <c r="G169" s="232">
        <v>51878.290825529897</v>
      </c>
      <c r="H169" s="232">
        <v>53144.893460904903</v>
      </c>
      <c r="I169" s="232">
        <v>54411.496096279901</v>
      </c>
    </row>
    <row r="171" spans="2:16" ht="15" customHeight="1">
      <c r="B171" t="s">
        <v>187</v>
      </c>
      <c r="C171" s="16" t="s">
        <v>197</v>
      </c>
      <c r="D171" s="16"/>
      <c r="E171" s="16"/>
      <c r="F171" s="16"/>
      <c r="G171" s="16"/>
      <c r="H171" s="16"/>
      <c r="I171" s="16"/>
      <c r="J171" s="16"/>
      <c r="K171" s="16"/>
    </row>
    <row r="172" spans="2:16" ht="15.75" customHeight="1"/>
    <row r="173" spans="2:16" ht="15.75" customHeight="1">
      <c r="C173" t="s">
        <v>198</v>
      </c>
      <c r="D173" s="136" t="str">
        <f>D12</f>
        <v>Base case</v>
      </c>
      <c r="F173" s="137" t="s">
        <v>262</v>
      </c>
      <c r="G173" s="65">
        <f t="shared" ref="G173:K174" si="23">G15</f>
        <v>2019</v>
      </c>
      <c r="H173" s="65">
        <f t="shared" si="23"/>
        <v>2020</v>
      </c>
      <c r="I173" s="65">
        <f t="shared" si="23"/>
        <v>2021</v>
      </c>
      <c r="J173" s="65">
        <f t="shared" si="23"/>
        <v>2022</v>
      </c>
      <c r="K173" s="65">
        <f t="shared" si="23"/>
        <v>2023</v>
      </c>
    </row>
    <row r="174" spans="2:16" ht="15" customHeight="1">
      <c r="E174" s="138"/>
      <c r="F174" s="139" t="s">
        <v>200</v>
      </c>
      <c r="G174" s="38">
        <f t="shared" si="23"/>
        <v>43738</v>
      </c>
      <c r="H174" s="38">
        <f t="shared" si="23"/>
        <v>44104</v>
      </c>
      <c r="I174" s="38">
        <f t="shared" si="23"/>
        <v>44469</v>
      </c>
      <c r="J174" s="38">
        <f t="shared" si="23"/>
        <v>44834</v>
      </c>
      <c r="K174" s="38">
        <f t="shared" si="23"/>
        <v>45199</v>
      </c>
    </row>
    <row r="175" spans="2:16" ht="15" customHeight="1">
      <c r="C175" s="233" t="s">
        <v>263</v>
      </c>
      <c r="D175" s="234"/>
      <c r="E175" s="234"/>
      <c r="F175" s="235" t="str">
        <f t="shared" ref="F175:K179" ca="1" si="24">OFFSET(F$181,MATCH($C175,$C$181:$C$200,0)+MATCH($D$173,$C$182:$C$184,0)-1,0)</f>
        <v>NM</v>
      </c>
      <c r="G175" s="200">
        <f t="shared" ca="1" si="24"/>
        <v>792</v>
      </c>
      <c r="H175" s="200">
        <f t="shared" ca="1" si="24"/>
        <v>725</v>
      </c>
      <c r="I175" s="200">
        <f t="shared" ca="1" si="24"/>
        <v>725</v>
      </c>
      <c r="J175" s="200">
        <f t="shared" ca="1" si="24"/>
        <v>725</v>
      </c>
      <c r="K175" s="200">
        <f t="shared" ca="1" si="24"/>
        <v>725</v>
      </c>
      <c r="M175" s="142"/>
      <c r="N175" s="142"/>
      <c r="O175" s="142"/>
      <c r="P175" s="142"/>
    </row>
    <row r="176" spans="2:16" ht="15" customHeight="1">
      <c r="C176" s="233" t="s">
        <v>264</v>
      </c>
      <c r="D176" s="234"/>
      <c r="E176" s="234"/>
      <c r="F176" s="235" t="str">
        <f t="shared" ca="1" si="24"/>
        <v>NM</v>
      </c>
      <c r="G176" s="61">
        <f t="shared" ca="1" si="24"/>
        <v>173700</v>
      </c>
      <c r="H176" s="61">
        <f t="shared" ca="1" si="24"/>
        <v>190880</v>
      </c>
      <c r="I176" s="61">
        <f t="shared" ca="1" si="24"/>
        <v>190880</v>
      </c>
      <c r="J176" s="61">
        <f t="shared" ca="1" si="24"/>
        <v>190880</v>
      </c>
      <c r="K176" s="61">
        <f t="shared" ca="1" si="24"/>
        <v>190880</v>
      </c>
      <c r="M176" s="142"/>
      <c r="N176" s="142"/>
      <c r="O176" s="142"/>
      <c r="P176" s="142"/>
    </row>
    <row r="177" spans="3:19" ht="15" customHeight="1">
      <c r="C177" s="29" t="s">
        <v>31</v>
      </c>
      <c r="F177" s="236" t="str">
        <f t="shared" ca="1" si="24"/>
        <v>NM</v>
      </c>
      <c r="G177" s="71">
        <f t="shared" ca="1" si="24"/>
        <v>0.378</v>
      </c>
      <c r="H177" s="71">
        <f t="shared" ca="1" si="24"/>
        <v>0.38100000000000001</v>
      </c>
      <c r="I177" s="71">
        <f t="shared" ca="1" si="24"/>
        <v>0.38200000000000001</v>
      </c>
      <c r="J177" s="71">
        <f t="shared" ca="1" si="24"/>
        <v>0.38200000000000001</v>
      </c>
      <c r="K177" s="71">
        <f t="shared" ca="1" si="24"/>
        <v>0.38200000000000001</v>
      </c>
      <c r="M177" s="142"/>
      <c r="N177" s="142"/>
      <c r="O177" s="142"/>
      <c r="P177" s="142"/>
    </row>
    <row r="178" spans="3:19" ht="15" customHeight="1">
      <c r="C178" s="29" t="s">
        <v>32</v>
      </c>
      <c r="F178" s="236" t="str">
        <f t="shared" ca="1" si="24"/>
        <v>NM</v>
      </c>
      <c r="G178" s="71">
        <f t="shared" ca="1" si="24"/>
        <v>6.2E-2</v>
      </c>
      <c r="H178" s="71">
        <f t="shared" ca="1" si="24"/>
        <v>6.3E-2</v>
      </c>
      <c r="I178" s="71">
        <f t="shared" ca="1" si="24"/>
        <v>6.3E-2</v>
      </c>
      <c r="J178" s="71">
        <f t="shared" ca="1" si="24"/>
        <v>6.3E-2</v>
      </c>
      <c r="K178" s="71">
        <f t="shared" ca="1" si="24"/>
        <v>6.3E-2</v>
      </c>
      <c r="M178" s="142"/>
      <c r="N178" s="142"/>
      <c r="O178" s="142"/>
      <c r="P178" s="142"/>
    </row>
    <row r="179" spans="3:19" ht="15" customHeight="1">
      <c r="C179" s="29" t="s">
        <v>33</v>
      </c>
      <c r="F179" s="236" t="str">
        <f t="shared" ca="1" si="24"/>
        <v>NM</v>
      </c>
      <c r="G179" s="71">
        <f t="shared" ca="1" si="24"/>
        <v>7.3999999999999996E-2</v>
      </c>
      <c r="H179" s="71">
        <f t="shared" ca="1" si="24"/>
        <v>6.9000000000000006E-2</v>
      </c>
      <c r="I179" s="71">
        <f t="shared" ca="1" si="24"/>
        <v>6.9000000000000006E-2</v>
      </c>
      <c r="J179" s="71">
        <f t="shared" ca="1" si="24"/>
        <v>6.9000000000000006E-2</v>
      </c>
      <c r="K179" s="71">
        <f t="shared" ca="1" si="24"/>
        <v>6.9000000000000006E-2</v>
      </c>
      <c r="M179" s="142"/>
      <c r="N179" s="142"/>
      <c r="O179" s="142"/>
      <c r="P179" s="142"/>
    </row>
    <row r="180" spans="3:19" ht="15" customHeight="1">
      <c r="F180" s="143"/>
    </row>
    <row r="181" spans="3:19" ht="15" customHeight="1">
      <c r="C181" s="237" t="s">
        <v>263</v>
      </c>
      <c r="D181" s="234"/>
      <c r="E181" s="234"/>
      <c r="F181" s="238"/>
      <c r="G181" s="234"/>
      <c r="H181" s="234"/>
      <c r="I181" s="234"/>
      <c r="J181" s="234"/>
      <c r="K181" s="234"/>
    </row>
    <row r="182" spans="3:19" ht="15" customHeight="1">
      <c r="C182" s="239" t="s">
        <v>201</v>
      </c>
      <c r="D182" s="234"/>
      <c r="E182" s="234"/>
      <c r="F182" s="240">
        <v>100</v>
      </c>
      <c r="G182" s="241">
        <f>G183+$F$182</f>
        <v>892</v>
      </c>
      <c r="H182" s="241">
        <f>H183+$F$182</f>
        <v>825</v>
      </c>
      <c r="I182" s="241">
        <f>I183+$F$182</f>
        <v>825</v>
      </c>
      <c r="J182" s="241">
        <f>J183+$F$182</f>
        <v>825</v>
      </c>
      <c r="K182" s="241">
        <f>K183+$F$182</f>
        <v>825</v>
      </c>
    </row>
    <row r="183" spans="3:19" ht="15" customHeight="1">
      <c r="C183" s="239" t="s">
        <v>189</v>
      </c>
      <c r="D183" s="234"/>
      <c r="E183" s="234"/>
      <c r="F183" s="242" t="s">
        <v>202</v>
      </c>
      <c r="G183" s="181">
        <v>792</v>
      </c>
      <c r="H183" s="181">
        <v>725</v>
      </c>
      <c r="I183" s="181">
        <v>725</v>
      </c>
      <c r="J183" s="181">
        <v>725</v>
      </c>
      <c r="K183" s="181">
        <v>725</v>
      </c>
      <c r="M183" t="s">
        <v>265</v>
      </c>
      <c r="O183" s="35"/>
      <c r="P183" s="35"/>
      <c r="Q183" s="35"/>
      <c r="R183" s="35"/>
      <c r="S183" s="35"/>
    </row>
    <row r="184" spans="3:19" ht="15" customHeight="1">
      <c r="C184" s="239" t="s">
        <v>203</v>
      </c>
      <c r="D184" s="234"/>
      <c r="E184" s="234"/>
      <c r="F184" s="240">
        <v>-100</v>
      </c>
      <c r="G184" s="241">
        <f>G183+$F$184</f>
        <v>692</v>
      </c>
      <c r="H184" s="241">
        <f>H183+$F$184</f>
        <v>625</v>
      </c>
      <c r="I184" s="241">
        <f>I183+$F$184</f>
        <v>625</v>
      </c>
      <c r="J184" s="241">
        <f>J183+$F$184</f>
        <v>625</v>
      </c>
      <c r="K184" s="241">
        <f>K183+$F$184</f>
        <v>625</v>
      </c>
      <c r="O184" s="35"/>
      <c r="P184" s="35"/>
      <c r="Q184" s="35"/>
      <c r="R184" s="35"/>
      <c r="S184" s="35"/>
    </row>
    <row r="185" spans="3:19" ht="15" customHeight="1">
      <c r="C185" s="243" t="s">
        <v>264</v>
      </c>
      <c r="D185" s="234"/>
      <c r="E185" s="234"/>
      <c r="F185" s="244"/>
      <c r="G185" s="72"/>
      <c r="H185" s="72"/>
      <c r="I185" s="72"/>
      <c r="J185" s="72"/>
      <c r="K185" s="72"/>
      <c r="O185" s="35"/>
      <c r="P185" s="35"/>
      <c r="Q185" s="35"/>
      <c r="R185" s="35"/>
      <c r="S185" s="35"/>
    </row>
    <row r="186" spans="3:19" ht="15" customHeight="1">
      <c r="C186" s="239" t="s">
        <v>201</v>
      </c>
      <c r="D186" s="234"/>
      <c r="E186" s="234"/>
      <c r="F186" s="240">
        <v>10000</v>
      </c>
      <c r="G186" s="58">
        <f>G187+$F$186</f>
        <v>183700</v>
      </c>
      <c r="H186" s="58">
        <f>H187+$F$186</f>
        <v>200880</v>
      </c>
      <c r="I186" s="58">
        <f>I187+$F$186</f>
        <v>200880</v>
      </c>
      <c r="J186" s="58">
        <f>J187+$F$186</f>
        <v>200880</v>
      </c>
      <c r="K186" s="58">
        <f>K187+$F$186</f>
        <v>200880</v>
      </c>
      <c r="O186" s="35"/>
      <c r="P186" s="35"/>
      <c r="Q186" s="35"/>
      <c r="R186" s="35"/>
      <c r="S186" s="35"/>
    </row>
    <row r="187" spans="3:19" ht="15" customHeight="1">
      <c r="C187" s="239" t="s">
        <v>189</v>
      </c>
      <c r="D187" s="234"/>
      <c r="E187" s="234"/>
      <c r="F187" s="242" t="s">
        <v>202</v>
      </c>
      <c r="G187" s="26">
        <v>173700</v>
      </c>
      <c r="H187" s="26">
        <v>190880</v>
      </c>
      <c r="I187" s="26">
        <v>190880</v>
      </c>
      <c r="J187" s="26">
        <v>190880</v>
      </c>
      <c r="K187" s="166">
        <v>190880</v>
      </c>
      <c r="M187" t="s">
        <v>265</v>
      </c>
      <c r="O187" s="35"/>
      <c r="P187" s="35"/>
      <c r="Q187" s="35"/>
      <c r="R187" s="35"/>
      <c r="S187" s="35"/>
    </row>
    <row r="188" spans="3:19" ht="15" customHeight="1">
      <c r="C188" s="239" t="s">
        <v>203</v>
      </c>
      <c r="D188" s="234"/>
      <c r="E188" s="234"/>
      <c r="F188" s="240">
        <v>-10000</v>
      </c>
      <c r="G188" s="58">
        <f>G187+$F$188</f>
        <v>163700</v>
      </c>
      <c r="H188" s="58">
        <f>H187+$F$188</f>
        <v>180880</v>
      </c>
      <c r="I188" s="58">
        <f>I187+$F$188</f>
        <v>180880</v>
      </c>
      <c r="J188" s="58">
        <f>J187+$F$188</f>
        <v>180880</v>
      </c>
      <c r="K188" s="58">
        <f>K187+$F$188</f>
        <v>180880</v>
      </c>
      <c r="O188" s="35"/>
      <c r="P188" s="35"/>
      <c r="Q188" s="35"/>
      <c r="R188" s="35"/>
      <c r="S188" s="35"/>
    </row>
    <row r="189" spans="3:19" ht="15" customHeight="1">
      <c r="C189" s="70" t="s">
        <v>31</v>
      </c>
      <c r="F189" s="145"/>
      <c r="G189" s="35"/>
      <c r="H189" s="35"/>
      <c r="I189" s="35"/>
      <c r="J189" s="35"/>
      <c r="K189" s="35"/>
      <c r="O189" s="35"/>
      <c r="P189" s="35"/>
      <c r="Q189" s="35"/>
      <c r="R189" s="35"/>
      <c r="S189" s="35"/>
    </row>
    <row r="190" spans="3:19" ht="15" customHeight="1">
      <c r="C190" s="103" t="s">
        <v>201</v>
      </c>
      <c r="F190" s="144">
        <v>0.01</v>
      </c>
      <c r="G190" s="63">
        <f>G191+$F$190</f>
        <v>0.38800000000000001</v>
      </c>
      <c r="H190" s="63">
        <f>H191+$F$190</f>
        <v>0.39100000000000001</v>
      </c>
      <c r="I190" s="63">
        <f>I191+$F$190</f>
        <v>0.39200000000000002</v>
      </c>
      <c r="J190" s="63">
        <f>J191+$F$190</f>
        <v>0.39200000000000002</v>
      </c>
      <c r="K190" s="63">
        <f>K191+$F$190</f>
        <v>0.39200000000000002</v>
      </c>
    </row>
    <row r="191" spans="3:19" ht="15" customHeight="1">
      <c r="C191" s="103" t="s">
        <v>189</v>
      </c>
      <c r="F191" s="145" t="s">
        <v>202</v>
      </c>
      <c r="G191" s="35">
        <v>0.378</v>
      </c>
      <c r="H191" s="35">
        <v>0.38100000000000001</v>
      </c>
      <c r="I191" s="35">
        <v>0.38200000000000001</v>
      </c>
      <c r="J191" s="63">
        <f>I191</f>
        <v>0.38200000000000001</v>
      </c>
      <c r="K191" s="63">
        <f>J191</f>
        <v>0.38200000000000001</v>
      </c>
      <c r="M191" t="s">
        <v>85</v>
      </c>
    </row>
    <row r="192" spans="3:19" ht="15" customHeight="1">
      <c r="C192" s="103" t="s">
        <v>203</v>
      </c>
      <c r="F192" s="144">
        <v>-0.01</v>
      </c>
      <c r="G192" s="63">
        <f>G191+$F$192</f>
        <v>0.36799999999999999</v>
      </c>
      <c r="H192" s="63">
        <f>H191+$F$192</f>
        <v>0.371</v>
      </c>
      <c r="I192" s="63">
        <f>I191+$F$192</f>
        <v>0.372</v>
      </c>
      <c r="J192" s="63">
        <f>J191+$F$192</f>
        <v>0.372</v>
      </c>
      <c r="K192" s="63">
        <f>K191+$F$192</f>
        <v>0.372</v>
      </c>
    </row>
    <row r="193" spans="3:13" ht="15" customHeight="1">
      <c r="C193" s="70" t="s">
        <v>32</v>
      </c>
      <c r="F193" s="145"/>
      <c r="G193" s="146"/>
      <c r="H193" s="146"/>
      <c r="I193" s="146"/>
      <c r="J193" s="146"/>
      <c r="K193" s="146"/>
    </row>
    <row r="194" spans="3:13" ht="15" customHeight="1">
      <c r="C194" s="103" t="s">
        <v>201</v>
      </c>
      <c r="F194" s="144">
        <v>-0.01</v>
      </c>
      <c r="G194" s="63">
        <f>G195+$F$194</f>
        <v>5.1999999999999998E-2</v>
      </c>
      <c r="H194" s="63">
        <f>H195+$F$194</f>
        <v>5.2999999999999999E-2</v>
      </c>
      <c r="I194" s="63">
        <f>I195+$F$194</f>
        <v>5.2999999999999999E-2</v>
      </c>
      <c r="J194" s="63">
        <f>J195+$F$194</f>
        <v>5.2999999999999999E-2</v>
      </c>
      <c r="K194" s="63">
        <f>K195+$F$194</f>
        <v>5.2999999999999999E-2</v>
      </c>
    </row>
    <row r="195" spans="3:13" ht="15" customHeight="1">
      <c r="C195" s="103" t="s">
        <v>189</v>
      </c>
      <c r="F195" s="145" t="s">
        <v>202</v>
      </c>
      <c r="G195" s="35">
        <v>6.2E-2</v>
      </c>
      <c r="H195" s="35">
        <v>6.3E-2</v>
      </c>
      <c r="I195" s="35">
        <v>6.3E-2</v>
      </c>
      <c r="J195" s="63">
        <f>I195</f>
        <v>6.3E-2</v>
      </c>
      <c r="K195" s="63">
        <f>J195</f>
        <v>6.3E-2</v>
      </c>
      <c r="M195" t="s">
        <v>86</v>
      </c>
    </row>
    <row r="196" spans="3:13" ht="15" customHeight="1">
      <c r="C196" s="103" t="s">
        <v>203</v>
      </c>
      <c r="F196" s="144">
        <v>0.01</v>
      </c>
      <c r="G196" s="63">
        <f>G195+$F$196</f>
        <v>7.1999999999999995E-2</v>
      </c>
      <c r="H196" s="63">
        <f>H195+$F$196</f>
        <v>7.2999999999999995E-2</v>
      </c>
      <c r="I196" s="63">
        <f>I195+$F$196</f>
        <v>7.2999999999999995E-2</v>
      </c>
      <c r="J196" s="63">
        <f>J195+$F$196</f>
        <v>7.2999999999999995E-2</v>
      </c>
      <c r="K196" s="63">
        <f>K195+$F$196</f>
        <v>7.2999999999999995E-2</v>
      </c>
    </row>
    <row r="197" spans="3:13" ht="15" customHeight="1">
      <c r="C197" s="70" t="s">
        <v>33</v>
      </c>
      <c r="F197" s="145"/>
      <c r="G197" s="146"/>
      <c r="H197" s="146"/>
      <c r="I197" s="146"/>
      <c r="J197" s="146"/>
      <c r="K197" s="146"/>
    </row>
    <row r="198" spans="3:13" ht="15" customHeight="1">
      <c r="C198" s="103" t="s">
        <v>201</v>
      </c>
      <c r="F198" s="144">
        <v>-0.01</v>
      </c>
      <c r="G198" s="63">
        <f>G199+$F$198</f>
        <v>6.4000000000000001E-2</v>
      </c>
      <c r="H198" s="63">
        <f>H199+$F$198</f>
        <v>5.9000000000000004E-2</v>
      </c>
      <c r="I198" s="63">
        <f>I199+$F$198</f>
        <v>5.9000000000000004E-2</v>
      </c>
      <c r="J198" s="63">
        <f>J199+$F$198</f>
        <v>5.9000000000000004E-2</v>
      </c>
      <c r="K198" s="63">
        <f>K199+$F$198</f>
        <v>5.9000000000000004E-2</v>
      </c>
    </row>
    <row r="199" spans="3:13" ht="15" customHeight="1">
      <c r="C199" s="103" t="s">
        <v>189</v>
      </c>
      <c r="F199" s="145" t="s">
        <v>202</v>
      </c>
      <c r="G199" s="35">
        <v>7.3999999999999996E-2</v>
      </c>
      <c r="H199" s="35">
        <v>6.9000000000000006E-2</v>
      </c>
      <c r="I199" s="35">
        <v>6.9000000000000006E-2</v>
      </c>
      <c r="J199" s="63">
        <f>I199</f>
        <v>6.9000000000000006E-2</v>
      </c>
      <c r="K199" s="63">
        <f>J199</f>
        <v>6.9000000000000006E-2</v>
      </c>
      <c r="M199" t="s">
        <v>86</v>
      </c>
    </row>
    <row r="200" spans="3:13" ht="15.75" customHeight="1">
      <c r="C200" s="103" t="s">
        <v>203</v>
      </c>
      <c r="F200" s="147">
        <v>0.01</v>
      </c>
      <c r="G200" s="63">
        <f>G199+$F$200</f>
        <v>8.3999999999999991E-2</v>
      </c>
      <c r="H200" s="63">
        <f>H199+$F$200</f>
        <v>7.9000000000000001E-2</v>
      </c>
      <c r="I200" s="63">
        <f>I199+$F$200</f>
        <v>7.9000000000000001E-2</v>
      </c>
      <c r="J200" s="63">
        <f>J199+$F$200</f>
        <v>7.9000000000000001E-2</v>
      </c>
      <c r="K200" s="63">
        <f>K199+$F$200</f>
        <v>7.9000000000000001E-2</v>
      </c>
    </row>
    <row r="202" spans="3:13" ht="15" customHeight="1">
      <c r="C202" s="16" t="s">
        <v>204</v>
      </c>
      <c r="D202" s="16"/>
      <c r="E202" s="16"/>
      <c r="F202" s="16"/>
      <c r="G202" s="16"/>
      <c r="H202" s="16"/>
      <c r="I202" s="16"/>
      <c r="J202" s="16"/>
      <c r="K202" s="16"/>
    </row>
    <row r="203" spans="3:13" ht="15" customHeight="1">
      <c r="C203" s="36" t="str">
        <f t="shared" ref="C203:K203" si="25">C15</f>
        <v xml:space="preserve">Fiscal year  </v>
      </c>
      <c r="D203" s="37">
        <f t="shared" si="25"/>
        <v>2016</v>
      </c>
      <c r="E203" s="37">
        <f t="shared" si="25"/>
        <v>2017</v>
      </c>
      <c r="F203" s="37">
        <f t="shared" si="25"/>
        <v>2018</v>
      </c>
      <c r="G203" s="65">
        <f t="shared" si="25"/>
        <v>2019</v>
      </c>
      <c r="H203" s="65">
        <f t="shared" si="25"/>
        <v>2020</v>
      </c>
      <c r="I203" s="65">
        <f t="shared" si="25"/>
        <v>2021</v>
      </c>
      <c r="J203" s="65">
        <f t="shared" si="25"/>
        <v>2022</v>
      </c>
      <c r="K203" s="65">
        <f t="shared" si="25"/>
        <v>2023</v>
      </c>
    </row>
    <row r="204" spans="3:13" ht="15" customHeight="1">
      <c r="C204" s="17" t="str">
        <f t="shared" ref="C204:K204" si="26">C16</f>
        <v>Fiscal year end date</v>
      </c>
      <c r="D204" s="38">
        <f t="shared" si="26"/>
        <v>42643</v>
      </c>
      <c r="E204" s="38">
        <f t="shared" si="26"/>
        <v>43008</v>
      </c>
      <c r="F204" s="38">
        <f t="shared" si="26"/>
        <v>43372</v>
      </c>
      <c r="G204" s="38">
        <f t="shared" si="26"/>
        <v>43738</v>
      </c>
      <c r="H204" s="38">
        <f t="shared" si="26"/>
        <v>44104</v>
      </c>
      <c r="I204" s="38">
        <f t="shared" si="26"/>
        <v>44469</v>
      </c>
      <c r="J204" s="38">
        <f t="shared" si="26"/>
        <v>44834</v>
      </c>
      <c r="K204" s="38">
        <f t="shared" si="26"/>
        <v>45199</v>
      </c>
    </row>
    <row r="205" spans="3:13" ht="15" customHeight="1">
      <c r="G205" s="35"/>
      <c r="H205" s="35"/>
      <c r="I205" s="35"/>
      <c r="J205" s="63"/>
      <c r="K205" s="63"/>
    </row>
    <row r="206" spans="3:13" ht="15" customHeight="1">
      <c r="C206" t="s">
        <v>24</v>
      </c>
      <c r="D206" s="61">
        <f t="shared" ref="D206:K206" si="27">D29</f>
        <v>45687</v>
      </c>
      <c r="E206" s="61">
        <f t="shared" si="27"/>
        <v>48351</v>
      </c>
      <c r="F206" s="61">
        <f t="shared" si="27"/>
        <v>59531</v>
      </c>
      <c r="G206" s="61">
        <f t="shared" ca="1" si="27"/>
        <v>52213.524654506109</v>
      </c>
      <c r="H206" s="61">
        <f t="shared" ca="1" si="27"/>
        <v>55418.999722469554</v>
      </c>
      <c r="I206" s="61">
        <f t="shared" ca="1" si="27"/>
        <v>57925.467169952928</v>
      </c>
      <c r="J206" s="61">
        <f t="shared" ca="1" si="27"/>
        <v>60650.294496590352</v>
      </c>
      <c r="K206" s="61">
        <f t="shared" ca="1" si="27"/>
        <v>63962.234746176655</v>
      </c>
      <c r="M206" t="s">
        <v>205</v>
      </c>
    </row>
    <row r="207" spans="3:13" ht="15" customHeight="1">
      <c r="C207" t="s">
        <v>206</v>
      </c>
      <c r="D207" s="26">
        <v>5470.82</v>
      </c>
      <c r="E207" s="26">
        <v>5217.2420000000002</v>
      </c>
      <c r="F207" s="26">
        <v>4955.3770000000004</v>
      </c>
      <c r="G207" s="61">
        <f ca="1">F207-(G213+G214)/G215</f>
        <v>4577.7690892979917</v>
      </c>
      <c r="H207" s="61">
        <f ca="1">G207-(H213+H214)/H215</f>
        <v>4250.617459330495</v>
      </c>
      <c r="I207" s="61">
        <f ca="1">H207-(I213+I214)/I215</f>
        <v>3967.2383826369164</v>
      </c>
      <c r="J207" s="61">
        <f ca="1">I207-(J213+J214)/J215</f>
        <v>3721.9367154432744</v>
      </c>
      <c r="K207" s="61">
        <f ca="1">J207-(K213+K214)/K215</f>
        <v>3509.7605693271717</v>
      </c>
      <c r="M207" t="s">
        <v>266</v>
      </c>
    </row>
    <row r="208" spans="3:13" ht="15" customHeight="1">
      <c r="C208" s="27" t="s">
        <v>208</v>
      </c>
      <c r="D208" s="149">
        <f t="shared" ref="D208:K208" si="28">D206/D207</f>
        <v>8.3510333003096431</v>
      </c>
      <c r="E208" s="149">
        <f t="shared" si="28"/>
        <v>9.2675402061088974</v>
      </c>
      <c r="F208" s="149">
        <f t="shared" si="28"/>
        <v>12.0134149228202</v>
      </c>
      <c r="G208" s="149">
        <f t="shared" ca="1" si="28"/>
        <v>11.405888684200351</v>
      </c>
      <c r="H208" s="149">
        <f t="shared" ca="1" si="28"/>
        <v>13.037870439462806</v>
      </c>
      <c r="I208" s="149">
        <f t="shared" ca="1" si="28"/>
        <v>14.600954513716776</v>
      </c>
      <c r="J208" s="149">
        <f t="shared" ca="1" si="28"/>
        <v>16.295358877257815</v>
      </c>
      <c r="K208" s="149">
        <f t="shared" ca="1" si="28"/>
        <v>18.224102038515507</v>
      </c>
      <c r="M208" t="s">
        <v>209</v>
      </c>
    </row>
    <row r="209" spans="3:13" ht="15" customHeight="1">
      <c r="D209" s="39"/>
      <c r="E209" s="39"/>
      <c r="F209" s="39"/>
      <c r="G209" s="42"/>
    </row>
    <row r="210" spans="3:13" ht="15" customHeight="1">
      <c r="C210" t="s">
        <v>210</v>
      </c>
      <c r="D210" s="26">
        <v>5500.2809999999999</v>
      </c>
      <c r="E210" s="26">
        <v>5251.692</v>
      </c>
      <c r="F210" s="26">
        <v>5000.1090000000004</v>
      </c>
      <c r="G210" s="61">
        <f ca="1">(F210-F207)+G207</f>
        <v>4622.5010892979917</v>
      </c>
      <c r="H210" s="61">
        <f ca="1">(G210-G207)+H207</f>
        <v>4295.3494593304949</v>
      </c>
      <c r="I210" s="61">
        <f ca="1">(H210-H207)+I207</f>
        <v>4011.9703826369164</v>
      </c>
      <c r="J210" s="61">
        <f ca="1">(I210-I207)+J207</f>
        <v>3766.6687154432743</v>
      </c>
      <c r="K210" s="61">
        <f ca="1">(J210-J207)+K207</f>
        <v>3554.4925693271716</v>
      </c>
      <c r="M210" t="s">
        <v>211</v>
      </c>
    </row>
    <row r="211" spans="3:13" ht="15" customHeight="1">
      <c r="C211" s="27" t="s">
        <v>212</v>
      </c>
      <c r="D211" s="149">
        <f t="shared" ref="D211:K211" si="29">D206/D210</f>
        <v>8.3063028961611227</v>
      </c>
      <c r="E211" s="149">
        <f t="shared" si="29"/>
        <v>9.2067470826545037</v>
      </c>
      <c r="F211" s="149">
        <f t="shared" si="29"/>
        <v>11.905940450498179</v>
      </c>
      <c r="G211" s="149">
        <f t="shared" ca="1" si="29"/>
        <v>11.295513758858984</v>
      </c>
      <c r="H211" s="149">
        <f t="shared" ca="1" si="29"/>
        <v>12.902093356359314</v>
      </c>
      <c r="I211" s="149">
        <f t="shared" ca="1" si="29"/>
        <v>14.438159219879562</v>
      </c>
      <c r="J211" s="149">
        <f t="shared" ca="1" si="29"/>
        <v>16.101839338279269</v>
      </c>
      <c r="K211" s="149">
        <f t="shared" ca="1" si="29"/>
        <v>17.99475832306608</v>
      </c>
      <c r="M211" t="s">
        <v>213</v>
      </c>
    </row>
    <row r="212" spans="3:13" ht="15" customHeight="1">
      <c r="G212" s="151"/>
    </row>
    <row r="213" spans="3:13" ht="15" customHeight="1">
      <c r="C213" t="s">
        <v>214</v>
      </c>
      <c r="G213" s="61">
        <f>-(G119)</f>
        <v>73056</v>
      </c>
      <c r="H213" s="61">
        <f>-(H119)</f>
        <v>73056</v>
      </c>
      <c r="I213" s="61">
        <f>-(I119)</f>
        <v>73056</v>
      </c>
      <c r="J213" s="61">
        <f>-(J119)</f>
        <v>73056</v>
      </c>
      <c r="K213" s="61">
        <f>-(K119)</f>
        <v>73056</v>
      </c>
      <c r="M213" t="s">
        <v>215</v>
      </c>
    </row>
    <row r="214" spans="3:13" ht="15" customHeight="1">
      <c r="C214" t="s">
        <v>216</v>
      </c>
      <c r="G214" s="61">
        <f ca="1">-(G33)</f>
        <v>-5086.5760736384345</v>
      </c>
      <c r="H214" s="61">
        <f ca="1">-(H33)</f>
        <v>-5335.6125967281014</v>
      </c>
      <c r="I214" s="61">
        <f ca="1">-(I33)</f>
        <v>-5597.6107930936605</v>
      </c>
      <c r="J214" s="61">
        <f ca="1">-(J33)</f>
        <v>-5902.8288432365589</v>
      </c>
      <c r="K214" s="61">
        <f ca="1">-(K33)</f>
        <v>-6258.4669815641573</v>
      </c>
      <c r="M214" t="s">
        <v>217</v>
      </c>
    </row>
    <row r="215" spans="3:13" ht="15" customHeight="1">
      <c r="C215" t="s">
        <v>218</v>
      </c>
      <c r="G215" s="152">
        <v>180</v>
      </c>
      <c r="H215" s="157">
        <f>G215*(1+H216)</f>
        <v>206.99999999999997</v>
      </c>
      <c r="I215" s="157">
        <f>H215*(1+I216)</f>
        <v>238.04999999999995</v>
      </c>
      <c r="J215" s="157">
        <f>I215*(1+J216)</f>
        <v>273.75749999999994</v>
      </c>
      <c r="K215" s="157">
        <f>J215*(1+K216)</f>
        <v>314.82112499999988</v>
      </c>
      <c r="M215" t="s">
        <v>219</v>
      </c>
    </row>
    <row r="216" spans="3:13" ht="15" customHeight="1">
      <c r="C216" t="s">
        <v>220</v>
      </c>
      <c r="H216" s="116">
        <v>0.15</v>
      </c>
      <c r="I216" s="116">
        <v>0.15</v>
      </c>
      <c r="J216" s="116">
        <v>0.15</v>
      </c>
      <c r="K216" s="116">
        <v>0.15</v>
      </c>
      <c r="M216" t="s">
        <v>150</v>
      </c>
    </row>
  </sheetData>
  <mergeCells count="2">
    <mergeCell ref="G96:K96"/>
    <mergeCell ref="E162:I162"/>
  </mergeCells>
  <conditionalFormatting sqref="C40">
    <cfRule type="expression" dxfId="12" priority="4">
      <formula>#REF!=$C40</formula>
    </cfRule>
  </conditionalFormatting>
  <conditionalFormatting sqref="C179">
    <cfRule type="expression" dxfId="11" priority="2">
      <formula>#REF!=$C179</formula>
    </cfRule>
  </conditionalFormatting>
  <conditionalFormatting sqref="C197">
    <cfRule type="expression" dxfId="10" priority="3">
      <formula>#REF!=$C197</formula>
    </cfRule>
  </conditionalFormatting>
  <dataValidations count="3">
    <dataValidation type="list" allowBlank="1" showInputMessage="1" showErrorMessage="1" sqref="D7" xr:uid="{00000000-0002-0000-0E00-000000000000}">
      <formula1>"0,1"</formula1>
      <formula2>0</formula2>
    </dataValidation>
    <dataValidation type="list" allowBlank="1" showInputMessage="1" showErrorMessage="1" sqref="D12" xr:uid="{00000000-0002-0000-0E00-000001000000}">
      <formula1>$C$182:$C$184</formula1>
      <formula2>0</formula2>
    </dataValidation>
    <dataValidation type="list" allowBlank="1" showInputMessage="1" showErrorMessage="1" sqref="C3" xr:uid="{00000000-0002-0000-0E00-000002000000}">
      <formula1>"$ bns except per share,$ mm except per share,$ in thousands except per share"</formula1>
      <formula2>0</formula2>
    </dataValidation>
  </dataValidations>
  <pageMargins left="0.7" right="0.7" top="0.75" bottom="0.75" header="0.511811023622047" footer="0.511811023622047"/>
  <pageSetup orientation="portrait" horizontalDpi="300" verticalDpi="300"/>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C1:AI282"/>
  <sheetViews>
    <sheetView topLeftCell="A148" zoomScaleNormal="100" workbookViewId="0">
      <selection activeCell="J193" sqref="J193"/>
    </sheetView>
  </sheetViews>
  <sheetFormatPr baseColWidth="10" defaultColWidth="8.83203125" defaultRowHeight="15"/>
  <cols>
    <col min="1" max="2" width="1.6640625" customWidth="1"/>
    <col min="3" max="3" width="58.33203125" customWidth="1"/>
    <col min="4" max="4" width="13.33203125" customWidth="1"/>
    <col min="5" max="11" width="11.5" customWidth="1"/>
    <col min="12" max="12" width="2.33203125" customWidth="1"/>
    <col min="13" max="13" width="11.5" customWidth="1"/>
    <col min="14" max="14" width="2.33203125" customWidth="1"/>
    <col min="15" max="15" width="11.5" customWidth="1"/>
    <col min="16" max="16" width="11.83203125" customWidth="1"/>
    <col min="17" max="19" width="10.33203125" customWidth="1"/>
    <col min="20" max="21" width="9.5" customWidth="1"/>
  </cols>
  <sheetData>
    <row r="1" spans="3:35" ht="15.75" customHeight="1"/>
    <row r="2" spans="3:35" ht="15.75" customHeight="1">
      <c r="C2" s="4" t="str">
        <f>"Financial Statement Model for "&amp;D5</f>
        <v>Financial Statement Model for Apple</v>
      </c>
      <c r="D2" s="5"/>
      <c r="E2" s="5"/>
      <c r="F2" s="5"/>
      <c r="G2" s="5"/>
      <c r="H2" s="5"/>
      <c r="I2" s="5"/>
      <c r="J2" s="5"/>
      <c r="K2" s="5"/>
    </row>
    <row r="3" spans="3:35" ht="15" customHeight="1">
      <c r="C3" s="6" t="s">
        <v>0</v>
      </c>
      <c r="D3" s="7"/>
      <c r="E3" s="7"/>
      <c r="F3" s="7"/>
      <c r="G3" s="7"/>
      <c r="H3" s="7"/>
    </row>
    <row r="5" spans="3:35" ht="15" customHeight="1">
      <c r="C5" s="8" t="s">
        <v>1</v>
      </c>
      <c r="D5" s="9" t="s">
        <v>2</v>
      </c>
    </row>
    <row r="6" spans="3:35" ht="15" customHeight="1">
      <c r="C6" s="8" t="s">
        <v>3</v>
      </c>
      <c r="D6" s="9" t="s">
        <v>4</v>
      </c>
    </row>
    <row r="7" spans="3:35" ht="15" customHeight="1">
      <c r="C7" t="s">
        <v>5</v>
      </c>
      <c r="D7" s="10">
        <v>1</v>
      </c>
    </row>
    <row r="8" spans="3:35" ht="15" customHeight="1">
      <c r="C8" t="s">
        <v>6</v>
      </c>
      <c r="D8" s="11">
        <v>171.25</v>
      </c>
    </row>
    <row r="9" spans="3:35" ht="15" customHeight="1">
      <c r="C9" t="s">
        <v>7</v>
      </c>
      <c r="D9" s="12">
        <v>43500</v>
      </c>
    </row>
    <row r="10" spans="3:35" ht="15" customHeight="1">
      <c r="C10" s="8" t="s">
        <v>8</v>
      </c>
      <c r="D10" s="13">
        <v>43372</v>
      </c>
    </row>
    <row r="11" spans="3:35" ht="15" customHeight="1">
      <c r="C11" t="s">
        <v>9</v>
      </c>
      <c r="D11" s="54">
        <v>4745.3980000000001</v>
      </c>
    </row>
    <row r="12" spans="3:35" ht="15" customHeight="1">
      <c r="C12" t="s">
        <v>188</v>
      </c>
      <c r="D12" s="10" t="s">
        <v>189</v>
      </c>
    </row>
    <row r="13" spans="3:35" ht="15" customHeight="1">
      <c r="C13" s="27"/>
      <c r="D13" s="27"/>
      <c r="AI13" s="245" t="e">
        <f>(AG13/AB13)^(1/5)-1</f>
        <v>#DIV/0!</v>
      </c>
    </row>
    <row r="14" spans="3:35" ht="15" customHeight="1">
      <c r="C14" s="16" t="s">
        <v>10</v>
      </c>
      <c r="D14" s="17"/>
      <c r="E14" s="17"/>
      <c r="F14" s="17"/>
      <c r="G14" s="17"/>
      <c r="H14" s="17"/>
      <c r="I14" s="17"/>
      <c r="J14" s="17"/>
      <c r="K14" s="17"/>
      <c r="M14" s="17"/>
    </row>
    <row r="15" spans="3:35" ht="15" customHeight="1">
      <c r="C15" t="s">
        <v>11</v>
      </c>
      <c r="D15" s="18">
        <f>E15-1</f>
        <v>2016</v>
      </c>
      <c r="E15" s="18">
        <f>F15-1</f>
        <v>2017</v>
      </c>
      <c r="F15" s="18">
        <f>YEAR(D10)</f>
        <v>2018</v>
      </c>
      <c r="G15" s="55">
        <f>F15+1</f>
        <v>2019</v>
      </c>
      <c r="H15" s="55">
        <f>G15+1</f>
        <v>2020</v>
      </c>
      <c r="I15" s="55">
        <f>H15+1</f>
        <v>2021</v>
      </c>
      <c r="J15" s="55">
        <f>I15+1</f>
        <v>2022</v>
      </c>
      <c r="K15" s="55">
        <f>J15+1</f>
        <v>2023</v>
      </c>
      <c r="M15" s="246" t="s">
        <v>267</v>
      </c>
    </row>
    <row r="16" spans="3:35" ht="15" customHeight="1">
      <c r="C16" s="19" t="s">
        <v>12</v>
      </c>
      <c r="D16" s="20">
        <f>EOMONTH(E16,-12)</f>
        <v>42643</v>
      </c>
      <c r="E16" s="20">
        <f>EOMONTH(F16,-12)</f>
        <v>43008</v>
      </c>
      <c r="F16" s="20">
        <f>D10</f>
        <v>43372</v>
      </c>
      <c r="G16" s="20">
        <f>EOMONTH(F16,12)</f>
        <v>43738</v>
      </c>
      <c r="H16" s="20">
        <f>EOMONTH(G16,12)</f>
        <v>44104</v>
      </c>
      <c r="I16" s="20">
        <f>EOMONTH(H16,12)</f>
        <v>44469</v>
      </c>
      <c r="J16" s="20">
        <f>EOMONTH(I16,12)</f>
        <v>44834</v>
      </c>
      <c r="K16" s="20">
        <f>EOMONTH(J16,12)</f>
        <v>45199</v>
      </c>
      <c r="M16" s="247" t="s">
        <v>268</v>
      </c>
      <c r="O16" s="16" t="s">
        <v>66</v>
      </c>
      <c r="P16" s="17"/>
      <c r="Q16" s="17"/>
      <c r="R16" s="17"/>
      <c r="S16" s="17"/>
      <c r="T16" s="17"/>
      <c r="U16" s="17"/>
    </row>
    <row r="17" spans="3:16" ht="15" customHeight="1">
      <c r="C17" s="23"/>
      <c r="D17" s="24"/>
      <c r="E17" s="25"/>
      <c r="F17" s="25"/>
      <c r="G17" s="56"/>
      <c r="H17" s="57"/>
      <c r="I17" s="57"/>
      <c r="J17" s="25"/>
      <c r="K17" s="25"/>
      <c r="M17" s="248"/>
    </row>
    <row r="18" spans="3:16" ht="15" customHeight="1">
      <c r="C18" t="s">
        <v>13</v>
      </c>
      <c r="D18" s="39">
        <v>215639</v>
      </c>
      <c r="E18" s="39">
        <v>229234</v>
      </c>
      <c r="F18" s="39">
        <v>265595</v>
      </c>
      <c r="G18" s="44">
        <f ca="1">F18*(1+G37)</f>
        <v>252990.4817</v>
      </c>
      <c r="H18" s="44">
        <f ca="1">G18*(1+H37)</f>
        <v>265376.78419999999</v>
      </c>
      <c r="I18" s="44">
        <f ca="1">H18*(1+I37)</f>
        <v>278407.76003590086</v>
      </c>
      <c r="J18" s="44">
        <f ca="1">I18*(1+J37)</f>
        <v>293588.357044834</v>
      </c>
      <c r="K18" s="44">
        <f ca="1">J18*(1+K37)</f>
        <v>311276.6925034704</v>
      </c>
      <c r="M18" s="249"/>
      <c r="O18" t="s">
        <v>67</v>
      </c>
    </row>
    <row r="19" spans="3:16" ht="15" customHeight="1">
      <c r="C19" t="s">
        <v>14</v>
      </c>
      <c r="D19" s="39">
        <v>-131376</v>
      </c>
      <c r="E19" s="39">
        <v>-141048</v>
      </c>
      <c r="F19" s="39">
        <v>-163756</v>
      </c>
      <c r="G19" s="44">
        <f ca="1">G20-G18</f>
        <v>-157360.07961740001</v>
      </c>
      <c r="H19" s="44">
        <f ca="1">H20-H18</f>
        <v>-164268.22941979999</v>
      </c>
      <c r="I19" s="44">
        <f ca="1">I20-I18</f>
        <v>-172055.99570218672</v>
      </c>
      <c r="J19" s="44">
        <f ca="1">J20-J18</f>
        <v>-181437.60465370741</v>
      </c>
      <c r="K19" s="44">
        <f ca="1">K20-K18</f>
        <v>-192368.99596714473</v>
      </c>
      <c r="M19" s="250"/>
      <c r="O19" t="s">
        <v>68</v>
      </c>
    </row>
    <row r="20" spans="3:16" ht="15" customHeight="1">
      <c r="C20" s="27" t="s">
        <v>15</v>
      </c>
      <c r="D20" s="41">
        <f>SUM(D18:D19)</f>
        <v>84263</v>
      </c>
      <c r="E20" s="41">
        <f>SUM(E18:E19)</f>
        <v>88186</v>
      </c>
      <c r="F20" s="41">
        <f>SUM(F18:F19)</f>
        <v>101839</v>
      </c>
      <c r="G20" s="41">
        <f ca="1">G18*G38</f>
        <v>95630.402082600005</v>
      </c>
      <c r="H20" s="41">
        <f ca="1">H18*H38</f>
        <v>101108.55478019999</v>
      </c>
      <c r="I20" s="41">
        <f ca="1">I18*I38</f>
        <v>106351.76433371413</v>
      </c>
      <c r="J20" s="41">
        <f ca="1">J18*J38</f>
        <v>112150.75239112659</v>
      </c>
      <c r="K20" s="41">
        <f ca="1">K18*K38</f>
        <v>118907.69653632569</v>
      </c>
      <c r="M20" s="251"/>
      <c r="O20" t="s">
        <v>69</v>
      </c>
    </row>
    <row r="21" spans="3:16" ht="15" customHeight="1">
      <c r="C21" t="s">
        <v>16</v>
      </c>
      <c r="D21" s="39">
        <v>-10045</v>
      </c>
      <c r="E21" s="39">
        <v>-11581</v>
      </c>
      <c r="F21" s="39">
        <v>-14236</v>
      </c>
      <c r="G21" s="44">
        <f ca="1">-G39*G18</f>
        <v>-15685.409865400001</v>
      </c>
      <c r="H21" s="44">
        <f ca="1">-H39*H18</f>
        <v>-16718.7374046</v>
      </c>
      <c r="I21" s="44">
        <f ca="1">-I39*I18</f>
        <v>-17539.688882261755</v>
      </c>
      <c r="J21" s="44">
        <f ca="1">-J39*J18</f>
        <v>-18496.066493824543</v>
      </c>
      <c r="K21" s="44">
        <f ca="1">-K39*K18</f>
        <v>-19610.431627718637</v>
      </c>
      <c r="M21" s="250"/>
      <c r="O21" t="s">
        <v>70</v>
      </c>
    </row>
    <row r="22" spans="3:16" ht="15" customHeight="1">
      <c r="C22" t="s">
        <v>17</v>
      </c>
      <c r="D22" s="39">
        <v>-14194</v>
      </c>
      <c r="E22" s="39">
        <v>-15261</v>
      </c>
      <c r="F22" s="39">
        <v>-16705</v>
      </c>
      <c r="G22" s="44">
        <f ca="1">-G18*G40</f>
        <v>-18721.295645800001</v>
      </c>
      <c r="H22" s="44">
        <f ca="1">-H18*H40</f>
        <v>-18310.998109800003</v>
      </c>
      <c r="I22" s="44">
        <f ca="1">-I18*I40</f>
        <v>-19210.13544247716</v>
      </c>
      <c r="J22" s="44">
        <f ca="1">-J18*J40</f>
        <v>-20257.596636093549</v>
      </c>
      <c r="K22" s="44">
        <f ca="1">-K18*K40</f>
        <v>-21478.091782739459</v>
      </c>
      <c r="M22" s="250"/>
      <c r="O22" t="s">
        <v>71</v>
      </c>
    </row>
    <row r="23" spans="3:16" ht="15" customHeight="1">
      <c r="C23" s="27" t="s">
        <v>18</v>
      </c>
      <c r="D23" s="41">
        <f t="shared" ref="D23:K23" si="0">D20+D21+D22</f>
        <v>60024</v>
      </c>
      <c r="E23" s="41">
        <f t="shared" si="0"/>
        <v>61344</v>
      </c>
      <c r="F23" s="41">
        <f t="shared" si="0"/>
        <v>70898</v>
      </c>
      <c r="G23" s="41">
        <f t="shared" ca="1" si="0"/>
        <v>61223.696571400011</v>
      </c>
      <c r="H23" s="41">
        <f t="shared" ca="1" si="0"/>
        <v>66078.81926579999</v>
      </c>
      <c r="I23" s="41">
        <f t="shared" ca="1" si="0"/>
        <v>69601.940008975216</v>
      </c>
      <c r="J23" s="41">
        <f t="shared" ca="1" si="0"/>
        <v>73397.089261208486</v>
      </c>
      <c r="K23" s="41">
        <f t="shared" ca="1" si="0"/>
        <v>77819.173125867601</v>
      </c>
      <c r="M23" s="249"/>
      <c r="O23" s="27" t="s">
        <v>72</v>
      </c>
    </row>
    <row r="24" spans="3:16" ht="15" customHeight="1">
      <c r="C24" t="s">
        <v>19</v>
      </c>
      <c r="D24" s="39">
        <v>3999</v>
      </c>
      <c r="E24" s="39">
        <v>5201</v>
      </c>
      <c r="F24" s="39">
        <v>5686</v>
      </c>
      <c r="G24" s="42">
        <f>G223</f>
        <v>5121.3600000000006</v>
      </c>
      <c r="H24" s="42">
        <f ca="1">H223</f>
        <v>4745.0317027869223</v>
      </c>
      <c r="I24" s="42">
        <f ca="1">I223</f>
        <v>3992.8499956424594</v>
      </c>
      <c r="J24" s="42">
        <f ca="1">J223</f>
        <v>3289.9871284782475</v>
      </c>
      <c r="K24" s="42">
        <f ca="1">K223</f>
        <v>2636.7898903485693</v>
      </c>
      <c r="M24" s="252"/>
      <c r="O24" t="s">
        <v>73</v>
      </c>
    </row>
    <row r="25" spans="3:16" ht="15" customHeight="1">
      <c r="C25" t="s">
        <v>20</v>
      </c>
      <c r="D25" s="39">
        <v>-1456</v>
      </c>
      <c r="E25" s="39">
        <v>-2323</v>
      </c>
      <c r="F25" s="39">
        <v>-3240</v>
      </c>
      <c r="G25" s="42">
        <f>-G209</f>
        <v>-3222.7544651501776</v>
      </c>
      <c r="H25" s="42">
        <f ca="1">-H209</f>
        <v>-3223.5392651501775</v>
      </c>
      <c r="I25" s="42">
        <f ca="1">-I209</f>
        <v>-3223.5392651501775</v>
      </c>
      <c r="J25" s="42">
        <f ca="1">-J209</f>
        <v>-3223.5392651501775</v>
      </c>
      <c r="K25" s="42">
        <f ca="1">-K209</f>
        <v>-3223.5392651501775</v>
      </c>
      <c r="M25" s="252"/>
      <c r="O25" t="s">
        <v>74</v>
      </c>
    </row>
    <row r="26" spans="3:16" ht="15" customHeight="1">
      <c r="C26" t="s">
        <v>21</v>
      </c>
      <c r="D26" s="39">
        <v>-1195</v>
      </c>
      <c r="E26" s="39">
        <v>-133</v>
      </c>
      <c r="F26" s="39">
        <v>-441</v>
      </c>
      <c r="G26" s="42">
        <f>F26</f>
        <v>-441</v>
      </c>
      <c r="H26" s="42">
        <f>G26</f>
        <v>-441</v>
      </c>
      <c r="I26" s="42">
        <f>H26</f>
        <v>-441</v>
      </c>
      <c r="J26" s="42">
        <f>I26</f>
        <v>-441</v>
      </c>
      <c r="K26" s="42">
        <f>J26</f>
        <v>-441</v>
      </c>
      <c r="M26" s="252"/>
      <c r="O26" t="s">
        <v>75</v>
      </c>
    </row>
    <row r="27" spans="3:16" ht="15" customHeight="1">
      <c r="C27" s="27" t="s">
        <v>22</v>
      </c>
      <c r="D27" s="41">
        <f t="shared" ref="D27:K27" si="1">SUM(D23:D26)</f>
        <v>61372</v>
      </c>
      <c r="E27" s="41">
        <f t="shared" si="1"/>
        <v>64089</v>
      </c>
      <c r="F27" s="41">
        <f t="shared" si="1"/>
        <v>72903</v>
      </c>
      <c r="G27" s="41">
        <f t="shared" ca="1" si="1"/>
        <v>62681.30210624983</v>
      </c>
      <c r="H27" s="41">
        <f t="shared" ca="1" si="1"/>
        <v>67159.311703436731</v>
      </c>
      <c r="I27" s="41">
        <f t="shared" ca="1" si="1"/>
        <v>69930.250739467505</v>
      </c>
      <c r="J27" s="41">
        <f t="shared" ca="1" si="1"/>
        <v>73022.537124536553</v>
      </c>
      <c r="K27" s="41">
        <f t="shared" ca="1" si="1"/>
        <v>76791.423751066002</v>
      </c>
      <c r="M27" s="251"/>
      <c r="O27" s="27" t="s">
        <v>76</v>
      </c>
      <c r="P27" s="27"/>
    </row>
    <row r="28" spans="3:16" ht="15" customHeight="1">
      <c r="C28" t="s">
        <v>23</v>
      </c>
      <c r="D28" s="39">
        <v>-15685</v>
      </c>
      <c r="E28" s="39">
        <v>-15738</v>
      </c>
      <c r="F28" s="39">
        <v>-13372</v>
      </c>
      <c r="G28" s="44">
        <f ca="1">-G41*G27</f>
        <v>-10467.777451743723</v>
      </c>
      <c r="H28" s="44">
        <f ca="1">-H41*H27</f>
        <v>-11417.082989584245</v>
      </c>
      <c r="I28" s="44">
        <f ca="1">-I41*I27</f>
        <v>-11818.212374970009</v>
      </c>
      <c r="J28" s="44">
        <f ca="1">-J41*J27</f>
        <v>-12340.808774046678</v>
      </c>
      <c r="K28" s="44">
        <f ca="1">-K41*K27</f>
        <v>-12977.750613930155</v>
      </c>
      <c r="M28" s="250"/>
      <c r="O28" t="s">
        <v>77</v>
      </c>
    </row>
    <row r="29" spans="3:16" ht="15" customHeight="1">
      <c r="C29" s="27" t="s">
        <v>24</v>
      </c>
      <c r="D29" s="41">
        <f t="shared" ref="D29:K29" si="2">SUM(D27:D28)</f>
        <v>45687</v>
      </c>
      <c r="E29" s="41">
        <f t="shared" si="2"/>
        <v>48351</v>
      </c>
      <c r="F29" s="41">
        <f t="shared" si="2"/>
        <v>59531</v>
      </c>
      <c r="G29" s="41">
        <f t="shared" ca="1" si="2"/>
        <v>52213.524654506109</v>
      </c>
      <c r="H29" s="41">
        <f t="shared" ca="1" si="2"/>
        <v>55742.228713852484</v>
      </c>
      <c r="I29" s="41">
        <f t="shared" ca="1" si="2"/>
        <v>58112.038364497494</v>
      </c>
      <c r="J29" s="41">
        <f t="shared" ca="1" si="2"/>
        <v>60681.728350489873</v>
      </c>
      <c r="K29" s="41">
        <f t="shared" ca="1" si="2"/>
        <v>63813.673137135847</v>
      </c>
      <c r="M29" s="249"/>
      <c r="O29" s="27" t="s">
        <v>78</v>
      </c>
    </row>
    <row r="30" spans="3:16" ht="15" customHeight="1">
      <c r="C30" s="29"/>
      <c r="D30" s="42"/>
      <c r="E30" s="42"/>
      <c r="F30" s="42"/>
      <c r="G30" s="42"/>
      <c r="H30" s="42"/>
      <c r="I30" s="42"/>
      <c r="J30" s="42"/>
      <c r="K30" s="42"/>
      <c r="M30" s="252"/>
    </row>
    <row r="31" spans="3:16" ht="15" customHeight="1">
      <c r="C31" s="30" t="s">
        <v>25</v>
      </c>
      <c r="D31" s="39">
        <v>10505</v>
      </c>
      <c r="E31" s="39">
        <v>10157</v>
      </c>
      <c r="F31" s="39">
        <v>10903</v>
      </c>
      <c r="G31" s="42">
        <f ca="1">G171</f>
        <v>1526.9253644274177</v>
      </c>
      <c r="H31" s="42">
        <f ca="1">H171</f>
        <v>1601.6829574073306</v>
      </c>
      <c r="I31" s="42">
        <f ca="1">I171</f>
        <v>1680.3314796496511</v>
      </c>
      <c r="J31" s="42">
        <f ca="1">J171</f>
        <v>1771.9540516307495</v>
      </c>
      <c r="K31" s="42">
        <f ca="1">K171</f>
        <v>1878.7120920313373</v>
      </c>
      <c r="M31" s="252"/>
      <c r="O31" t="s">
        <v>79</v>
      </c>
    </row>
    <row r="32" spans="3:16" ht="14.25" customHeight="1">
      <c r="C32" s="31" t="s">
        <v>26</v>
      </c>
      <c r="D32" s="41">
        <f t="shared" ref="D32:K32" si="3">D23+D31</f>
        <v>70529</v>
      </c>
      <c r="E32" s="41">
        <f t="shared" si="3"/>
        <v>71501</v>
      </c>
      <c r="F32" s="41">
        <f t="shared" si="3"/>
        <v>81801</v>
      </c>
      <c r="G32" s="41">
        <f t="shared" ca="1" si="3"/>
        <v>62750.621935827425</v>
      </c>
      <c r="H32" s="41">
        <f t="shared" ca="1" si="3"/>
        <v>67680.502223207324</v>
      </c>
      <c r="I32" s="41">
        <f t="shared" ca="1" si="3"/>
        <v>71282.271488624872</v>
      </c>
      <c r="J32" s="41">
        <f t="shared" ca="1" si="3"/>
        <v>75169.043312839232</v>
      </c>
      <c r="K32" s="41">
        <f t="shared" ca="1" si="3"/>
        <v>79697.885217898933</v>
      </c>
      <c r="M32" s="249"/>
      <c r="O32" s="27" t="s">
        <v>80</v>
      </c>
    </row>
    <row r="33" spans="3:22" ht="15" customHeight="1">
      <c r="C33" s="30" t="s">
        <v>27</v>
      </c>
      <c r="D33" s="39">
        <v>4210</v>
      </c>
      <c r="E33" s="39">
        <v>4840</v>
      </c>
      <c r="F33" s="39">
        <v>5340</v>
      </c>
      <c r="G33" s="42">
        <f ca="1">F33*(1+G37)</f>
        <v>5086.5760736384345</v>
      </c>
      <c r="H33" s="42">
        <f ca="1">G33*(1+H37)</f>
        <v>5335.6125967281014</v>
      </c>
      <c r="I33" s="42">
        <f ca="1">H33*(1+I37)</f>
        <v>5597.6107930936605</v>
      </c>
      <c r="J33" s="42">
        <f ca="1">I33*(1+J37)</f>
        <v>5902.8288432365589</v>
      </c>
      <c r="K33" s="42">
        <f ca="1">J33*(1+K37)</f>
        <v>6258.4669815641573</v>
      </c>
      <c r="M33" s="42"/>
      <c r="O33" t="s">
        <v>81</v>
      </c>
    </row>
    <row r="34" spans="3:22" ht="15" customHeight="1">
      <c r="C34" s="31" t="s">
        <v>28</v>
      </c>
      <c r="D34" s="41">
        <f t="shared" ref="D34:K34" si="4">SUM(D32:D33)</f>
        <v>74739</v>
      </c>
      <c r="E34" s="41">
        <f t="shared" si="4"/>
        <v>76341</v>
      </c>
      <c r="F34" s="41">
        <f t="shared" si="4"/>
        <v>87141</v>
      </c>
      <c r="G34" s="41">
        <f t="shared" ca="1" si="4"/>
        <v>67837.198009465865</v>
      </c>
      <c r="H34" s="41">
        <f t="shared" ca="1" si="4"/>
        <v>73016.114819935421</v>
      </c>
      <c r="I34" s="41">
        <f t="shared" ca="1" si="4"/>
        <v>76879.882281718528</v>
      </c>
      <c r="J34" s="41">
        <f t="shared" ca="1" si="4"/>
        <v>81071.872156075784</v>
      </c>
      <c r="K34" s="41">
        <f t="shared" ca="1" si="4"/>
        <v>85956.352199463086</v>
      </c>
      <c r="M34" s="41"/>
      <c r="O34" s="27" t="s">
        <v>82</v>
      </c>
    </row>
    <row r="35" spans="3:22" ht="15" customHeight="1">
      <c r="C35" s="29"/>
      <c r="G35" s="62"/>
    </row>
    <row r="36" spans="3:22" ht="15" customHeight="1">
      <c r="C36" s="32" t="s">
        <v>83</v>
      </c>
    </row>
    <row r="37" spans="3:22" ht="15" customHeight="1">
      <c r="C37" s="29" t="s">
        <v>30</v>
      </c>
      <c r="D37" s="63"/>
      <c r="E37" s="63">
        <f>E18/D18-1</f>
        <v>6.304518199398057E-2</v>
      </c>
      <c r="F37" s="63">
        <f>F18/E18-1</f>
        <v>0.15861957650261305</v>
      </c>
      <c r="G37" s="253">
        <f ca="1">'Rev Build'!G14</f>
        <v>-4.7457664112652731E-2</v>
      </c>
      <c r="H37" s="253">
        <f ca="1">'Rev Build'!H14</f>
        <v>4.8959559335073566E-2</v>
      </c>
      <c r="I37" s="253">
        <f ca="1">'Rev Build'!I14</f>
        <v>4.9103676778599281E-2</v>
      </c>
      <c r="J37" s="253">
        <f ca="1">'Rev Build'!J14</f>
        <v>5.452648664310078E-2</v>
      </c>
      <c r="K37" s="253">
        <f ca="1">'Rev Build'!K14</f>
        <v>6.0248763393349503E-2</v>
      </c>
      <c r="M37" s="253"/>
      <c r="O37" t="s">
        <v>261</v>
      </c>
      <c r="Q37" s="35"/>
      <c r="R37" s="35"/>
      <c r="S37" s="35"/>
      <c r="T37" s="35"/>
      <c r="U37" s="35"/>
      <c r="V37" s="35"/>
    </row>
    <row r="38" spans="3:22" ht="15" customHeight="1">
      <c r="C38" s="29" t="s">
        <v>31</v>
      </c>
      <c r="D38" s="63">
        <f>D20/D18</f>
        <v>0.39075955648097049</v>
      </c>
      <c r="E38" s="63">
        <f>E20/E18</f>
        <v>0.38469860491899105</v>
      </c>
      <c r="F38" s="63">
        <f>F20/F18</f>
        <v>0.38343718820007905</v>
      </c>
      <c r="G38" s="63">
        <f t="shared" ref="G38:K40" ca="1" si="5">G243</f>
        <v>0.378</v>
      </c>
      <c r="H38" s="63">
        <f t="shared" ca="1" si="5"/>
        <v>0.38100000000000001</v>
      </c>
      <c r="I38" s="63">
        <f t="shared" ca="1" si="5"/>
        <v>0.38200000000000001</v>
      </c>
      <c r="J38" s="63">
        <f t="shared" ca="1" si="5"/>
        <v>0.38200000000000001</v>
      </c>
      <c r="K38" s="63">
        <f t="shared" ca="1" si="5"/>
        <v>0.38200000000000001</v>
      </c>
      <c r="M38" s="63"/>
      <c r="O38" t="s">
        <v>190</v>
      </c>
      <c r="Q38" s="35"/>
      <c r="R38" s="35"/>
      <c r="S38" s="35"/>
      <c r="T38" s="35"/>
      <c r="U38" s="35"/>
      <c r="V38" s="35"/>
    </row>
    <row r="39" spans="3:22" ht="15" customHeight="1">
      <c r="C39" s="29" t="s">
        <v>32</v>
      </c>
      <c r="D39" s="63">
        <f>-D21/D18</f>
        <v>4.6582482760539605E-2</v>
      </c>
      <c r="E39" s="63">
        <f>-E21/E18</f>
        <v>5.0520428906706681E-2</v>
      </c>
      <c r="F39" s="63">
        <f>-F21/F18</f>
        <v>5.3600406634161032E-2</v>
      </c>
      <c r="G39" s="63">
        <f t="shared" ca="1" si="5"/>
        <v>6.2E-2</v>
      </c>
      <c r="H39" s="63">
        <f t="shared" ca="1" si="5"/>
        <v>6.3E-2</v>
      </c>
      <c r="I39" s="63">
        <f t="shared" ca="1" si="5"/>
        <v>6.3E-2</v>
      </c>
      <c r="J39" s="63">
        <f t="shared" ca="1" si="5"/>
        <v>6.3E-2</v>
      </c>
      <c r="K39" s="63">
        <f t="shared" ca="1" si="5"/>
        <v>6.3E-2</v>
      </c>
      <c r="M39" s="63"/>
      <c r="O39" t="s">
        <v>190</v>
      </c>
      <c r="Q39" s="35"/>
      <c r="R39" s="35"/>
      <c r="S39" s="35"/>
      <c r="T39" s="35"/>
      <c r="U39" s="35"/>
      <c r="V39" s="35"/>
    </row>
    <row r="40" spans="3:22" ht="15" customHeight="1">
      <c r="C40" s="29" t="s">
        <v>33</v>
      </c>
      <c r="D40" s="63">
        <f>-D22/D18</f>
        <v>6.5822972653369755E-2</v>
      </c>
      <c r="E40" s="63">
        <f>-E22/E18</f>
        <v>6.6573893924984945E-2</v>
      </c>
      <c r="F40" s="63">
        <f>-F22/F18</f>
        <v>6.2896515371147807E-2</v>
      </c>
      <c r="G40" s="63">
        <f t="shared" ca="1" si="5"/>
        <v>7.3999999999999996E-2</v>
      </c>
      <c r="H40" s="63">
        <f t="shared" ca="1" si="5"/>
        <v>6.9000000000000006E-2</v>
      </c>
      <c r="I40" s="63">
        <f t="shared" ca="1" si="5"/>
        <v>6.9000000000000006E-2</v>
      </c>
      <c r="J40" s="63">
        <f t="shared" ca="1" si="5"/>
        <v>6.9000000000000006E-2</v>
      </c>
      <c r="K40" s="63">
        <f t="shared" ca="1" si="5"/>
        <v>6.9000000000000006E-2</v>
      </c>
      <c r="M40" s="63"/>
      <c r="O40" t="s">
        <v>190</v>
      </c>
      <c r="Q40" s="35"/>
      <c r="R40" s="35"/>
      <c r="S40" s="35"/>
      <c r="T40" s="35"/>
      <c r="U40" s="35"/>
      <c r="V40" s="35"/>
    </row>
    <row r="41" spans="3:22" ht="15" customHeight="1">
      <c r="C41" s="29" t="s">
        <v>34</v>
      </c>
      <c r="D41" s="63">
        <f>-(D28/D27)</f>
        <v>0.25557257381216192</v>
      </c>
      <c r="E41" s="63">
        <f>-(E28/E27)</f>
        <v>0.24556476150353415</v>
      </c>
      <c r="F41" s="63">
        <f>-(F28/F27)</f>
        <v>0.18342180705869443</v>
      </c>
      <c r="G41" s="35">
        <v>0.16700000000000001</v>
      </c>
      <c r="H41" s="35">
        <v>0.17</v>
      </c>
      <c r="I41" s="35">
        <v>0.16900000000000001</v>
      </c>
      <c r="J41" s="63">
        <f>I41</f>
        <v>0.16900000000000001</v>
      </c>
      <c r="K41" s="63">
        <f>J41</f>
        <v>0.16900000000000001</v>
      </c>
      <c r="M41" s="63"/>
      <c r="O41" t="s">
        <v>86</v>
      </c>
      <c r="Q41" s="35"/>
      <c r="R41" s="35"/>
      <c r="S41" s="35"/>
      <c r="T41" s="35"/>
      <c r="U41" s="35"/>
      <c r="V41" s="35"/>
    </row>
    <row r="42" spans="3:22" ht="15" customHeight="1">
      <c r="C42" s="29"/>
      <c r="G42" s="62"/>
    </row>
    <row r="43" spans="3:22" ht="15" customHeight="1">
      <c r="C43" s="16" t="s">
        <v>35</v>
      </c>
      <c r="D43" s="20"/>
      <c r="E43" s="20"/>
      <c r="F43" s="20"/>
      <c r="G43" s="17"/>
      <c r="H43" s="17"/>
      <c r="I43" s="17"/>
      <c r="J43" s="17"/>
      <c r="K43" s="17"/>
    </row>
    <row r="44" spans="3:22" ht="15" customHeight="1">
      <c r="C44" s="36" t="str">
        <f>C15</f>
        <v xml:space="preserve">Fiscal year  </v>
      </c>
      <c r="D44" s="37"/>
      <c r="E44" s="37">
        <f t="shared" ref="E44:K45" si="6">E15</f>
        <v>2017</v>
      </c>
      <c r="F44" s="37">
        <f t="shared" si="6"/>
        <v>2018</v>
      </c>
      <c r="G44" s="65">
        <f t="shared" si="6"/>
        <v>2019</v>
      </c>
      <c r="H44" s="65">
        <f t="shared" si="6"/>
        <v>2020</v>
      </c>
      <c r="I44" s="65">
        <f t="shared" si="6"/>
        <v>2021</v>
      </c>
      <c r="J44" s="65">
        <f t="shared" si="6"/>
        <v>2022</v>
      </c>
      <c r="K44" s="65">
        <f t="shared" si="6"/>
        <v>2023</v>
      </c>
      <c r="M44" s="65"/>
    </row>
    <row r="45" spans="3:22" ht="15" customHeight="1">
      <c r="C45" s="17" t="str">
        <f>C16</f>
        <v>Fiscal year end date</v>
      </c>
      <c r="D45" s="38"/>
      <c r="E45" s="38">
        <f t="shared" si="6"/>
        <v>43008</v>
      </c>
      <c r="F45" s="38">
        <f t="shared" si="6"/>
        <v>43372</v>
      </c>
      <c r="G45" s="38">
        <f t="shared" si="6"/>
        <v>43738</v>
      </c>
      <c r="H45" s="38">
        <f t="shared" si="6"/>
        <v>44104</v>
      </c>
      <c r="I45" s="38">
        <f t="shared" si="6"/>
        <v>44469</v>
      </c>
      <c r="J45" s="38">
        <f t="shared" si="6"/>
        <v>44834</v>
      </c>
      <c r="K45" s="38">
        <f t="shared" si="6"/>
        <v>45199</v>
      </c>
      <c r="M45" s="161"/>
    </row>
    <row r="46" spans="3:22" ht="15" customHeight="1">
      <c r="C46" t="s">
        <v>38</v>
      </c>
      <c r="D46" s="39"/>
      <c r="E46" s="39">
        <f>20289+53892+194714</f>
        <v>268895</v>
      </c>
      <c r="F46" s="39">
        <f>25913+40388+170799</f>
        <v>237100</v>
      </c>
      <c r="G46" s="42">
        <f ca="1">G92+F46</f>
        <v>219677.39364754269</v>
      </c>
      <c r="H46" s="42">
        <f ca="1">H92+G46</f>
        <v>184854.16646492865</v>
      </c>
      <c r="I46" s="42">
        <f ca="1">I92+H46</f>
        <v>152314.21891102998</v>
      </c>
      <c r="J46" s="42">
        <f ca="1">J92+I46</f>
        <v>122073.60603465598</v>
      </c>
      <c r="K46" s="42">
        <f ca="1">K92+J46</f>
        <v>94513.56007398662</v>
      </c>
      <c r="M46" s="42"/>
      <c r="O46" t="s">
        <v>87</v>
      </c>
    </row>
    <row r="47" spans="3:22" ht="15" customHeight="1">
      <c r="C47" t="s">
        <v>39</v>
      </c>
      <c r="D47" s="39"/>
      <c r="E47" s="39">
        <v>17874</v>
      </c>
      <c r="F47" s="39">
        <v>23186</v>
      </c>
      <c r="G47" s="61"/>
      <c r="H47" s="61"/>
      <c r="I47" s="61"/>
      <c r="J47" s="61"/>
      <c r="K47" s="61"/>
      <c r="M47" s="42"/>
      <c r="O47" t="s">
        <v>269</v>
      </c>
    </row>
    <row r="48" spans="3:22" ht="15" customHeight="1">
      <c r="C48" t="s">
        <v>40</v>
      </c>
      <c r="D48" s="39"/>
      <c r="E48" s="39">
        <v>4855</v>
      </c>
      <c r="F48" s="39">
        <v>3956</v>
      </c>
      <c r="G48" s="61"/>
      <c r="H48" s="61"/>
      <c r="I48" s="61"/>
      <c r="J48" s="61"/>
      <c r="K48" s="61"/>
      <c r="M48" s="42"/>
      <c r="O48" t="s">
        <v>270</v>
      </c>
    </row>
    <row r="49" spans="3:15" ht="15" customHeight="1">
      <c r="C49" t="s">
        <v>271</v>
      </c>
      <c r="D49" s="39"/>
      <c r="E49" s="39">
        <f>17799</f>
        <v>17799</v>
      </c>
      <c r="F49" s="39">
        <f>25809</f>
        <v>25809</v>
      </c>
      <c r="G49" s="42">
        <f ca="1">F49*(1+G37)</f>
        <v>24584.165146916544</v>
      </c>
      <c r="H49" s="42">
        <f ca="1">G49*(1+H37)</f>
        <v>25787.795039130251</v>
      </c>
      <c r="I49" s="42">
        <f ca="1">H49*(1+I37)</f>
        <v>27054.070591564468</v>
      </c>
      <c r="J49" s="42">
        <f ca="1">I49*(1+J37)</f>
        <v>28529.234010316915</v>
      </c>
      <c r="K49" s="42">
        <f ca="1">J49*(1+K37)</f>
        <v>30248.085079998</v>
      </c>
      <c r="M49" s="42"/>
      <c r="O49" t="s">
        <v>88</v>
      </c>
    </row>
    <row r="50" spans="3:15" ht="15" customHeight="1">
      <c r="C50" t="s">
        <v>43</v>
      </c>
      <c r="D50" s="39"/>
      <c r="E50" s="39">
        <v>13936</v>
      </c>
      <c r="F50" s="39">
        <v>12087</v>
      </c>
      <c r="G50" s="42">
        <f ca="1">F50*(1+G37)</f>
        <v>11513.379213870367</v>
      </c>
      <c r="H50" s="42">
        <f ca="1">G50*(1+H37)</f>
        <v>12077.069186639055</v>
      </c>
      <c r="I50" s="42">
        <f ca="1">H50*(1+I37)</f>
        <v>12670.097688412561</v>
      </c>
      <c r="J50" s="42">
        <f ca="1">I50*(1+J37)</f>
        <v>13360.95360078657</v>
      </c>
      <c r="K50" s="42">
        <f ca="1">J50*(1+K37)</f>
        <v>14165.934532989881</v>
      </c>
      <c r="M50" s="42"/>
      <c r="O50" t="s">
        <v>88</v>
      </c>
    </row>
    <row r="51" spans="3:15" ht="15" customHeight="1">
      <c r="C51" t="s">
        <v>42</v>
      </c>
      <c r="D51" s="39"/>
      <c r="E51" s="39">
        <v>33783</v>
      </c>
      <c r="F51" s="39">
        <v>41304</v>
      </c>
      <c r="G51" s="42">
        <f>G146</f>
        <v>54589</v>
      </c>
      <c r="H51" s="42">
        <f>H146</f>
        <v>68238</v>
      </c>
      <c r="I51" s="42">
        <f>I146</f>
        <v>82057</v>
      </c>
      <c r="J51" s="42">
        <f ca="1">J146</f>
        <v>96629.50151892101</v>
      </c>
      <c r="K51" s="42">
        <f ca="1">K146</f>
        <v>112079.97823390472</v>
      </c>
      <c r="M51" s="42"/>
      <c r="O51" t="s">
        <v>90</v>
      </c>
    </row>
    <row r="52" spans="3:15" ht="15" customHeight="1">
      <c r="C52" t="s">
        <v>43</v>
      </c>
      <c r="D52" s="39"/>
      <c r="E52" s="39">
        <v>18177</v>
      </c>
      <c r="F52" s="39">
        <v>22283</v>
      </c>
      <c r="G52" s="42">
        <f ca="1">F52*(1+G37)</f>
        <v>21225.500870577758</v>
      </c>
      <c r="H52" s="42">
        <f ca="1">G52*(1+H37)</f>
        <v>22264.692039867467</v>
      </c>
      <c r="I52" s="42">
        <f ca="1">H52*(1+I37)</f>
        <v>23357.970281368172</v>
      </c>
      <c r="J52" s="42">
        <f ca="1">I52*(1+J37)</f>
        <v>24631.59833592514</v>
      </c>
      <c r="K52" s="42">
        <f ca="1">J52*(1+K37)</f>
        <v>26115.621676066316</v>
      </c>
      <c r="M52" s="42"/>
      <c r="O52" t="s">
        <v>88</v>
      </c>
    </row>
    <row r="53" spans="3:15" ht="15" customHeight="1">
      <c r="C53" s="31" t="s">
        <v>44</v>
      </c>
      <c r="D53" s="41"/>
      <c r="E53" s="41">
        <f t="shared" ref="E53:K53" si="7">SUM(E46:E52)</f>
        <v>375319</v>
      </c>
      <c r="F53" s="41">
        <f t="shared" si="7"/>
        <v>365725</v>
      </c>
      <c r="G53" s="45">
        <f t="shared" ca="1" si="7"/>
        <v>331589.43887890736</v>
      </c>
      <c r="H53" s="45">
        <f t="shared" ca="1" si="7"/>
        <v>313221.72273056541</v>
      </c>
      <c r="I53" s="45">
        <f t="shared" ca="1" si="7"/>
        <v>297453.35747237521</v>
      </c>
      <c r="J53" s="45">
        <f t="shared" ca="1" si="7"/>
        <v>285224.8935006056</v>
      </c>
      <c r="K53" s="45">
        <f t="shared" ca="1" si="7"/>
        <v>277123.17959694553</v>
      </c>
      <c r="M53" s="45"/>
    </row>
    <row r="54" spans="3:15" ht="15" customHeight="1">
      <c r="C54" s="30"/>
      <c r="D54" s="42"/>
      <c r="E54" s="42"/>
      <c r="F54" s="42"/>
      <c r="G54" s="42"/>
      <c r="H54" s="42"/>
      <c r="I54" s="42"/>
      <c r="J54" s="42"/>
      <c r="K54" s="42"/>
      <c r="M54" s="42"/>
    </row>
    <row r="55" spans="3:15" ht="15" customHeight="1">
      <c r="C55" s="30" t="s">
        <v>45</v>
      </c>
      <c r="D55" s="39"/>
      <c r="E55" s="39">
        <v>44242</v>
      </c>
      <c r="F55" s="39">
        <v>55888</v>
      </c>
      <c r="G55" s="42">
        <f ca="1">F55*G19/F19</f>
        <v>53705.147473419303</v>
      </c>
      <c r="H55" s="42">
        <f ca="1">G55*H19/G19</f>
        <v>56062.817886451681</v>
      </c>
      <c r="I55" s="42">
        <f ca="1">H55*I19/H19</f>
        <v>58720.691075770112</v>
      </c>
      <c r="J55" s="42">
        <f ca="1">I55*J19/I19</f>
        <v>61922.524053386733</v>
      </c>
      <c r="K55" s="42">
        <f ca="1">J55*K19/J19</f>
        <v>65653.279553798231</v>
      </c>
      <c r="M55" s="42"/>
      <c r="O55" t="s">
        <v>89</v>
      </c>
    </row>
    <row r="56" spans="3:15" ht="15" customHeight="1">
      <c r="C56" s="30" t="s">
        <v>46</v>
      </c>
      <c r="D56" s="39"/>
      <c r="E56" s="39">
        <v>30551</v>
      </c>
      <c r="F56" s="39">
        <v>32687</v>
      </c>
      <c r="G56" s="42">
        <f ca="1">F56*(1+G37)</f>
        <v>31135.751333149721</v>
      </c>
      <c r="H56" s="42">
        <f ca="1">G56*(1+H37)</f>
        <v>32660.143997987161</v>
      </c>
      <c r="I56" s="42">
        <f ca="1">H56*(1+I37)</f>
        <v>34263.877152406829</v>
      </c>
      <c r="J56" s="42">
        <f ca="1">I56*(1+J37)</f>
        <v>36132.165992298389</v>
      </c>
      <c r="K56" s="42">
        <f ca="1">J56*(1+K37)</f>
        <v>38309.084312057603</v>
      </c>
      <c r="M56" s="42"/>
      <c r="O56" t="s">
        <v>88</v>
      </c>
    </row>
    <row r="57" spans="3:15" ht="15" customHeight="1">
      <c r="C57" s="30" t="s">
        <v>47</v>
      </c>
      <c r="D57" s="39"/>
      <c r="E57" s="39">
        <f>7548+E134</f>
        <v>10384</v>
      </c>
      <c r="F57" s="39">
        <f>7543+F134</f>
        <v>10340</v>
      </c>
      <c r="G57" s="42">
        <f ca="1">F57*(1+G37)</f>
        <v>9849.2877530751703</v>
      </c>
      <c r="H57" s="42">
        <f ca="1">G57*(1+H37)</f>
        <v>10331.504541230068</v>
      </c>
      <c r="I57" s="42">
        <f ca="1">H57*(1+I37)</f>
        <v>10838.81940085926</v>
      </c>
      <c r="J57" s="42">
        <f ca="1">I57*(1+J37)</f>
        <v>11429.822142147194</v>
      </c>
      <c r="K57" s="42">
        <f ca="1">J57*(1+K37)</f>
        <v>12118.454792017486</v>
      </c>
      <c r="M57" s="42"/>
      <c r="O57" t="s">
        <v>88</v>
      </c>
    </row>
    <row r="58" spans="3:15" ht="15" customHeight="1">
      <c r="C58" s="30" t="s">
        <v>48</v>
      </c>
      <c r="D58" s="39"/>
      <c r="E58" s="39">
        <v>11977</v>
      </c>
      <c r="F58" s="39">
        <v>11964</v>
      </c>
      <c r="G58" s="42">
        <f ca="1">G202</f>
        <v>12000</v>
      </c>
      <c r="H58" s="42">
        <f ca="1">H202</f>
        <v>12000</v>
      </c>
      <c r="I58" s="42">
        <f ca="1">I202</f>
        <v>12000</v>
      </c>
      <c r="J58" s="42">
        <f ca="1">J202</f>
        <v>12000</v>
      </c>
      <c r="K58" s="42">
        <f ca="1">K202</f>
        <v>12000</v>
      </c>
      <c r="M58" s="42"/>
      <c r="O58" t="s">
        <v>91</v>
      </c>
    </row>
    <row r="59" spans="3:15" ht="15" customHeight="1">
      <c r="C59" s="30" t="s">
        <v>92</v>
      </c>
      <c r="D59" s="39"/>
      <c r="E59" s="39">
        <f>6496+E135</f>
        <v>103703</v>
      </c>
      <c r="F59" s="39">
        <f>8784+F135</f>
        <v>102519</v>
      </c>
      <c r="G59" s="42">
        <f>F59</f>
        <v>102519</v>
      </c>
      <c r="H59" s="42">
        <f>G59</f>
        <v>102519</v>
      </c>
      <c r="I59" s="42">
        <f>H59</f>
        <v>102519</v>
      </c>
      <c r="J59" s="42">
        <f>I59</f>
        <v>102519</v>
      </c>
      <c r="K59" s="42">
        <f>J59</f>
        <v>102519</v>
      </c>
      <c r="M59" s="42"/>
      <c r="O59" t="s">
        <v>93</v>
      </c>
    </row>
    <row r="60" spans="3:15" ht="15.75" customHeight="1">
      <c r="C60" s="30" t="s">
        <v>50</v>
      </c>
      <c r="D60" s="39"/>
      <c r="E60" s="39">
        <v>40415</v>
      </c>
      <c r="F60" s="39">
        <v>45180</v>
      </c>
      <c r="G60" s="42">
        <f ca="1">F60*(1+G37)</f>
        <v>43035.86273539035</v>
      </c>
      <c r="H60" s="42">
        <f ca="1">G60*(1+H37)</f>
        <v>45142.879610519776</v>
      </c>
      <c r="I60" s="42">
        <f ca="1">H60*(1+I37)</f>
        <v>47359.560979769958</v>
      </c>
      <c r="J60" s="42">
        <f ca="1">I60*(1+J37)</f>
        <v>49941.911448956504</v>
      </c>
      <c r="K60" s="42">
        <f ca="1">J60*(1+K37)</f>
        <v>52950.849855256296</v>
      </c>
      <c r="M60" s="42"/>
      <c r="O60" t="s">
        <v>88</v>
      </c>
    </row>
    <row r="61" spans="3:15" ht="15" customHeight="1">
      <c r="C61" s="31" t="s">
        <v>51</v>
      </c>
      <c r="D61" s="41"/>
      <c r="E61" s="41">
        <f t="shared" ref="E61:K61" si="8">SUM(E55:E60)</f>
        <v>241272</v>
      </c>
      <c r="F61" s="41">
        <f t="shared" si="8"/>
        <v>258578</v>
      </c>
      <c r="G61" s="45">
        <f t="shared" ca="1" si="8"/>
        <v>252245.04929503452</v>
      </c>
      <c r="H61" s="45">
        <f t="shared" ca="1" si="8"/>
        <v>258716.34603618868</v>
      </c>
      <c r="I61" s="45">
        <f t="shared" ca="1" si="8"/>
        <v>265701.94860880618</v>
      </c>
      <c r="J61" s="45">
        <f t="shared" ca="1" si="8"/>
        <v>273945.42363678885</v>
      </c>
      <c r="K61" s="45">
        <f t="shared" ca="1" si="8"/>
        <v>283550.66851312958</v>
      </c>
      <c r="M61" s="45"/>
    </row>
    <row r="62" spans="3:15" ht="15" customHeight="1">
      <c r="C62" s="31"/>
      <c r="D62" s="41"/>
      <c r="E62" s="41"/>
      <c r="F62" s="41"/>
      <c r="G62" s="42"/>
      <c r="H62" s="42"/>
      <c r="I62" s="42"/>
      <c r="J62" s="42"/>
      <c r="K62" s="42"/>
      <c r="M62" s="42"/>
    </row>
    <row r="63" spans="3:15" ht="15" customHeight="1">
      <c r="C63" s="30" t="s">
        <v>52</v>
      </c>
      <c r="D63" s="39"/>
      <c r="E63" s="39">
        <v>35867</v>
      </c>
      <c r="F63" s="39">
        <v>40201</v>
      </c>
      <c r="G63" s="42">
        <f ca="1">F63+G33</f>
        <v>45287.576073638433</v>
      </c>
      <c r="H63" s="42">
        <f ca="1">G63+H33</f>
        <v>50623.188670366537</v>
      </c>
      <c r="I63" s="42">
        <f ca="1">H63+I33</f>
        <v>56220.7994634602</v>
      </c>
      <c r="J63" s="42">
        <f ca="1">I63+J33</f>
        <v>62123.628306696759</v>
      </c>
      <c r="K63" s="42">
        <f ca="1">J63+K33</f>
        <v>68382.095288260913</v>
      </c>
      <c r="M63" s="42"/>
      <c r="O63" t="s">
        <v>94</v>
      </c>
    </row>
    <row r="64" spans="3:15" ht="15.75" customHeight="1">
      <c r="C64" s="30" t="s">
        <v>53</v>
      </c>
      <c r="D64" s="44"/>
      <c r="E64" s="44">
        <f>98330</f>
        <v>98330</v>
      </c>
      <c r="F64" s="39">
        <v>70400</v>
      </c>
      <c r="G64" s="42">
        <f ca="1">G184</f>
        <v>37510.813510234366</v>
      </c>
      <c r="H64" s="42">
        <f ca="1">H184</f>
        <v>7336.1880240101891</v>
      </c>
      <c r="I64" s="42">
        <f ca="1">I184</f>
        <v>-21015.390599891187</v>
      </c>
      <c r="J64" s="42">
        <f ca="1">J184</f>
        <v>-47390.158442879983</v>
      </c>
      <c r="K64" s="42">
        <f ca="1">K184</f>
        <v>-71355.584204444996</v>
      </c>
      <c r="M64" s="42"/>
      <c r="O64" t="s">
        <v>95</v>
      </c>
    </row>
    <row r="65" spans="3:15" ht="15.75" customHeight="1">
      <c r="C65" s="30" t="s">
        <v>54</v>
      </c>
      <c r="D65" s="39"/>
      <c r="E65" s="39">
        <v>-150</v>
      </c>
      <c r="F65" s="39">
        <v>-3454</v>
      </c>
      <c r="G65" s="42">
        <f>F65</f>
        <v>-3454</v>
      </c>
      <c r="H65" s="42">
        <f>G65</f>
        <v>-3454</v>
      </c>
      <c r="I65" s="42">
        <f>H65</f>
        <v>-3454</v>
      </c>
      <c r="J65" s="42">
        <f>I65</f>
        <v>-3454</v>
      </c>
      <c r="K65" s="42">
        <f>J65</f>
        <v>-3454</v>
      </c>
      <c r="M65" s="42"/>
      <c r="O65" t="s">
        <v>93</v>
      </c>
    </row>
    <row r="66" spans="3:15" ht="15" customHeight="1">
      <c r="C66" s="31" t="s">
        <v>55</v>
      </c>
      <c r="D66" s="45"/>
      <c r="E66" s="45">
        <f t="shared" ref="E66:K66" si="9">SUM(E63:E65)</f>
        <v>134047</v>
      </c>
      <c r="F66" s="45">
        <f t="shared" si="9"/>
        <v>107147</v>
      </c>
      <c r="G66" s="45">
        <f t="shared" ca="1" si="9"/>
        <v>79344.389583872806</v>
      </c>
      <c r="H66" s="45">
        <f t="shared" ca="1" si="9"/>
        <v>54505.376694376726</v>
      </c>
      <c r="I66" s="45">
        <f t="shared" ca="1" si="9"/>
        <v>31751.408863569013</v>
      </c>
      <c r="J66" s="45">
        <f t="shared" ca="1" si="9"/>
        <v>11279.469863816776</v>
      </c>
      <c r="K66" s="45">
        <f t="shared" ca="1" si="9"/>
        <v>-6427.4889161840838</v>
      </c>
      <c r="M66" s="45"/>
    </row>
    <row r="67" spans="3:15" ht="15" customHeight="1">
      <c r="D67" s="42"/>
      <c r="E67" s="42"/>
      <c r="F67" s="42"/>
    </row>
    <row r="68" spans="3:15" ht="15" customHeight="1">
      <c r="C68" s="23" t="s">
        <v>56</v>
      </c>
      <c r="D68" s="46"/>
      <c r="E68" s="46">
        <f t="shared" ref="E68:K68" si="10">ROUND(E53-E61-E66,3)</f>
        <v>0</v>
      </c>
      <c r="F68" s="46">
        <f t="shared" si="10"/>
        <v>0</v>
      </c>
      <c r="G68" s="46">
        <f t="shared" ca="1" si="10"/>
        <v>0</v>
      </c>
      <c r="H68" s="46">
        <f t="shared" ca="1" si="10"/>
        <v>0</v>
      </c>
      <c r="I68" s="46">
        <f t="shared" ca="1" si="10"/>
        <v>0</v>
      </c>
      <c r="J68" s="46">
        <f t="shared" ca="1" si="10"/>
        <v>0</v>
      </c>
      <c r="K68" s="46">
        <f t="shared" ca="1" si="10"/>
        <v>0</v>
      </c>
      <c r="M68" s="46"/>
    </row>
    <row r="69" spans="3:15" ht="15" customHeight="1">
      <c r="E69" s="42"/>
      <c r="F69" s="42"/>
      <c r="H69" s="42"/>
      <c r="I69" s="42"/>
      <c r="J69" s="42"/>
      <c r="K69" s="42"/>
      <c r="M69" s="42"/>
    </row>
    <row r="70" spans="3:15" ht="15" customHeight="1">
      <c r="C70" s="16" t="s">
        <v>96</v>
      </c>
      <c r="D70" s="20"/>
      <c r="E70" s="20"/>
      <c r="F70" s="20"/>
      <c r="G70" s="20"/>
      <c r="H70" s="20"/>
      <c r="I70" s="20"/>
      <c r="J70" s="20"/>
      <c r="K70" s="20"/>
      <c r="M70" s="25"/>
    </row>
    <row r="71" spans="3:15" ht="15" customHeight="1">
      <c r="C71" s="36" t="str">
        <f>C15</f>
        <v xml:space="preserve">Fiscal year  </v>
      </c>
      <c r="D71" s="37"/>
      <c r="E71" s="37"/>
      <c r="F71" s="37"/>
      <c r="G71" s="65">
        <f t="shared" ref="G71:K72" si="11">G15</f>
        <v>2019</v>
      </c>
      <c r="H71" s="65">
        <f t="shared" si="11"/>
        <v>2020</v>
      </c>
      <c r="I71" s="65">
        <f t="shared" si="11"/>
        <v>2021</v>
      </c>
      <c r="J71" s="65">
        <f t="shared" si="11"/>
        <v>2022</v>
      </c>
      <c r="K71" s="65">
        <f t="shared" si="11"/>
        <v>2023</v>
      </c>
      <c r="M71" s="65"/>
    </row>
    <row r="72" spans="3:15" ht="15" customHeight="1">
      <c r="C72" s="17" t="str">
        <f>C16</f>
        <v>Fiscal year end date</v>
      </c>
      <c r="D72" s="38"/>
      <c r="E72" s="38"/>
      <c r="F72" s="38"/>
      <c r="G72" s="38">
        <f t="shared" si="11"/>
        <v>43738</v>
      </c>
      <c r="H72" s="38">
        <f t="shared" si="11"/>
        <v>44104</v>
      </c>
      <c r="I72" s="38">
        <f t="shared" si="11"/>
        <v>44469</v>
      </c>
      <c r="J72" s="38">
        <f t="shared" si="11"/>
        <v>44834</v>
      </c>
      <c r="K72" s="38">
        <f t="shared" si="11"/>
        <v>45199</v>
      </c>
      <c r="M72" s="161"/>
    </row>
    <row r="74" spans="3:15" ht="15" customHeight="1">
      <c r="C74" t="s">
        <v>24</v>
      </c>
      <c r="D74" s="40"/>
      <c r="E74" s="40"/>
      <c r="F74" s="40"/>
      <c r="G74" s="42">
        <f ca="1">G29</f>
        <v>52213.524654506109</v>
      </c>
      <c r="H74" s="42">
        <f ca="1">H29</f>
        <v>55742.228713852484</v>
      </c>
      <c r="I74" s="42">
        <f ca="1">I29</f>
        <v>58112.038364497494</v>
      </c>
      <c r="J74" s="42">
        <f ca="1">J29</f>
        <v>60681.728350489873</v>
      </c>
      <c r="K74" s="42">
        <f ca="1">K29</f>
        <v>63813.673137135847</v>
      </c>
      <c r="M74" s="42"/>
      <c r="O74" s="27"/>
    </row>
    <row r="75" spans="3:15" ht="15" customHeight="1">
      <c r="C75" t="s">
        <v>97</v>
      </c>
      <c r="D75" s="40"/>
      <c r="E75" s="40"/>
      <c r="F75" s="40"/>
      <c r="G75" s="42">
        <f ca="1">G31</f>
        <v>1526.9253644274177</v>
      </c>
      <c r="H75" s="42">
        <f ca="1">H31</f>
        <v>1601.6829574073306</v>
      </c>
      <c r="I75" s="42">
        <f ca="1">I31</f>
        <v>1680.3314796496511</v>
      </c>
      <c r="J75" s="42">
        <f ca="1">J31</f>
        <v>1771.9540516307495</v>
      </c>
      <c r="K75" s="42">
        <f ca="1">K31</f>
        <v>1878.7120920313373</v>
      </c>
      <c r="M75" s="42"/>
      <c r="O75" t="s">
        <v>98</v>
      </c>
    </row>
    <row r="76" spans="3:15" ht="15" customHeight="1">
      <c r="C76" t="s">
        <v>27</v>
      </c>
      <c r="D76" s="40"/>
      <c r="E76" s="40"/>
      <c r="F76" s="40"/>
      <c r="G76" s="42">
        <f ca="1">G33</f>
        <v>5086.5760736384345</v>
      </c>
      <c r="H76" s="42">
        <f ca="1">H33</f>
        <v>5335.6125967281014</v>
      </c>
      <c r="I76" s="42">
        <f ca="1">I33</f>
        <v>5597.6107930936605</v>
      </c>
      <c r="J76" s="42">
        <f ca="1">J33</f>
        <v>5902.8288432365589</v>
      </c>
      <c r="K76" s="42">
        <f ca="1">K33</f>
        <v>6258.4669815641573</v>
      </c>
      <c r="M76" s="42"/>
    </row>
    <row r="77" spans="3:15" ht="15" customHeight="1">
      <c r="C77" t="s">
        <v>99</v>
      </c>
      <c r="D77" s="42"/>
      <c r="E77" s="42"/>
      <c r="F77" s="42"/>
      <c r="G77" s="42">
        <f ca="1">-1*(SUM(G47:G50)-SUM(F47:F50))</f>
        <v>28940.455639213091</v>
      </c>
      <c r="H77" s="42">
        <f ca="1">-1*(SUM(H47:H50)-SUM(G47:G50))</f>
        <v>-1767.3198649823971</v>
      </c>
      <c r="I77" s="42">
        <f ca="1">-1*(SUM(I47:I50)-SUM(H47:H50))</f>
        <v>-1859.3040542077215</v>
      </c>
      <c r="J77" s="42">
        <f ca="1">-1*(SUM(J47:J50)-SUM(I47:I50))</f>
        <v>-2166.0193311264593</v>
      </c>
      <c r="K77" s="42">
        <f ca="1">-1*(SUM(K47:K50)-SUM(J47:J50))</f>
        <v>-2523.8320018843951</v>
      </c>
      <c r="M77" s="42"/>
    </row>
    <row r="78" spans="3:15" ht="15" customHeight="1">
      <c r="C78" t="s">
        <v>100</v>
      </c>
      <c r="D78" s="42"/>
      <c r="E78" s="42"/>
      <c r="F78" s="42"/>
      <c r="G78" s="42">
        <f ca="1">SUM(G55:G57)-SUM(F55:F57)</f>
        <v>-4224.813440355807</v>
      </c>
      <c r="H78" s="42">
        <f ca="1">SUM(H55:H57)-SUM(G55:G57)</f>
        <v>4364.2798660247208</v>
      </c>
      <c r="I78" s="42">
        <f ca="1">SUM(I55:I57)-SUM(H55:H57)</f>
        <v>4768.9212033672811</v>
      </c>
      <c r="J78" s="42">
        <f ca="1">SUM(J55:J57)-SUM(I55:I57)</f>
        <v>5661.1245587961312</v>
      </c>
      <c r="K78" s="42">
        <f ca="1">SUM(K55:K57)-SUM(J55:J57)</f>
        <v>6596.3064700409886</v>
      </c>
      <c r="M78" s="42"/>
    </row>
    <row r="79" spans="3:15" ht="15" customHeight="1">
      <c r="C79" t="s">
        <v>43</v>
      </c>
      <c r="G79" s="42">
        <f ca="1">-(G176)</f>
        <v>-469.42623500517584</v>
      </c>
      <c r="H79" s="42">
        <f ca="1">-(H176)</f>
        <v>-2640.8741266970392</v>
      </c>
      <c r="I79" s="42">
        <f ca="1">-(I176)</f>
        <v>-2773.6097211503584</v>
      </c>
      <c r="J79" s="42">
        <f ca="1">-(J176)</f>
        <v>-3045.5821061877177</v>
      </c>
      <c r="K79" s="42">
        <f ca="1">-(K176)</f>
        <v>-3362.7354321725143</v>
      </c>
      <c r="M79" s="42"/>
      <c r="O79" t="s">
        <v>101</v>
      </c>
    </row>
    <row r="80" spans="3:15" ht="15" customHeight="1">
      <c r="C80" t="s">
        <v>50</v>
      </c>
      <c r="G80" s="42">
        <f ca="1">G60-F60</f>
        <v>-2144.1372646096497</v>
      </c>
      <c r="H80" s="42">
        <f ca="1">H60-G60</f>
        <v>2107.0168751294259</v>
      </c>
      <c r="I80" s="42">
        <f ca="1">I60-H60</f>
        <v>2216.6813692501819</v>
      </c>
      <c r="J80" s="42">
        <f ca="1">J60-I60</f>
        <v>2582.3504691865455</v>
      </c>
      <c r="K80" s="42">
        <f ca="1">K60-J60</f>
        <v>3008.9384062997924</v>
      </c>
      <c r="M80" s="42"/>
      <c r="O80" s="27"/>
    </row>
    <row r="81" spans="3:15" ht="15" customHeight="1">
      <c r="C81" s="27" t="s">
        <v>102</v>
      </c>
      <c r="G81" s="45">
        <f ca="1">SUM(G74:G80)</f>
        <v>80929.104791814432</v>
      </c>
      <c r="H81" s="45">
        <f ca="1">SUM(H74:H80)</f>
        <v>64742.627017462626</v>
      </c>
      <c r="I81" s="45">
        <f ca="1">SUM(I74:I80)</f>
        <v>67742.669434500189</v>
      </c>
      <c r="J81" s="45">
        <f ca="1">SUM(J74:J80)</f>
        <v>71388.384836025682</v>
      </c>
      <c r="K81" s="45">
        <f ca="1">SUM(K74:K80)</f>
        <v>75669.529653015197</v>
      </c>
      <c r="M81" s="45"/>
    </row>
    <row r="82" spans="3:15" ht="15" customHeight="1">
      <c r="G82" s="42"/>
      <c r="H82" s="42"/>
      <c r="I82" s="42"/>
      <c r="J82" s="42"/>
      <c r="K82" s="42"/>
      <c r="M82" s="42"/>
    </row>
    <row r="83" spans="3:15" ht="15" customHeight="1">
      <c r="C83" t="s">
        <v>103</v>
      </c>
      <c r="G83" s="42">
        <f>-(G144)</f>
        <v>-13285</v>
      </c>
      <c r="H83" s="42">
        <f>-(H144)</f>
        <v>-13649</v>
      </c>
      <c r="I83" s="42">
        <f>-(I144)</f>
        <v>-13819</v>
      </c>
      <c r="J83" s="42">
        <f ca="1">-(J144)</f>
        <v>-14572.50151892101</v>
      </c>
      <c r="K83" s="42">
        <f ca="1">-(K144)</f>
        <v>-15450.476714983708</v>
      </c>
      <c r="M83" s="42"/>
      <c r="O83" t="s">
        <v>90</v>
      </c>
    </row>
    <row r="84" spans="3:15" ht="15" customHeight="1">
      <c r="C84" s="27" t="s">
        <v>104</v>
      </c>
      <c r="G84" s="45">
        <f>IFERROR(G83,"NA")</f>
        <v>-13285</v>
      </c>
      <c r="H84" s="45">
        <f>IFERROR(H83,"NA")</f>
        <v>-13649</v>
      </c>
      <c r="I84" s="45">
        <f>IFERROR(I83,"NA")</f>
        <v>-13819</v>
      </c>
      <c r="J84" s="45">
        <f ca="1">IFERROR(J83,"NA")</f>
        <v>-14572.50151892101</v>
      </c>
      <c r="K84" s="45">
        <f ca="1">IFERROR(K83,"NA")</f>
        <v>-15450.476714983708</v>
      </c>
      <c r="M84" s="45"/>
    </row>
    <row r="85" spans="3:15" ht="15" customHeight="1">
      <c r="G85" s="42"/>
      <c r="H85" s="42"/>
      <c r="I85" s="42"/>
      <c r="J85" s="42"/>
      <c r="K85" s="42"/>
      <c r="M85" s="42"/>
    </row>
    <row r="86" spans="3:15" ht="15" customHeight="1">
      <c r="C86" t="s">
        <v>105</v>
      </c>
      <c r="G86" s="42">
        <f>G59-F59</f>
        <v>0</v>
      </c>
      <c r="H86" s="42">
        <f>H59-G59</f>
        <v>0</v>
      </c>
      <c r="I86" s="42">
        <f>I59-H59</f>
        <v>0</v>
      </c>
      <c r="J86" s="42">
        <f>J59-I59</f>
        <v>0</v>
      </c>
      <c r="K86" s="42">
        <f>K59-J59</f>
        <v>0</v>
      </c>
      <c r="M86" s="42"/>
    </row>
    <row r="87" spans="3:15" ht="15" customHeight="1">
      <c r="C87" t="s">
        <v>106</v>
      </c>
      <c r="G87" s="42">
        <f ca="1">G58-F58</f>
        <v>36</v>
      </c>
      <c r="H87" s="42">
        <f ca="1">H58-G58</f>
        <v>0</v>
      </c>
      <c r="I87" s="42">
        <f ca="1">I58-H58</f>
        <v>0</v>
      </c>
      <c r="J87" s="42">
        <f ca="1">J58-I58</f>
        <v>0</v>
      </c>
      <c r="K87" s="42">
        <f ca="1">K58-J58</f>
        <v>0</v>
      </c>
      <c r="M87" s="42"/>
      <c r="O87" t="s">
        <v>107</v>
      </c>
    </row>
    <row r="88" spans="3:15" ht="15" customHeight="1">
      <c r="C88" t="s">
        <v>108</v>
      </c>
      <c r="G88" s="42">
        <f>G183</f>
        <v>-73056</v>
      </c>
      <c r="H88" s="42">
        <f>H183</f>
        <v>-73056</v>
      </c>
      <c r="I88" s="42">
        <f>I183</f>
        <v>-73056</v>
      </c>
      <c r="J88" s="42">
        <f>J183</f>
        <v>-73056</v>
      </c>
      <c r="K88" s="42">
        <f>K183</f>
        <v>-73056</v>
      </c>
      <c r="M88" s="42"/>
      <c r="O88" t="s">
        <v>95</v>
      </c>
    </row>
    <row r="89" spans="3:15" ht="15" customHeight="1">
      <c r="C89" t="s">
        <v>109</v>
      </c>
      <c r="G89" s="42">
        <f ca="1">G182</f>
        <v>-12046.711144271749</v>
      </c>
      <c r="H89" s="42">
        <f ca="1">H182</f>
        <v>-12860.854200076665</v>
      </c>
      <c r="I89" s="42">
        <f ca="1">I182</f>
        <v>-13407.61698839887</v>
      </c>
      <c r="J89" s="42">
        <f ca="1">J182</f>
        <v>-14000.496193478666</v>
      </c>
      <c r="K89" s="42">
        <f ca="1">K182</f>
        <v>-14723.09889870086</v>
      </c>
      <c r="M89" s="42"/>
      <c r="O89" t="s">
        <v>95</v>
      </c>
    </row>
    <row r="90" spans="3:15" ht="15" customHeight="1">
      <c r="C90" s="27" t="s">
        <v>110</v>
      </c>
      <c r="G90" s="45">
        <f ca="1">SUM(G86:G89)</f>
        <v>-85066.711144271743</v>
      </c>
      <c r="H90" s="45">
        <f ca="1">SUM(H86:H89)</f>
        <v>-85916.854200076661</v>
      </c>
      <c r="I90" s="45">
        <f ca="1">SUM(I86:I89)</f>
        <v>-86463.616988398862</v>
      </c>
      <c r="J90" s="45">
        <f ca="1">SUM(J86:J89)</f>
        <v>-87056.49619347867</v>
      </c>
      <c r="K90" s="45">
        <f ca="1">SUM(K86:K89)</f>
        <v>-87779.09889870086</v>
      </c>
      <c r="M90" s="45"/>
    </row>
    <row r="91" spans="3:15" ht="15" customHeight="1">
      <c r="G91" s="42"/>
      <c r="H91" s="42"/>
      <c r="I91" s="42"/>
      <c r="J91" s="42"/>
      <c r="K91" s="42"/>
      <c r="M91" s="42"/>
    </row>
    <row r="92" spans="3:15" ht="15" customHeight="1">
      <c r="C92" s="27" t="s">
        <v>111</v>
      </c>
      <c r="G92" s="45">
        <f ca="1">G81+G84+G90</f>
        <v>-17422.606352457311</v>
      </c>
      <c r="H92" s="45">
        <f ca="1">H81+H84+H90</f>
        <v>-34823.227182614035</v>
      </c>
      <c r="I92" s="45">
        <f ca="1">I81+I84+I90</f>
        <v>-32539.947553898674</v>
      </c>
      <c r="J92" s="45">
        <f ca="1">J81+J84+J90</f>
        <v>-30240.612876373998</v>
      </c>
      <c r="K92" s="45">
        <f ca="1">K81+K84+K90</f>
        <v>-27560.045960669369</v>
      </c>
      <c r="M92" s="45"/>
    </row>
    <row r="93" spans="3:15" ht="15" customHeight="1">
      <c r="C93" s="27"/>
      <c r="G93" s="45"/>
      <c r="H93" s="45"/>
      <c r="I93" s="45"/>
      <c r="J93" s="45"/>
      <c r="K93" s="45"/>
      <c r="M93" s="45"/>
    </row>
    <row r="94" spans="3:15" ht="15" customHeight="1">
      <c r="C94" s="16" t="s">
        <v>272</v>
      </c>
      <c r="D94" s="17"/>
      <c r="E94" s="17"/>
      <c r="F94" s="17"/>
      <c r="G94" s="17"/>
      <c r="H94" s="17"/>
      <c r="I94" s="17"/>
      <c r="J94" s="17"/>
      <c r="K94" s="17"/>
    </row>
    <row r="95" spans="3:15" ht="15" customHeight="1">
      <c r="C95" s="36" t="str">
        <f>C15</f>
        <v xml:space="preserve">Fiscal year  </v>
      </c>
      <c r="D95" s="37">
        <f t="shared" ref="D95:K95" si="12">D$15</f>
        <v>2016</v>
      </c>
      <c r="E95" s="37">
        <f t="shared" si="12"/>
        <v>2017</v>
      </c>
      <c r="F95" s="37">
        <f t="shared" si="12"/>
        <v>2018</v>
      </c>
      <c r="G95" s="37">
        <f t="shared" si="12"/>
        <v>2019</v>
      </c>
      <c r="H95" s="37">
        <f t="shared" si="12"/>
        <v>2020</v>
      </c>
      <c r="I95" s="37">
        <f t="shared" si="12"/>
        <v>2021</v>
      </c>
      <c r="J95" s="37">
        <f t="shared" si="12"/>
        <v>2022</v>
      </c>
      <c r="K95" s="37">
        <f t="shared" si="12"/>
        <v>2023</v>
      </c>
      <c r="M95" s="37"/>
    </row>
    <row r="96" spans="3:15" ht="15" customHeight="1">
      <c r="C96" s="17" t="str">
        <f>C16</f>
        <v>Fiscal year end date</v>
      </c>
      <c r="D96" s="38">
        <f t="shared" ref="D96:K96" si="13">D$16</f>
        <v>42643</v>
      </c>
      <c r="E96" s="38">
        <f t="shared" si="13"/>
        <v>43008</v>
      </c>
      <c r="F96" s="38">
        <f t="shared" si="13"/>
        <v>43372</v>
      </c>
      <c r="G96" s="38">
        <f t="shared" si="13"/>
        <v>43738</v>
      </c>
      <c r="H96" s="38">
        <f t="shared" si="13"/>
        <v>44104</v>
      </c>
      <c r="I96" s="38">
        <f t="shared" si="13"/>
        <v>44469</v>
      </c>
      <c r="J96" s="38">
        <f t="shared" si="13"/>
        <v>44834</v>
      </c>
      <c r="K96" s="38">
        <f t="shared" si="13"/>
        <v>45199</v>
      </c>
      <c r="M96" s="161"/>
    </row>
    <row r="97" spans="3:17" ht="15" customHeight="1">
      <c r="E97" s="254"/>
      <c r="F97" s="254"/>
    </row>
    <row r="98" spans="3:17" ht="15" customHeight="1">
      <c r="C98" s="27" t="s">
        <v>273</v>
      </c>
      <c r="E98" s="1" t="s">
        <v>274</v>
      </c>
      <c r="F98" s="1"/>
      <c r="G98" s="1" t="s">
        <v>113</v>
      </c>
      <c r="H98" s="1"/>
      <c r="I98" s="1"/>
      <c r="J98" s="1"/>
      <c r="K98" s="1"/>
      <c r="M98" s="255"/>
    </row>
    <row r="99" spans="3:17" ht="15" customHeight="1">
      <c r="C99" s="29" t="s">
        <v>114</v>
      </c>
      <c r="G99" s="61"/>
      <c r="H99" s="61"/>
      <c r="I99" s="61"/>
      <c r="J99" s="61"/>
      <c r="K99" s="61"/>
      <c r="M99" s="255"/>
    </row>
    <row r="100" spans="3:17" ht="15" customHeight="1">
      <c r="C100" s="29" t="s">
        <v>275</v>
      </c>
      <c r="G100" s="61"/>
      <c r="H100" s="61"/>
      <c r="I100" s="61"/>
      <c r="J100" s="61"/>
      <c r="K100" s="61"/>
      <c r="M100" s="255"/>
    </row>
    <row r="101" spans="3:17" ht="15" customHeight="1">
      <c r="C101" s="29" t="s">
        <v>120</v>
      </c>
      <c r="E101" s="42">
        <f>E47</f>
        <v>17874</v>
      </c>
      <c r="F101" s="42">
        <f>F47</f>
        <v>23186</v>
      </c>
      <c r="G101" s="61"/>
      <c r="H101" s="61"/>
      <c r="I101" s="61"/>
      <c r="J101" s="61"/>
      <c r="K101" s="61"/>
      <c r="M101" s="255"/>
      <c r="O101" t="s">
        <v>276</v>
      </c>
    </row>
    <row r="102" spans="3:17" ht="15" customHeight="1">
      <c r="M102" s="255"/>
    </row>
    <row r="103" spans="3:17" ht="15" customHeight="1">
      <c r="C103" s="29" t="s">
        <v>277</v>
      </c>
      <c r="E103" s="51"/>
      <c r="F103" s="51">
        <f>AVERAGE(E101:F101)/F18</f>
        <v>7.729814190779194E-2</v>
      </c>
      <c r="G103" s="156"/>
      <c r="H103" s="156"/>
      <c r="I103" s="156"/>
      <c r="J103" s="156"/>
      <c r="K103" s="156"/>
      <c r="M103" s="255"/>
    </row>
    <row r="104" spans="3:17" ht="15" customHeight="1">
      <c r="E104" s="51"/>
      <c r="F104" s="42"/>
      <c r="G104" s="51"/>
      <c r="H104" s="51"/>
      <c r="I104" s="51"/>
      <c r="J104" s="51"/>
      <c r="K104" s="51"/>
      <c r="M104" s="255"/>
    </row>
    <row r="105" spans="3:17" ht="15" customHeight="1">
      <c r="C105" s="29" t="s">
        <v>278</v>
      </c>
      <c r="E105" s="51"/>
      <c r="F105" s="51"/>
      <c r="G105" s="256">
        <v>2</v>
      </c>
      <c r="H105" s="51"/>
      <c r="I105" s="51"/>
      <c r="J105" s="51"/>
      <c r="K105" s="51"/>
      <c r="M105" s="255"/>
    </row>
    <row r="106" spans="3:17" ht="15" customHeight="1">
      <c r="C106" s="27"/>
      <c r="D106" s="27"/>
      <c r="E106" s="51"/>
      <c r="F106" s="51"/>
      <c r="G106" s="51"/>
      <c r="H106" s="51"/>
      <c r="I106" s="51"/>
      <c r="J106" s="51"/>
      <c r="K106" s="51"/>
      <c r="M106" s="255"/>
    </row>
    <row r="107" spans="3:17" ht="15" customHeight="1">
      <c r="C107" s="29" t="s">
        <v>279</v>
      </c>
      <c r="E107" s="51"/>
      <c r="F107" s="51"/>
      <c r="G107" s="156"/>
      <c r="H107" s="156"/>
      <c r="I107" s="156"/>
      <c r="J107" s="156"/>
      <c r="K107" s="156"/>
      <c r="M107" s="255"/>
    </row>
    <row r="108" spans="3:17" ht="15" customHeight="1">
      <c r="C108" s="29" t="s">
        <v>280</v>
      </c>
      <c r="E108" s="257"/>
      <c r="F108" s="257">
        <f>F103*365</f>
        <v>28.213821796344057</v>
      </c>
      <c r="G108" s="258">
        <v>34</v>
      </c>
      <c r="H108" s="258">
        <v>34</v>
      </c>
      <c r="I108" s="258">
        <v>34</v>
      </c>
      <c r="J108" s="258">
        <v>34</v>
      </c>
      <c r="K108" s="258">
        <v>34</v>
      </c>
      <c r="M108" s="259"/>
      <c r="O108" s="42"/>
      <c r="P108" s="42"/>
    </row>
    <row r="109" spans="3:17" ht="15" customHeight="1">
      <c r="M109" s="255"/>
      <c r="Q109" s="42"/>
    </row>
    <row r="110" spans="3:17" ht="15" customHeight="1">
      <c r="C110" s="27" t="s">
        <v>281</v>
      </c>
      <c r="E110" s="1" t="s">
        <v>274</v>
      </c>
      <c r="F110" s="1"/>
      <c r="G110" s="1" t="s">
        <v>113</v>
      </c>
      <c r="H110" s="1"/>
      <c r="I110" s="1"/>
      <c r="J110" s="1"/>
      <c r="K110" s="1"/>
      <c r="M110" s="255"/>
    </row>
    <row r="111" spans="3:17" ht="15" customHeight="1">
      <c r="C111" s="29" t="s">
        <v>114</v>
      </c>
      <c r="G111" s="61"/>
      <c r="H111" s="61"/>
      <c r="I111" s="61"/>
      <c r="J111" s="61"/>
      <c r="K111" s="61"/>
      <c r="M111" s="255"/>
    </row>
    <row r="112" spans="3:17" ht="15" customHeight="1">
      <c r="C112" s="29" t="s">
        <v>275</v>
      </c>
      <c r="G112" s="61"/>
      <c r="H112" s="61"/>
      <c r="I112" s="61"/>
      <c r="J112" s="61"/>
      <c r="K112" s="61"/>
      <c r="M112" s="255"/>
    </row>
    <row r="113" spans="3:15" ht="15" customHeight="1">
      <c r="C113" s="29" t="s">
        <v>120</v>
      </c>
      <c r="E113" s="42">
        <f>E48</f>
        <v>4855</v>
      </c>
      <c r="F113" s="42">
        <f>F48</f>
        <v>3956</v>
      </c>
      <c r="G113" s="61"/>
      <c r="H113" s="61"/>
      <c r="I113" s="61"/>
      <c r="J113" s="61"/>
      <c r="K113" s="61"/>
      <c r="M113" s="255"/>
      <c r="O113" s="42"/>
    </row>
    <row r="114" spans="3:15" ht="15" customHeight="1">
      <c r="M114" s="255"/>
    </row>
    <row r="115" spans="3:15" ht="15" customHeight="1">
      <c r="C115" s="29" t="s">
        <v>282</v>
      </c>
      <c r="E115" s="51"/>
      <c r="F115" s="51"/>
      <c r="G115" s="256">
        <v>2</v>
      </c>
      <c r="M115" s="255"/>
    </row>
    <row r="116" spans="3:15" ht="15" customHeight="1">
      <c r="M116" s="255"/>
    </row>
    <row r="117" spans="3:15" ht="15" customHeight="1">
      <c r="C117" s="29" t="s">
        <v>283</v>
      </c>
      <c r="E117" s="51"/>
      <c r="F117" s="51">
        <f>-(AVERAGE(E113:F113)/F19)</f>
        <v>2.6902831041305357E-2</v>
      </c>
      <c r="G117" s="156"/>
      <c r="H117" s="156"/>
      <c r="I117" s="156"/>
      <c r="J117" s="156"/>
      <c r="K117" s="156"/>
      <c r="M117" s="255"/>
    </row>
    <row r="118" spans="3:15" ht="15" customHeight="1">
      <c r="C118" s="29" t="s">
        <v>284</v>
      </c>
      <c r="E118" s="260"/>
      <c r="F118" s="260">
        <f>-(F19/AVERAGE(E113:F113))</f>
        <v>37.170809215753039</v>
      </c>
      <c r="G118" s="261">
        <v>43</v>
      </c>
      <c r="H118" s="261">
        <v>44</v>
      </c>
      <c r="I118" s="261">
        <v>45</v>
      </c>
      <c r="J118" s="261">
        <v>46</v>
      </c>
      <c r="K118" s="261">
        <v>47</v>
      </c>
      <c r="M118" s="255"/>
    </row>
    <row r="119" spans="3:15" ht="15" customHeight="1">
      <c r="M119" s="255"/>
    </row>
    <row r="120" spans="3:15" ht="15" customHeight="1">
      <c r="C120" s="174" t="s">
        <v>285</v>
      </c>
      <c r="D120" s="80"/>
      <c r="E120" s="80"/>
      <c r="F120" s="80"/>
      <c r="G120" s="80"/>
      <c r="H120" s="80"/>
      <c r="I120" s="80"/>
      <c r="J120" s="80"/>
      <c r="K120" s="80"/>
    </row>
    <row r="121" spans="3:15" ht="15" customHeight="1">
      <c r="C121" t="s">
        <v>286</v>
      </c>
      <c r="F121" s="262"/>
      <c r="G121" s="262"/>
      <c r="H121" s="262"/>
      <c r="I121" s="262"/>
      <c r="J121" s="262"/>
      <c r="K121" s="262"/>
    </row>
    <row r="122" spans="3:15" ht="15" customHeight="1">
      <c r="C122" t="s">
        <v>287</v>
      </c>
      <c r="F122" s="262"/>
      <c r="G122" s="262"/>
      <c r="H122" s="262"/>
      <c r="I122" s="262"/>
      <c r="J122" s="262"/>
      <c r="K122" s="262"/>
    </row>
    <row r="123" spans="3:15" ht="15" customHeight="1">
      <c r="C123" t="s">
        <v>288</v>
      </c>
      <c r="F123" s="262"/>
      <c r="G123" s="262"/>
      <c r="H123" s="262"/>
      <c r="I123" s="262"/>
      <c r="J123" s="262"/>
      <c r="K123" s="262"/>
    </row>
    <row r="124" spans="3:15" ht="15" customHeight="1">
      <c r="C124" s="27" t="s">
        <v>289</v>
      </c>
      <c r="D124" s="27"/>
      <c r="E124" s="27"/>
      <c r="F124" s="263"/>
      <c r="G124" s="263"/>
      <c r="H124" s="263"/>
      <c r="I124" s="263"/>
      <c r="J124" s="263"/>
      <c r="K124" s="263"/>
    </row>
    <row r="125" spans="3:15" ht="15" customHeight="1">
      <c r="C125" s="27"/>
      <c r="D125" s="27"/>
      <c r="E125" s="27"/>
      <c r="F125" s="264"/>
      <c r="G125" s="264"/>
      <c r="H125" s="264"/>
      <c r="I125" s="264"/>
      <c r="J125" s="264"/>
      <c r="K125" s="264"/>
    </row>
    <row r="126" spans="3:15" ht="15" customHeight="1">
      <c r="C126" t="s">
        <v>290</v>
      </c>
      <c r="F126" s="262"/>
      <c r="G126" s="262"/>
      <c r="H126" s="262"/>
      <c r="I126" s="262"/>
      <c r="J126" s="262"/>
      <c r="K126" s="262"/>
    </row>
    <row r="127" spans="3:15" ht="15" customHeight="1">
      <c r="C127" s="27" t="s">
        <v>291</v>
      </c>
      <c r="F127" s="265"/>
      <c r="G127" s="265"/>
      <c r="H127" s="265"/>
      <c r="I127" s="265"/>
      <c r="J127" s="265"/>
      <c r="K127" s="265"/>
    </row>
    <row r="128" spans="3:15" ht="15" customHeight="1">
      <c r="C128" s="27"/>
      <c r="F128" s="266"/>
      <c r="G128" s="266"/>
      <c r="H128" s="266"/>
      <c r="I128" s="266"/>
      <c r="J128" s="266"/>
      <c r="K128" s="266"/>
    </row>
    <row r="129" spans="3:15" ht="15" customHeight="1">
      <c r="C129" t="s">
        <v>292</v>
      </c>
      <c r="F129" s="267">
        <f t="shared" ref="F129:K129" si="14">F136/F137</f>
        <v>1.1238426916297297</v>
      </c>
      <c r="G129" s="267">
        <f t="shared" ca="1" si="14"/>
        <v>0.90770864154244657</v>
      </c>
      <c r="H129" s="267">
        <f t="shared" ca="1" si="14"/>
        <v>0.8899736324762918</v>
      </c>
      <c r="I129" s="267">
        <f t="shared" ca="1" si="14"/>
        <v>0.87137679341154439</v>
      </c>
      <c r="J129" s="267">
        <f t="shared" ca="1" si="14"/>
        <v>0.85071540059195305</v>
      </c>
      <c r="K129" s="267">
        <f t="shared" ca="1" si="14"/>
        <v>0.82878748586208961</v>
      </c>
    </row>
    <row r="130" spans="3:15" ht="15" customHeight="1">
      <c r="C130" t="s">
        <v>293</v>
      </c>
      <c r="F130" s="267">
        <f t="shared" ref="F130:K130" si="15">(F46-F133+F47)/F137</f>
        <v>0.76572313589923502</v>
      </c>
      <c r="G130" s="267">
        <f t="shared" ca="1" si="15"/>
        <v>0.58772310698932351</v>
      </c>
      <c r="H130" s="267">
        <f t="shared" ca="1" si="15"/>
        <v>0.56646332505743524</v>
      </c>
      <c r="I130" s="267">
        <f t="shared" ca="1" si="15"/>
        <v>0.54490036391566221</v>
      </c>
      <c r="J130" s="267">
        <f t="shared" ca="1" si="15"/>
        <v>0.52132972213402806</v>
      </c>
      <c r="K130" s="267">
        <f t="shared" ca="1" si="15"/>
        <v>0.49631422450379387</v>
      </c>
    </row>
    <row r="131" spans="3:15" ht="15" customHeight="1">
      <c r="F131" s="267"/>
      <c r="G131" s="267"/>
      <c r="H131" s="267"/>
      <c r="I131" s="267"/>
      <c r="J131" s="267"/>
      <c r="K131" s="267"/>
    </row>
    <row r="132" spans="3:15" ht="15" customHeight="1">
      <c r="C132" s="32" t="s">
        <v>294</v>
      </c>
      <c r="F132" s="267"/>
      <c r="G132" s="267"/>
      <c r="H132" s="267"/>
      <c r="I132" s="267"/>
      <c r="J132" s="267"/>
      <c r="K132" s="267"/>
    </row>
    <row r="133" spans="3:15" ht="15" customHeight="1">
      <c r="C133" t="s">
        <v>295</v>
      </c>
      <c r="D133" s="42"/>
      <c r="E133" s="39">
        <v>194714</v>
      </c>
      <c r="F133" s="39">
        <v>170799</v>
      </c>
      <c r="G133" s="42">
        <f ca="1">F133-(F46-G46)</f>
        <v>153376.39364754269</v>
      </c>
      <c r="H133" s="42">
        <f ca="1">G133-(G46-H46)</f>
        <v>118553.16646492865</v>
      </c>
      <c r="I133" s="42">
        <f ca="1">H133-(H46-I46)</f>
        <v>86013.218911029981</v>
      </c>
      <c r="J133" s="42">
        <f ca="1">I133-(I46-J46)</f>
        <v>55772.606034655983</v>
      </c>
      <c r="K133" s="42">
        <f ca="1">J133-(J46-K46)</f>
        <v>28212.56007398662</v>
      </c>
      <c r="L133" s="46"/>
      <c r="M133" s="46"/>
      <c r="O133" t="s">
        <v>296</v>
      </c>
    </row>
    <row r="134" spans="3:15" ht="15" customHeight="1">
      <c r="C134" t="s">
        <v>297</v>
      </c>
      <c r="E134" s="39">
        <v>2836</v>
      </c>
      <c r="F134" s="39">
        <v>2797</v>
      </c>
      <c r="G134" s="44">
        <f ca="1">F134*(1+G37)</f>
        <v>2664.2609134769104</v>
      </c>
      <c r="H134" s="44">
        <f ca="1">G134*(1+H37)</f>
        <v>2794.7019537544006</v>
      </c>
      <c r="I134" s="44">
        <f ca="1">H134*(1+I37)</f>
        <v>2931.9320951840768</v>
      </c>
      <c r="J134" s="44">
        <f ca="1">I134*(1+J37)</f>
        <v>3091.8000514106097</v>
      </c>
      <c r="K134" s="44">
        <f ca="1">J134*(1+K37)</f>
        <v>3278.0771811675936</v>
      </c>
      <c r="L134" s="42"/>
      <c r="M134" s="42"/>
    </row>
    <row r="135" spans="3:15" ht="15" customHeight="1">
      <c r="C135" t="s">
        <v>298</v>
      </c>
      <c r="E135" s="39">
        <v>97207</v>
      </c>
      <c r="F135" s="39">
        <v>93735</v>
      </c>
      <c r="G135" s="42">
        <f>F135</f>
        <v>93735</v>
      </c>
      <c r="H135" s="42">
        <f>G135</f>
        <v>93735</v>
      </c>
      <c r="I135" s="42">
        <f>H135</f>
        <v>93735</v>
      </c>
      <c r="J135" s="42">
        <f>I135</f>
        <v>93735</v>
      </c>
      <c r="K135" s="42">
        <f>J135</f>
        <v>93735</v>
      </c>
      <c r="L135" s="42"/>
      <c r="M135" s="42"/>
    </row>
    <row r="136" spans="3:15" ht="15" customHeight="1">
      <c r="C136" t="s">
        <v>299</v>
      </c>
      <c r="E136" s="42">
        <f t="shared" ref="E136:K136" si="16">SUM(E46:E50)-E133</f>
        <v>128645</v>
      </c>
      <c r="F136" s="42">
        <f t="shared" si="16"/>
        <v>131339</v>
      </c>
      <c r="G136" s="42">
        <f t="shared" ca="1" si="16"/>
        <v>102398.54436078691</v>
      </c>
      <c r="H136" s="42">
        <f t="shared" ca="1" si="16"/>
        <v>104165.8642257693</v>
      </c>
      <c r="I136" s="42">
        <f t="shared" ca="1" si="16"/>
        <v>106025.16827997702</v>
      </c>
      <c r="J136" s="42">
        <f t="shared" ca="1" si="16"/>
        <v>108191.18761110348</v>
      </c>
      <c r="K136" s="42">
        <f t="shared" ca="1" si="16"/>
        <v>110715.01961298788</v>
      </c>
      <c r="L136" s="42"/>
      <c r="M136" s="42"/>
    </row>
    <row r="137" spans="3:15" ht="15" customHeight="1">
      <c r="C137" t="s">
        <v>300</v>
      </c>
      <c r="E137" s="42">
        <f t="shared" ref="E137:K137" si="17">E55+E56+E57+E58+E59-E134-E135</f>
        <v>100814</v>
      </c>
      <c r="F137" s="42">
        <f t="shared" si="17"/>
        <v>116866</v>
      </c>
      <c r="G137" s="42">
        <f t="shared" ca="1" si="17"/>
        <v>112809.92564616728</v>
      </c>
      <c r="H137" s="42">
        <f t="shared" ca="1" si="17"/>
        <v>117043.7644719145</v>
      </c>
      <c r="I137" s="42">
        <f t="shared" ca="1" si="17"/>
        <v>121675.45553385213</v>
      </c>
      <c r="J137" s="42">
        <f t="shared" ca="1" si="17"/>
        <v>127176.7121364217</v>
      </c>
      <c r="K137" s="42">
        <f t="shared" ca="1" si="17"/>
        <v>133586.74147670573</v>
      </c>
      <c r="L137" s="42"/>
      <c r="M137" s="42"/>
    </row>
    <row r="138" spans="3:15" ht="15" customHeight="1">
      <c r="M138" s="255"/>
    </row>
    <row r="139" spans="3:15" ht="15" customHeight="1">
      <c r="C139" s="16" t="s">
        <v>112</v>
      </c>
      <c r="D139" s="17"/>
      <c r="E139" s="17"/>
      <c r="F139" s="17"/>
      <c r="G139" s="17"/>
      <c r="H139" s="17"/>
      <c r="I139" s="17"/>
      <c r="J139" s="17"/>
      <c r="K139" s="17"/>
    </row>
    <row r="140" spans="3:15" ht="15" customHeight="1">
      <c r="C140" s="36" t="str">
        <f>C15</f>
        <v xml:space="preserve">Fiscal year  </v>
      </c>
      <c r="D140" s="37">
        <f>D$15</f>
        <v>2016</v>
      </c>
      <c r="E140" s="37">
        <f t="shared" ref="E140:K141" si="18">E15</f>
        <v>2017</v>
      </c>
      <c r="F140" s="37">
        <f t="shared" si="18"/>
        <v>2018</v>
      </c>
      <c r="G140" s="65">
        <f t="shared" si="18"/>
        <v>2019</v>
      </c>
      <c r="H140" s="65">
        <f t="shared" si="18"/>
        <v>2020</v>
      </c>
      <c r="I140" s="65">
        <f t="shared" si="18"/>
        <v>2021</v>
      </c>
      <c r="J140" s="65">
        <f t="shared" si="18"/>
        <v>2022</v>
      </c>
      <c r="K140" s="65">
        <f t="shared" si="18"/>
        <v>2023</v>
      </c>
      <c r="M140" s="65"/>
    </row>
    <row r="141" spans="3:15" ht="15" customHeight="1">
      <c r="C141" s="17" t="str">
        <f>C16</f>
        <v>Fiscal year end date</v>
      </c>
      <c r="D141" s="38">
        <f>D16</f>
        <v>42643</v>
      </c>
      <c r="E141" s="38">
        <f t="shared" si="18"/>
        <v>43008</v>
      </c>
      <c r="F141" s="38">
        <f t="shared" si="18"/>
        <v>43372</v>
      </c>
      <c r="G141" s="38">
        <f t="shared" si="18"/>
        <v>43738</v>
      </c>
      <c r="H141" s="38">
        <f t="shared" si="18"/>
        <v>44104</v>
      </c>
      <c r="I141" s="38">
        <f t="shared" si="18"/>
        <v>44469</v>
      </c>
      <c r="J141" s="38">
        <f t="shared" si="18"/>
        <v>44834</v>
      </c>
      <c r="K141" s="38">
        <f t="shared" si="18"/>
        <v>45199</v>
      </c>
      <c r="M141" s="161"/>
    </row>
    <row r="142" spans="3:15" ht="15" customHeight="1">
      <c r="C142" s="27"/>
      <c r="G142" s="3" t="s">
        <v>113</v>
      </c>
      <c r="H142" s="3"/>
      <c r="I142" s="3"/>
      <c r="J142" s="3"/>
      <c r="K142" s="3"/>
      <c r="M142" s="130"/>
    </row>
    <row r="143" spans="3:15" ht="15" customHeight="1">
      <c r="C143" s="30" t="s">
        <v>114</v>
      </c>
      <c r="G143" s="42">
        <f>F146</f>
        <v>41304</v>
      </c>
      <c r="H143" s="42">
        <f>G146</f>
        <v>54589</v>
      </c>
      <c r="I143" s="42">
        <f>H146</f>
        <v>68238</v>
      </c>
      <c r="J143" s="42">
        <f>I146</f>
        <v>82057</v>
      </c>
      <c r="K143" s="42">
        <f ca="1">J146</f>
        <v>96629.50151892101</v>
      </c>
      <c r="M143" s="42"/>
      <c r="O143" t="s">
        <v>115</v>
      </c>
    </row>
    <row r="144" spans="3:15" ht="15" customHeight="1">
      <c r="C144" s="29" t="s">
        <v>116</v>
      </c>
      <c r="D144" s="39">
        <v>12734</v>
      </c>
      <c r="E144" s="39">
        <v>12451</v>
      </c>
      <c r="F144" s="39">
        <v>13313</v>
      </c>
      <c r="G144" s="39">
        <v>13285</v>
      </c>
      <c r="H144" s="39">
        <v>13649</v>
      </c>
      <c r="I144" s="39">
        <v>13819</v>
      </c>
      <c r="J144" s="39">
        <f ca="1">I144*(1+J37)</f>
        <v>14572.50151892101</v>
      </c>
      <c r="K144" s="39">
        <f ca="1">J144*(1+K37)</f>
        <v>15450.476714983708</v>
      </c>
      <c r="M144" s="39"/>
      <c r="O144" t="s">
        <v>117</v>
      </c>
    </row>
    <row r="145" spans="3:19" ht="15" customHeight="1">
      <c r="C145" s="67" t="s">
        <v>118</v>
      </c>
      <c r="D145" s="68">
        <v>-8300</v>
      </c>
      <c r="E145" s="68">
        <v>-8200</v>
      </c>
      <c r="F145" s="68">
        <v>-9300</v>
      </c>
      <c r="G145" s="69"/>
      <c r="H145" s="69"/>
      <c r="I145" s="69"/>
      <c r="J145" s="69"/>
      <c r="K145" s="69"/>
      <c r="M145" s="42"/>
      <c r="O145" t="s">
        <v>301</v>
      </c>
    </row>
    <row r="146" spans="3:19" ht="15" customHeight="1">
      <c r="C146" s="70" t="s">
        <v>120</v>
      </c>
      <c r="D146" s="45"/>
      <c r="E146" s="45">
        <f>E51</f>
        <v>33783</v>
      </c>
      <c r="F146" s="45">
        <f>F51</f>
        <v>41304</v>
      </c>
      <c r="G146" s="45">
        <f>SUM(G143:G145)</f>
        <v>54589</v>
      </c>
      <c r="H146" s="45">
        <f>SUM(H143:H145)</f>
        <v>68238</v>
      </c>
      <c r="I146" s="45">
        <f>SUM(I143:I145)</f>
        <v>82057</v>
      </c>
      <c r="J146" s="45">
        <f ca="1">SUM(J143:J145)</f>
        <v>96629.50151892101</v>
      </c>
      <c r="K146" s="45">
        <f ca="1">SUM(K143:K145)</f>
        <v>112079.97823390472</v>
      </c>
      <c r="M146" s="45"/>
      <c r="O146" t="s">
        <v>121</v>
      </c>
    </row>
    <row r="147" spans="3:19" ht="15" customHeight="1">
      <c r="C147" s="30"/>
    </row>
    <row r="148" spans="3:19" ht="15" customHeight="1">
      <c r="C148" s="30" t="s">
        <v>123</v>
      </c>
      <c r="D148" s="71">
        <f t="shared" ref="D148:K148" si="19">-(D145/D144)</f>
        <v>0.65179833516569818</v>
      </c>
      <c r="E148" s="71">
        <f t="shared" si="19"/>
        <v>0.6585816400289134</v>
      </c>
      <c r="F148" s="71">
        <f t="shared" si="19"/>
        <v>0.69856531210095396</v>
      </c>
      <c r="G148" s="63">
        <f t="shared" si="19"/>
        <v>0</v>
      </c>
      <c r="H148" s="63">
        <f t="shared" si="19"/>
        <v>0</v>
      </c>
      <c r="I148" s="63">
        <f t="shared" si="19"/>
        <v>0</v>
      </c>
      <c r="J148" s="63">
        <f t="shared" ca="1" si="19"/>
        <v>0</v>
      </c>
      <c r="K148" s="63">
        <f t="shared" ca="1" si="19"/>
        <v>0</v>
      </c>
      <c r="M148" s="63"/>
      <c r="Q148" s="74"/>
      <c r="R148" s="74"/>
      <c r="S148" s="74"/>
    </row>
    <row r="149" spans="3:19" ht="15" customHeight="1">
      <c r="C149" s="30"/>
      <c r="D149" s="71"/>
      <c r="E149" s="71"/>
      <c r="F149" s="71"/>
      <c r="G149" s="63"/>
      <c r="H149" s="63"/>
      <c r="I149" s="63"/>
      <c r="J149" s="63"/>
      <c r="K149" s="63"/>
      <c r="M149" s="63"/>
      <c r="Q149" s="74"/>
      <c r="R149" s="74"/>
      <c r="S149" s="74"/>
    </row>
    <row r="150" spans="3:19" ht="15" customHeight="1">
      <c r="C150" s="174" t="s">
        <v>302</v>
      </c>
      <c r="D150" s="268"/>
      <c r="E150" s="268"/>
      <c r="F150" s="268"/>
      <c r="G150" s="269"/>
      <c r="H150" s="269"/>
      <c r="I150" s="269"/>
      <c r="J150" s="269"/>
      <c r="K150" s="269"/>
      <c r="M150" s="63"/>
      <c r="Q150" s="74"/>
      <c r="R150" s="74"/>
      <c r="S150" s="74"/>
    </row>
    <row r="151" spans="3:19" ht="15" customHeight="1">
      <c r="C151" t="s">
        <v>303</v>
      </c>
      <c r="G151" s="63"/>
      <c r="H151" s="63"/>
      <c r="I151" s="63"/>
      <c r="J151" s="63"/>
      <c r="K151" s="63"/>
      <c r="M151" s="63"/>
      <c r="Q151" s="74"/>
      <c r="R151" s="74"/>
      <c r="S151" s="74"/>
    </row>
    <row r="152" spans="3:19" ht="15" customHeight="1">
      <c r="C152" s="29" t="s">
        <v>304</v>
      </c>
      <c r="E152" s="26"/>
      <c r="F152" s="26"/>
      <c r="G152" s="63" t="s">
        <v>305</v>
      </c>
      <c r="H152" s="63"/>
      <c r="I152" s="63"/>
      <c r="J152" s="63"/>
      <c r="K152" s="63"/>
      <c r="M152" s="63"/>
      <c r="Q152" s="74"/>
      <c r="R152" s="74"/>
      <c r="S152" s="74"/>
    </row>
    <row r="153" spans="3:19" ht="15" customHeight="1">
      <c r="C153" s="29" t="s">
        <v>306</v>
      </c>
      <c r="E153" s="26"/>
      <c r="F153" s="26"/>
      <c r="G153" s="63" t="s">
        <v>305</v>
      </c>
      <c r="H153" s="63"/>
      <c r="I153" s="63"/>
      <c r="J153" s="63"/>
      <c r="K153" s="63"/>
      <c r="M153" s="63"/>
      <c r="Q153" s="74"/>
      <c r="R153" s="74"/>
      <c r="S153" s="74"/>
    </row>
    <row r="154" spans="3:19" ht="15" customHeight="1">
      <c r="C154" s="29" t="s">
        <v>307</v>
      </c>
      <c r="E154" s="58"/>
      <c r="F154" s="58"/>
      <c r="G154" s="63"/>
      <c r="H154" s="63"/>
      <c r="I154" s="63"/>
      <c r="J154" s="63"/>
      <c r="K154" s="63"/>
      <c r="M154" s="63"/>
      <c r="Q154" s="74"/>
      <c r="R154" s="74"/>
      <c r="S154" s="74"/>
    </row>
    <row r="155" spans="3:19" ht="15" customHeight="1">
      <c r="C155" s="29" t="s">
        <v>308</v>
      </c>
      <c r="E155" s="58"/>
      <c r="F155" s="58"/>
      <c r="G155" s="63"/>
      <c r="H155" s="63"/>
      <c r="I155" s="63"/>
      <c r="J155" s="63"/>
      <c r="K155" s="63"/>
      <c r="M155" s="63"/>
      <c r="Q155" s="74"/>
      <c r="R155" s="74"/>
      <c r="S155" s="74"/>
    </row>
    <row r="156" spans="3:19" ht="15" customHeight="1">
      <c r="C156" s="30"/>
      <c r="D156" s="71"/>
      <c r="M156" s="63"/>
      <c r="Q156" s="74"/>
      <c r="R156" s="74"/>
      <c r="S156" s="74"/>
    </row>
    <row r="157" spans="3:19" ht="15" customHeight="1">
      <c r="C157" t="s">
        <v>309</v>
      </c>
      <c r="D157" s="270">
        <f>IF(D158,D158,-ROUND((F152-F153)/F145,0))</f>
        <v>0</v>
      </c>
      <c r="G157" s="42"/>
      <c r="H157" s="44"/>
      <c r="I157" s="270"/>
      <c r="J157" s="44"/>
      <c r="K157" s="44"/>
      <c r="M157" s="63"/>
      <c r="Q157" s="74"/>
      <c r="R157" s="74"/>
      <c r="S157" s="74"/>
    </row>
    <row r="158" spans="3:19" ht="15" customHeight="1">
      <c r="C158" t="s">
        <v>310</v>
      </c>
      <c r="D158" s="271"/>
      <c r="H158" s="63"/>
      <c r="I158" s="63"/>
      <c r="J158" s="63"/>
      <c r="K158" s="63"/>
      <c r="M158" s="63"/>
      <c r="Q158" s="74"/>
      <c r="R158" s="74"/>
      <c r="S158" s="74"/>
    </row>
    <row r="159" spans="3:19" ht="15" customHeight="1">
      <c r="D159" s="71"/>
      <c r="E159" s="71"/>
      <c r="F159" s="71"/>
      <c r="G159" s="63"/>
      <c r="H159" s="63"/>
      <c r="I159" s="63"/>
      <c r="J159" s="63"/>
      <c r="K159" s="63"/>
      <c r="M159" s="63"/>
      <c r="Q159" s="74"/>
      <c r="R159" s="74"/>
      <c r="S159" s="74"/>
    </row>
    <row r="160" spans="3:19" ht="15" customHeight="1">
      <c r="C160" t="s">
        <v>311</v>
      </c>
      <c r="D160" s="71"/>
      <c r="E160" s="272" t="s">
        <v>312</v>
      </c>
      <c r="F160" s="71"/>
      <c r="G160" s="58"/>
      <c r="H160" s="58"/>
      <c r="I160" s="58"/>
      <c r="J160" s="58"/>
      <c r="K160" s="58"/>
      <c r="M160" s="44"/>
      <c r="Q160" s="74"/>
      <c r="R160" s="74"/>
      <c r="S160" s="74"/>
    </row>
    <row r="161" spans="3:19" ht="15" customHeight="1">
      <c r="C161" t="str">
        <f>"Depreciation from capex purchased in "&amp;G140</f>
        <v>Depreciation from capex purchased in 2019</v>
      </c>
      <c r="D161" s="71"/>
      <c r="E161" s="273">
        <v>1</v>
      </c>
      <c r="F161" s="71"/>
      <c r="G161" s="58"/>
      <c r="H161" s="58"/>
      <c r="I161" s="58"/>
      <c r="J161" s="58"/>
      <c r="K161" s="58"/>
      <c r="M161" s="44"/>
      <c r="Q161" s="74"/>
      <c r="R161" s="74"/>
      <c r="S161" s="74"/>
    </row>
    <row r="162" spans="3:19" ht="15" customHeight="1">
      <c r="C162" t="str">
        <f>"Depreciation from capex purchased in "&amp;H140</f>
        <v>Depreciation from capex purchased in 2020</v>
      </c>
      <c r="D162" s="71"/>
      <c r="E162" s="71"/>
      <c r="F162" s="71"/>
      <c r="G162" s="234"/>
      <c r="H162" s="58"/>
      <c r="I162" s="58"/>
      <c r="J162" s="58"/>
      <c r="K162" s="58"/>
      <c r="M162" s="44"/>
      <c r="Q162" s="74"/>
      <c r="R162" s="74"/>
      <c r="S162" s="74"/>
    </row>
    <row r="163" spans="3:19" ht="15" customHeight="1">
      <c r="C163" t="str">
        <f>"Depreciation from capex purchased in "&amp;I140</f>
        <v>Depreciation from capex purchased in 2021</v>
      </c>
      <c r="D163" s="71"/>
      <c r="E163" s="71"/>
      <c r="F163" s="71"/>
      <c r="G163" s="234"/>
      <c r="H163" s="234"/>
      <c r="I163" s="58"/>
      <c r="J163" s="61"/>
      <c r="K163" s="61"/>
      <c r="M163" s="42"/>
      <c r="Q163" s="74"/>
      <c r="R163" s="74"/>
      <c r="S163" s="74"/>
    </row>
    <row r="164" spans="3:19" ht="15" customHeight="1">
      <c r="C164" t="str">
        <f>"Depreciation from capex purchased in "&amp;J140</f>
        <v>Depreciation from capex purchased in 2022</v>
      </c>
      <c r="D164" s="71"/>
      <c r="E164" s="71"/>
      <c r="F164" s="71"/>
      <c r="G164" s="234"/>
      <c r="H164" s="234"/>
      <c r="I164" s="234"/>
      <c r="J164" s="58"/>
      <c r="K164" s="61"/>
      <c r="M164" s="42"/>
      <c r="Q164" s="74"/>
      <c r="R164" s="74"/>
      <c r="S164" s="74"/>
    </row>
    <row r="165" spans="3:19" ht="15" customHeight="1">
      <c r="C165" t="str">
        <f>"Depreciation from capex purchased in "&amp;K140</f>
        <v>Depreciation from capex purchased in 2023</v>
      </c>
      <c r="D165" s="71"/>
      <c r="E165" s="71"/>
      <c r="F165" s="71"/>
      <c r="G165" s="234"/>
      <c r="H165" s="234"/>
      <c r="I165" s="234"/>
      <c r="J165" s="234"/>
      <c r="K165" s="58"/>
      <c r="M165" s="44"/>
      <c r="Q165" s="74"/>
      <c r="R165" s="74"/>
      <c r="S165" s="74"/>
    </row>
    <row r="166" spans="3:19" ht="15" customHeight="1">
      <c r="C166" s="27" t="s">
        <v>313</v>
      </c>
      <c r="D166" s="71"/>
      <c r="E166" s="71"/>
      <c r="F166" s="71"/>
      <c r="G166" s="66"/>
      <c r="H166" s="66"/>
      <c r="I166" s="66"/>
      <c r="J166" s="66"/>
      <c r="K166" s="66"/>
      <c r="M166" s="45"/>
      <c r="Q166" s="74"/>
      <c r="R166" s="74"/>
      <c r="S166" s="74"/>
    </row>
    <row r="167" spans="3:19" ht="15" customHeight="1">
      <c r="C167" s="30"/>
      <c r="D167" s="71"/>
      <c r="E167" s="71"/>
      <c r="F167" s="71"/>
      <c r="G167" s="63"/>
      <c r="H167" s="63"/>
      <c r="I167" s="63"/>
      <c r="J167" s="63"/>
      <c r="K167" s="63"/>
      <c r="M167" s="63"/>
      <c r="Q167" s="74"/>
      <c r="R167" s="74"/>
      <c r="S167" s="74"/>
    </row>
    <row r="168" spans="3:19" ht="15" customHeight="1">
      <c r="C168" s="75" t="s">
        <v>124</v>
      </c>
      <c r="D168" s="76"/>
      <c r="E168" s="76"/>
      <c r="F168" s="76"/>
      <c r="G168" s="77"/>
      <c r="H168" s="77"/>
      <c r="I168" s="77"/>
      <c r="J168" s="77"/>
      <c r="K168" s="77"/>
      <c r="M168" s="63"/>
      <c r="Q168" s="74"/>
      <c r="R168" s="74"/>
      <c r="S168" s="74"/>
    </row>
    <row r="169" spans="3:19" ht="15" customHeight="1">
      <c r="C169" s="30" t="s">
        <v>125</v>
      </c>
      <c r="D169" s="42">
        <f>D171+D145</f>
        <v>2205</v>
      </c>
      <c r="E169" s="42">
        <f>E171+E145</f>
        <v>1957</v>
      </c>
      <c r="F169" s="42">
        <f>F171+F145</f>
        <v>1603</v>
      </c>
      <c r="G169" s="44">
        <f ca="1">G170*G18</f>
        <v>1526.9253644274177</v>
      </c>
      <c r="H169" s="44">
        <f ca="1">H170*H18</f>
        <v>1601.6829574073306</v>
      </c>
      <c r="I169" s="44">
        <f ca="1">I170*I18</f>
        <v>1680.3314796496511</v>
      </c>
      <c r="J169" s="44">
        <f ca="1">J170*J18</f>
        <v>1771.9540516307495</v>
      </c>
      <c r="K169" s="44">
        <f ca="1">K170*K18</f>
        <v>1878.7120920313373</v>
      </c>
      <c r="M169" s="44"/>
      <c r="O169" t="s">
        <v>126</v>
      </c>
      <c r="Q169" s="74"/>
      <c r="R169" s="74"/>
      <c r="S169" s="74"/>
    </row>
    <row r="170" spans="3:19" ht="15" customHeight="1">
      <c r="C170" s="29" t="s">
        <v>127</v>
      </c>
      <c r="D170" s="51">
        <f>D169/D18</f>
        <v>1.0225423044996499E-2</v>
      </c>
      <c r="E170" s="51">
        <f>E169/E18</f>
        <v>8.537128000209393E-3</v>
      </c>
      <c r="F170" s="51">
        <f>F169/F18</f>
        <v>6.0355051864681188E-3</v>
      </c>
      <c r="G170" s="63">
        <f>F170</f>
        <v>6.0355051864681188E-3</v>
      </c>
      <c r="H170" s="63">
        <f>G170</f>
        <v>6.0355051864681188E-3</v>
      </c>
      <c r="I170" s="63">
        <f>H170</f>
        <v>6.0355051864681188E-3</v>
      </c>
      <c r="J170" s="63">
        <f>I170</f>
        <v>6.0355051864681188E-3</v>
      </c>
      <c r="K170" s="63">
        <f>J170</f>
        <v>6.0355051864681188E-3</v>
      </c>
      <c r="M170" s="63"/>
      <c r="O170" t="s">
        <v>128</v>
      </c>
    </row>
    <row r="171" spans="3:19" ht="15" customHeight="1">
      <c r="C171" s="31" t="s">
        <v>129</v>
      </c>
      <c r="D171" s="45">
        <f>D31</f>
        <v>10505</v>
      </c>
      <c r="E171" s="45">
        <f>E31</f>
        <v>10157</v>
      </c>
      <c r="F171" s="45">
        <f>F31</f>
        <v>10903</v>
      </c>
      <c r="G171" s="41">
        <f ca="1">-G145+G169</f>
        <v>1526.9253644274177</v>
      </c>
      <c r="H171" s="41">
        <f ca="1">-H145+H169</f>
        <v>1601.6829574073306</v>
      </c>
      <c r="I171" s="41">
        <f ca="1">-I145+I169</f>
        <v>1680.3314796496511</v>
      </c>
      <c r="J171" s="41">
        <f ca="1">-J145+J169</f>
        <v>1771.9540516307495</v>
      </c>
      <c r="K171" s="41">
        <f ca="1">-K145+K169</f>
        <v>1878.7120920313373</v>
      </c>
      <c r="M171" s="41"/>
      <c r="O171" t="s">
        <v>130</v>
      </c>
    </row>
    <row r="172" spans="3:19" ht="15" customHeight="1">
      <c r="C172" s="30"/>
      <c r="D172" s="42"/>
      <c r="E172" s="42"/>
      <c r="F172" s="42"/>
      <c r="H172" s="42"/>
      <c r="I172" s="42"/>
      <c r="J172" s="42"/>
      <c r="K172" s="42"/>
      <c r="M172" s="42"/>
    </row>
    <row r="173" spans="3:19" ht="15" customHeight="1">
      <c r="C173" s="78" t="s">
        <v>131</v>
      </c>
      <c r="D173" s="17"/>
      <c r="E173" s="17"/>
      <c r="F173" s="17"/>
      <c r="H173" s="42"/>
      <c r="I173" s="42"/>
      <c r="J173" s="42"/>
      <c r="K173" s="42"/>
      <c r="M173" s="42"/>
    </row>
    <row r="174" spans="3:19" ht="15" customHeight="1">
      <c r="C174" s="30" t="s">
        <v>114</v>
      </c>
      <c r="D174" s="42"/>
      <c r="G174" s="123">
        <f>F177</f>
        <v>22283</v>
      </c>
      <c r="H174" s="123">
        <f ca="1">G177</f>
        <v>21225.500870577758</v>
      </c>
      <c r="I174" s="123">
        <f ca="1">H177</f>
        <v>22264.692039867467</v>
      </c>
      <c r="J174" s="123">
        <f ca="1">I177</f>
        <v>23357.970281368172</v>
      </c>
      <c r="K174" s="123">
        <f ca="1">J177</f>
        <v>24631.59833592514</v>
      </c>
      <c r="M174" s="44"/>
      <c r="O174" t="s">
        <v>115</v>
      </c>
    </row>
    <row r="175" spans="3:19" ht="15" customHeight="1">
      <c r="C175" s="29" t="s">
        <v>132</v>
      </c>
      <c r="G175" s="42">
        <f ca="1">-(G169)</f>
        <v>-1526.9253644274177</v>
      </c>
      <c r="H175" s="42">
        <f ca="1">-(H169)</f>
        <v>-1601.6829574073306</v>
      </c>
      <c r="I175" s="42">
        <f ca="1">-(I169)</f>
        <v>-1680.3314796496511</v>
      </c>
      <c r="J175" s="42">
        <f ca="1">-(J169)</f>
        <v>-1771.9540516307495</v>
      </c>
      <c r="K175" s="42">
        <f ca="1">-(K169)</f>
        <v>-1878.7120920313373</v>
      </c>
      <c r="M175" s="42"/>
      <c r="O175" t="s">
        <v>133</v>
      </c>
    </row>
    <row r="176" spans="3:19" ht="15" customHeight="1">
      <c r="C176" s="67" t="s">
        <v>134</v>
      </c>
      <c r="D176" s="80"/>
      <c r="E176" s="80"/>
      <c r="F176" s="80"/>
      <c r="G176" s="124">
        <f ca="1">G177-G175-G174</f>
        <v>469.42623500517584</v>
      </c>
      <c r="H176" s="124">
        <f ca="1">H177-H175-H174</f>
        <v>2640.8741266970392</v>
      </c>
      <c r="I176" s="124">
        <f ca="1">I177-I175-I174</f>
        <v>2773.6097211503584</v>
      </c>
      <c r="J176" s="124">
        <f ca="1">J177-J175-J174</f>
        <v>3045.5821061877177</v>
      </c>
      <c r="K176" s="124">
        <f ca="1">K177-K175-K174</f>
        <v>3362.7354321725143</v>
      </c>
      <c r="M176" s="44"/>
      <c r="O176" t="s">
        <v>135</v>
      </c>
    </row>
    <row r="177" spans="3:19" ht="15" customHeight="1">
      <c r="C177" s="70" t="s">
        <v>120</v>
      </c>
      <c r="E177" s="45">
        <f t="shared" ref="E177:K177" si="20">E52</f>
        <v>18177</v>
      </c>
      <c r="F177" s="45">
        <f t="shared" si="20"/>
        <v>22283</v>
      </c>
      <c r="G177" s="45">
        <f t="shared" ca="1" si="20"/>
        <v>21225.500870577758</v>
      </c>
      <c r="H177" s="45">
        <f t="shared" ca="1" si="20"/>
        <v>22264.692039867467</v>
      </c>
      <c r="I177" s="45">
        <f t="shared" ca="1" si="20"/>
        <v>23357.970281368172</v>
      </c>
      <c r="J177" s="45">
        <f t="shared" ca="1" si="20"/>
        <v>24631.59833592514</v>
      </c>
      <c r="K177" s="45">
        <f t="shared" ca="1" si="20"/>
        <v>26115.621676066316</v>
      </c>
      <c r="M177" s="45"/>
      <c r="O177" t="s">
        <v>136</v>
      </c>
    </row>
    <row r="178" spans="3:19" ht="15" customHeight="1">
      <c r="C178" s="29"/>
      <c r="E178" s="42"/>
      <c r="F178" s="42"/>
      <c r="H178" s="42"/>
      <c r="I178" s="42"/>
      <c r="J178" s="42"/>
      <c r="K178" s="42"/>
      <c r="M178" s="42"/>
    </row>
    <row r="179" spans="3:19" ht="15" customHeight="1">
      <c r="C179" s="82" t="s">
        <v>137</v>
      </c>
      <c r="D179" s="78"/>
      <c r="E179" s="78"/>
      <c r="F179" s="78"/>
      <c r="G179" s="17"/>
      <c r="H179" s="17"/>
      <c r="I179" s="17"/>
      <c r="J179" s="17"/>
      <c r="K179" s="17"/>
    </row>
    <row r="180" spans="3:19" ht="15" customHeight="1">
      <c r="C180" s="30" t="s">
        <v>114</v>
      </c>
      <c r="G180" s="42">
        <f>F184</f>
        <v>70400</v>
      </c>
      <c r="H180" s="42">
        <f ca="1">G184</f>
        <v>37510.813510234366</v>
      </c>
      <c r="I180" s="42">
        <f ca="1">H184</f>
        <v>7336.1880240101891</v>
      </c>
      <c r="J180" s="42">
        <f ca="1">I184</f>
        <v>-21015.390599891187</v>
      </c>
      <c r="K180" s="42">
        <f ca="1">J184</f>
        <v>-47390.158442879983</v>
      </c>
      <c r="M180" s="42"/>
      <c r="O180" t="s">
        <v>115</v>
      </c>
    </row>
    <row r="181" spans="3:19" ht="15" customHeight="1">
      <c r="C181" s="29" t="s">
        <v>138</v>
      </c>
      <c r="D181" s="44">
        <f t="shared" ref="D181:K181" si="21">D29</f>
        <v>45687</v>
      </c>
      <c r="E181" s="44">
        <f t="shared" si="21"/>
        <v>48351</v>
      </c>
      <c r="F181" s="44">
        <f t="shared" si="21"/>
        <v>59531</v>
      </c>
      <c r="G181" s="42">
        <f t="shared" ca="1" si="21"/>
        <v>52213.524654506109</v>
      </c>
      <c r="H181" s="42">
        <f t="shared" ca="1" si="21"/>
        <v>55742.228713852484</v>
      </c>
      <c r="I181" s="42">
        <f t="shared" ca="1" si="21"/>
        <v>58112.038364497494</v>
      </c>
      <c r="J181" s="42">
        <f t="shared" ca="1" si="21"/>
        <v>60681.728350489873</v>
      </c>
      <c r="K181" s="42">
        <f t="shared" ca="1" si="21"/>
        <v>63813.673137135847</v>
      </c>
      <c r="M181" s="42"/>
      <c r="O181" t="s">
        <v>139</v>
      </c>
    </row>
    <row r="182" spans="3:19" ht="15" customHeight="1">
      <c r="C182" s="29" t="s">
        <v>140</v>
      </c>
      <c r="D182" s="39">
        <v>-12188</v>
      </c>
      <c r="E182" s="39">
        <v>-12803</v>
      </c>
      <c r="F182" s="39">
        <v>-13735</v>
      </c>
      <c r="G182" s="61">
        <f ca="1">-(G186*G181)</f>
        <v>-12046.711144271749</v>
      </c>
      <c r="H182" s="61">
        <f ca="1">-(H186*H181)</f>
        <v>-12860.854200076665</v>
      </c>
      <c r="I182" s="61">
        <f ca="1">-(I186*I181)</f>
        <v>-13407.61698839887</v>
      </c>
      <c r="J182" s="61">
        <f ca="1">-(J186*J181)</f>
        <v>-14000.496193478666</v>
      </c>
      <c r="K182" s="61">
        <f ca="1">-(K186*K181)</f>
        <v>-14723.09889870086</v>
      </c>
      <c r="M182" s="42"/>
      <c r="O182" t="s">
        <v>314</v>
      </c>
    </row>
    <row r="183" spans="3:19" ht="15" customHeight="1">
      <c r="C183" s="67" t="s">
        <v>142</v>
      </c>
      <c r="D183" s="68">
        <v>-29000</v>
      </c>
      <c r="E183" s="68">
        <v>-33001</v>
      </c>
      <c r="F183" s="68">
        <v>-73056</v>
      </c>
      <c r="G183" s="85">
        <f>F183</f>
        <v>-73056</v>
      </c>
      <c r="H183" s="85">
        <f>G183</f>
        <v>-73056</v>
      </c>
      <c r="I183" s="85">
        <f>H183</f>
        <v>-73056</v>
      </c>
      <c r="J183" s="85">
        <f>I183</f>
        <v>-73056</v>
      </c>
      <c r="K183" s="85">
        <f>J183</f>
        <v>-73056</v>
      </c>
      <c r="M183" s="42"/>
      <c r="O183" t="s">
        <v>143</v>
      </c>
    </row>
    <row r="184" spans="3:19" ht="15" customHeight="1">
      <c r="C184" s="70" t="s">
        <v>120</v>
      </c>
      <c r="D184" s="41">
        <f>D64</f>
        <v>0</v>
      </c>
      <c r="E184" s="41">
        <f>E64</f>
        <v>98330</v>
      </c>
      <c r="F184" s="41">
        <f>F64</f>
        <v>70400</v>
      </c>
      <c r="G184" s="45">
        <f ca="1">SUM(G180:G183)</f>
        <v>37510.813510234366</v>
      </c>
      <c r="H184" s="45">
        <f ca="1">SUM(H180:H183)</f>
        <v>7336.1880240101891</v>
      </c>
      <c r="I184" s="45">
        <f ca="1">SUM(I180:I183)</f>
        <v>-21015.390599891187</v>
      </c>
      <c r="J184" s="45">
        <f ca="1">SUM(J180:J183)</f>
        <v>-47390.158442879983</v>
      </c>
      <c r="K184" s="45">
        <f ca="1">SUM(K180:K183)</f>
        <v>-71355.584204444996</v>
      </c>
      <c r="M184" s="45"/>
      <c r="O184" t="s">
        <v>144</v>
      </c>
    </row>
    <row r="185" spans="3:19" ht="15" customHeight="1">
      <c r="E185" s="40"/>
      <c r="F185" s="40"/>
    </row>
    <row r="186" spans="3:19" ht="15" customHeight="1">
      <c r="C186" s="29" t="s">
        <v>177</v>
      </c>
      <c r="D186" s="51">
        <f>-(D182/D181)</f>
        <v>0.26677172937597127</v>
      </c>
      <c r="E186" s="51">
        <f>-(E182/E181)</f>
        <v>0.2647928688134682</v>
      </c>
      <c r="F186" s="51">
        <f>-(F182/F181)</f>
        <v>0.23072012900841579</v>
      </c>
      <c r="G186" s="156">
        <f>F186</f>
        <v>0.23072012900841579</v>
      </c>
      <c r="H186" s="156">
        <f>G186</f>
        <v>0.23072012900841579</v>
      </c>
      <c r="I186" s="156">
        <f>H186</f>
        <v>0.23072012900841579</v>
      </c>
      <c r="J186" s="156">
        <f>I186</f>
        <v>0.23072012900841579</v>
      </c>
      <c r="K186" s="156">
        <f>J186</f>
        <v>0.23072012900841579</v>
      </c>
      <c r="M186" s="51"/>
      <c r="O186" t="s">
        <v>315</v>
      </c>
    </row>
    <row r="187" spans="3:19" ht="15" customHeight="1">
      <c r="E187" s="40"/>
      <c r="F187" s="40"/>
    </row>
    <row r="188" spans="3:19" ht="15" customHeight="1">
      <c r="C188" s="16" t="s">
        <v>145</v>
      </c>
      <c r="D188" s="17"/>
      <c r="E188" s="17"/>
      <c r="F188" s="17"/>
      <c r="G188" s="17"/>
      <c r="H188" s="17"/>
      <c r="I188" s="17"/>
      <c r="J188" s="17"/>
      <c r="K188" s="17"/>
      <c r="Q188" s="74"/>
      <c r="R188" s="74"/>
    </row>
    <row r="189" spans="3:19" ht="15" customHeight="1">
      <c r="C189" s="36" t="str">
        <f t="shared" ref="C189:K189" si="22">C15</f>
        <v xml:space="preserve">Fiscal year  </v>
      </c>
      <c r="D189" s="37">
        <f t="shared" si="22"/>
        <v>2016</v>
      </c>
      <c r="E189" s="37">
        <f t="shared" si="22"/>
        <v>2017</v>
      </c>
      <c r="F189" s="37">
        <f t="shared" si="22"/>
        <v>2018</v>
      </c>
      <c r="G189" s="65">
        <f t="shared" si="22"/>
        <v>2019</v>
      </c>
      <c r="H189" s="65">
        <f t="shared" si="22"/>
        <v>2020</v>
      </c>
      <c r="I189" s="65">
        <f t="shared" si="22"/>
        <v>2021</v>
      </c>
      <c r="J189" s="65">
        <f t="shared" si="22"/>
        <v>2022</v>
      </c>
      <c r="K189" s="65">
        <f t="shared" si="22"/>
        <v>2023</v>
      </c>
      <c r="M189" s="65"/>
      <c r="Q189" s="74"/>
      <c r="R189" s="74"/>
    </row>
    <row r="190" spans="3:19" ht="15" customHeight="1">
      <c r="C190" s="17" t="str">
        <f t="shared" ref="C190:K190" si="23">C16</f>
        <v>Fiscal year end date</v>
      </c>
      <c r="D190" s="38">
        <f t="shared" si="23"/>
        <v>42643</v>
      </c>
      <c r="E190" s="38">
        <f t="shared" si="23"/>
        <v>43008</v>
      </c>
      <c r="F190" s="38">
        <f t="shared" si="23"/>
        <v>43372</v>
      </c>
      <c r="G190" s="38">
        <f t="shared" si="23"/>
        <v>43738</v>
      </c>
      <c r="H190" s="38">
        <f t="shared" si="23"/>
        <v>44104</v>
      </c>
      <c r="I190" s="38">
        <f t="shared" si="23"/>
        <v>44469</v>
      </c>
      <c r="J190" s="38">
        <f t="shared" si="23"/>
        <v>44834</v>
      </c>
      <c r="K190" s="38">
        <f t="shared" si="23"/>
        <v>45199</v>
      </c>
      <c r="M190" s="161"/>
      <c r="Q190" s="74"/>
      <c r="R190" s="74"/>
    </row>
    <row r="191" spans="3:19" ht="15" customHeight="1">
      <c r="C191" s="27"/>
      <c r="Q191" s="74"/>
      <c r="R191" s="74"/>
    </row>
    <row r="192" spans="3:19" ht="15" customHeight="1">
      <c r="C192" s="32" t="s">
        <v>146</v>
      </c>
      <c r="Q192" s="74"/>
      <c r="R192" s="74"/>
      <c r="S192" s="74"/>
    </row>
    <row r="193" spans="3:21" ht="15" customHeight="1">
      <c r="C193" s="29" t="s">
        <v>147</v>
      </c>
      <c r="G193" s="42">
        <f>F46</f>
        <v>237100</v>
      </c>
      <c r="H193" s="42">
        <f ca="1">G46</f>
        <v>219677.39364754269</v>
      </c>
      <c r="I193" s="42">
        <f ca="1">H46</f>
        <v>184854.16646492865</v>
      </c>
      <c r="J193" s="42">
        <f ca="1">I46</f>
        <v>152314.21891102998</v>
      </c>
      <c r="K193" s="42">
        <f ca="1">J46</f>
        <v>122073.60603465598</v>
      </c>
      <c r="M193" s="42"/>
      <c r="O193" t="s">
        <v>148</v>
      </c>
      <c r="Q193" s="74"/>
      <c r="R193" s="74"/>
    </row>
    <row r="194" spans="3:21" ht="15" customHeight="1">
      <c r="C194" s="29" t="s">
        <v>149</v>
      </c>
      <c r="G194" s="39">
        <v>-50000</v>
      </c>
      <c r="H194" s="39">
        <v>-50000</v>
      </c>
      <c r="I194" s="39">
        <v>-50000</v>
      </c>
      <c r="J194" s="39">
        <v>-50000</v>
      </c>
      <c r="K194" s="39">
        <v>-50000</v>
      </c>
      <c r="M194" s="39"/>
      <c r="O194" t="s">
        <v>150</v>
      </c>
      <c r="Q194" s="74"/>
      <c r="R194" s="74"/>
    </row>
    <row r="195" spans="3:21" ht="15" customHeight="1">
      <c r="C195" s="67" t="s">
        <v>151</v>
      </c>
      <c r="D195" s="80"/>
      <c r="E195" s="80"/>
      <c r="F195" s="80"/>
      <c r="G195" s="85">
        <f ca="1">SUM(G81,G84,G86,G88,G89)</f>
        <v>-17458.606352457318</v>
      </c>
      <c r="H195" s="85">
        <f ca="1">SUM(H81,H84,H86,H88,H89)</f>
        <v>-34823.227182614035</v>
      </c>
      <c r="I195" s="85">
        <f ca="1">SUM(I81,I84,I86,I88,I89)</f>
        <v>-32539.947553898681</v>
      </c>
      <c r="J195" s="85">
        <f ca="1">SUM(J81,J84,J86,J88,J89)</f>
        <v>-30240.612876373994</v>
      </c>
      <c r="K195" s="85">
        <f ca="1">SUM(K81,K84,K86,K88,K89)</f>
        <v>-27560.045960669369</v>
      </c>
      <c r="M195" s="42"/>
      <c r="O195" t="s">
        <v>152</v>
      </c>
    </row>
    <row r="196" spans="3:21" ht="15" customHeight="1">
      <c r="C196" s="70" t="s">
        <v>153</v>
      </c>
      <c r="G196" s="45">
        <f ca="1">SUM(G193:G195)</f>
        <v>169641.39364754269</v>
      </c>
      <c r="H196" s="45">
        <f ca="1">SUM(H193:H195)</f>
        <v>134854.16646492865</v>
      </c>
      <c r="I196" s="45">
        <f ca="1">SUM(I193:I195)</f>
        <v>102314.21891102998</v>
      </c>
      <c r="J196" s="45">
        <f ca="1">SUM(J193:J195)</f>
        <v>72073.606034655983</v>
      </c>
      <c r="K196" s="45">
        <f ca="1">SUM(K193:K195)</f>
        <v>44513.560073986613</v>
      </c>
      <c r="M196" s="45"/>
    </row>
    <row r="198" spans="3:21" ht="15" customHeight="1">
      <c r="C198" s="27" t="s">
        <v>154</v>
      </c>
    </row>
    <row r="199" spans="3:21" ht="15" customHeight="1">
      <c r="C199" s="29" t="s">
        <v>114</v>
      </c>
      <c r="G199" s="42">
        <f>F202</f>
        <v>11964</v>
      </c>
      <c r="H199" s="42">
        <f ca="1">G202</f>
        <v>12000</v>
      </c>
      <c r="I199" s="42">
        <f ca="1">H202</f>
        <v>12000</v>
      </c>
      <c r="J199" s="42">
        <f ca="1">I202</f>
        <v>12000</v>
      </c>
      <c r="K199" s="42">
        <f ca="1">J202</f>
        <v>12000</v>
      </c>
      <c r="M199" s="42"/>
      <c r="O199" t="s">
        <v>115</v>
      </c>
    </row>
    <row r="200" spans="3:21" ht="15" customHeight="1">
      <c r="C200" s="29" t="s">
        <v>155</v>
      </c>
      <c r="G200" s="42">
        <f ca="1">-MIN(G196,G199)</f>
        <v>-11964</v>
      </c>
      <c r="H200" s="42">
        <f ca="1">-MIN(H196,H199)</f>
        <v>-12000</v>
      </c>
      <c r="I200" s="42">
        <f ca="1">-MIN(I196,I199)</f>
        <v>-12000</v>
      </c>
      <c r="J200" s="42">
        <f ca="1">-MIN(J196,J199)</f>
        <v>-12000</v>
      </c>
      <c r="K200" s="42">
        <f ca="1">-MIN(K196,K199)</f>
        <v>-12000</v>
      </c>
      <c r="M200" s="42"/>
      <c r="O200" t="s">
        <v>156</v>
      </c>
    </row>
    <row r="201" spans="3:21" ht="15" customHeight="1">
      <c r="C201" s="67" t="s">
        <v>157</v>
      </c>
      <c r="D201" s="80"/>
      <c r="E201" s="80"/>
      <c r="F201" s="80"/>
      <c r="G201" s="68">
        <v>12000</v>
      </c>
      <c r="H201" s="68">
        <v>12000</v>
      </c>
      <c r="I201" s="68">
        <v>12000</v>
      </c>
      <c r="J201" s="68">
        <v>12000</v>
      </c>
      <c r="K201" s="68">
        <v>12000</v>
      </c>
      <c r="M201" s="39"/>
      <c r="O201" t="s">
        <v>150</v>
      </c>
    </row>
    <row r="202" spans="3:21" ht="15" customHeight="1">
      <c r="C202" s="29" t="s">
        <v>120</v>
      </c>
      <c r="D202" s="85">
        <f>D58</f>
        <v>0</v>
      </c>
      <c r="E202" s="85">
        <f>E58</f>
        <v>11977</v>
      </c>
      <c r="F202" s="85">
        <f>F58</f>
        <v>11964</v>
      </c>
      <c r="G202" s="86">
        <f ca="1">SUM(G199:G201)</f>
        <v>12000</v>
      </c>
      <c r="H202" s="86">
        <f ca="1">SUM(H199:H201)</f>
        <v>12000</v>
      </c>
      <c r="I202" s="86">
        <f ca="1">SUM(I199:I201)</f>
        <v>12000</v>
      </c>
      <c r="J202" s="86">
        <f ca="1">SUM(J199:J201)</f>
        <v>12000</v>
      </c>
      <c r="K202" s="86">
        <f ca="1">SUM(K199:K201)</f>
        <v>12000</v>
      </c>
      <c r="M202" s="45"/>
    </row>
    <row r="203" spans="3:21" ht="15" customHeight="1">
      <c r="C203" s="87" t="s">
        <v>158</v>
      </c>
      <c r="D203" s="88"/>
      <c r="E203" s="88"/>
      <c r="F203" s="89"/>
      <c r="G203" s="90" t="str">
        <f ca="1">IF(G202&lt;0,"Negative Debt","OK")</f>
        <v>OK</v>
      </c>
      <c r="H203" s="90" t="str">
        <f ca="1">IF(H202&lt;0,"Negative Debt","OK")</f>
        <v>OK</v>
      </c>
      <c r="I203" s="90" t="str">
        <f ca="1">IF(I202&lt;0,"Negative Debt","OK")</f>
        <v>OK</v>
      </c>
      <c r="J203" s="90" t="str">
        <f ca="1">IF(J202&lt;0,"Negative Debt","OK")</f>
        <v>OK</v>
      </c>
      <c r="K203" s="91" t="str">
        <f ca="1">IF(K202&lt;0,"Negative Debt","OK")</f>
        <v>OK</v>
      </c>
      <c r="M203" s="93"/>
      <c r="U203" s="40"/>
    </row>
    <row r="204" spans="3:21" ht="15" customHeight="1">
      <c r="D204" s="42"/>
      <c r="E204" s="42"/>
      <c r="F204" s="92"/>
      <c r="G204" s="93"/>
      <c r="H204" s="93"/>
      <c r="I204" s="93"/>
      <c r="J204" s="93"/>
      <c r="K204" s="93"/>
      <c r="M204" s="93"/>
      <c r="U204" s="40"/>
    </row>
    <row r="205" spans="3:21" ht="15" customHeight="1">
      <c r="C205" s="16" t="s">
        <v>159</v>
      </c>
      <c r="D205" s="76"/>
      <c r="E205" s="76"/>
      <c r="F205" s="76"/>
      <c r="G205" s="94"/>
      <c r="H205" s="94"/>
      <c r="I205" s="94"/>
      <c r="J205" s="94"/>
      <c r="K205" s="94"/>
      <c r="M205" s="116"/>
      <c r="T205" s="95"/>
    </row>
    <row r="206" spans="3:21" ht="15" customHeight="1">
      <c r="C206" s="36" t="str">
        <f t="shared" ref="C206:K206" si="24">C15</f>
        <v xml:space="preserve">Fiscal year  </v>
      </c>
      <c r="D206" s="37">
        <f t="shared" si="24"/>
        <v>2016</v>
      </c>
      <c r="E206" s="37">
        <f t="shared" si="24"/>
        <v>2017</v>
      </c>
      <c r="F206" s="37">
        <f t="shared" si="24"/>
        <v>2018</v>
      </c>
      <c r="G206" s="65">
        <f t="shared" si="24"/>
        <v>2019</v>
      </c>
      <c r="H206" s="65">
        <f t="shared" si="24"/>
        <v>2020</v>
      </c>
      <c r="I206" s="65">
        <f t="shared" si="24"/>
        <v>2021</v>
      </c>
      <c r="J206" s="65">
        <f t="shared" si="24"/>
        <v>2022</v>
      </c>
      <c r="K206" s="65">
        <f t="shared" si="24"/>
        <v>2023</v>
      </c>
      <c r="M206" s="65"/>
      <c r="T206" s="95"/>
      <c r="U206" s="40"/>
    </row>
    <row r="207" spans="3:21" ht="15" customHeight="1">
      <c r="C207" s="17" t="str">
        <f t="shared" ref="C207:K207" si="25">C16</f>
        <v>Fiscal year end date</v>
      </c>
      <c r="D207" s="38">
        <f t="shared" si="25"/>
        <v>42643</v>
      </c>
      <c r="E207" s="38">
        <f t="shared" si="25"/>
        <v>43008</v>
      </c>
      <c r="F207" s="38">
        <f t="shared" si="25"/>
        <v>43372</v>
      </c>
      <c r="G207" s="38">
        <f t="shared" si="25"/>
        <v>43738</v>
      </c>
      <c r="H207" s="38">
        <f t="shared" si="25"/>
        <v>44104</v>
      </c>
      <c r="I207" s="38">
        <f t="shared" si="25"/>
        <v>44469</v>
      </c>
      <c r="J207" s="38">
        <f t="shared" si="25"/>
        <v>44834</v>
      </c>
      <c r="K207" s="38">
        <f t="shared" si="25"/>
        <v>45199</v>
      </c>
      <c r="M207" s="161"/>
      <c r="T207" s="95"/>
    </row>
    <row r="208" spans="3:21" ht="15" customHeight="1">
      <c r="C208" s="29"/>
      <c r="D208" s="42"/>
      <c r="E208" s="42"/>
      <c r="F208" s="42"/>
      <c r="G208" s="96"/>
      <c r="H208" s="96"/>
      <c r="I208" s="96"/>
      <c r="J208" s="96"/>
      <c r="K208" s="96"/>
      <c r="M208" s="42"/>
      <c r="T208" s="95"/>
    </row>
    <row r="209" spans="3:20" ht="15" customHeight="1">
      <c r="C209" s="30" t="s">
        <v>160</v>
      </c>
      <c r="D209" s="42">
        <f>-(D25)</f>
        <v>1456</v>
      </c>
      <c r="E209" s="42">
        <f>-(E25)</f>
        <v>2323</v>
      </c>
      <c r="F209" s="42">
        <f>-(F25)</f>
        <v>3240</v>
      </c>
      <c r="G209" s="42">
        <f>G214+G219</f>
        <v>3222.7544651501776</v>
      </c>
      <c r="H209" s="42">
        <f ca="1">H214+H219</f>
        <v>3223.5392651501775</v>
      </c>
      <c r="I209" s="42">
        <f ca="1">I214+I219</f>
        <v>3223.5392651501775</v>
      </c>
      <c r="J209" s="42">
        <f ca="1">J214+J219</f>
        <v>3223.5392651501775</v>
      </c>
      <c r="K209" s="42">
        <f ca="1">K214+K219</f>
        <v>3223.5392651501775</v>
      </c>
      <c r="M209" s="42"/>
      <c r="O209" t="s">
        <v>161</v>
      </c>
      <c r="T209" s="40"/>
    </row>
    <row r="210" spans="3:20" ht="15" customHeight="1">
      <c r="C210" s="97"/>
      <c r="T210" s="40"/>
    </row>
    <row r="211" spans="3:20" ht="15" customHeight="1">
      <c r="C211" s="98" t="s">
        <v>162</v>
      </c>
      <c r="T211" s="40"/>
    </row>
    <row r="212" spans="3:20" ht="15" customHeight="1">
      <c r="C212" s="29" t="s">
        <v>163</v>
      </c>
      <c r="E212" s="99">
        <v>1.2E-2</v>
      </c>
      <c r="F212" s="99">
        <v>2.18E-2</v>
      </c>
      <c r="G212" s="125">
        <f>F212</f>
        <v>2.18E-2</v>
      </c>
      <c r="H212" s="125">
        <f>G212</f>
        <v>2.18E-2</v>
      </c>
      <c r="I212" s="125">
        <f>H212</f>
        <v>2.18E-2</v>
      </c>
      <c r="J212" s="125">
        <f>I212</f>
        <v>2.18E-2</v>
      </c>
      <c r="K212" s="125">
        <f>J212</f>
        <v>2.18E-2</v>
      </c>
      <c r="M212" s="125"/>
      <c r="O212" t="s">
        <v>164</v>
      </c>
    </row>
    <row r="213" spans="3:20" ht="15" customHeight="1">
      <c r="C213" s="29" t="s">
        <v>165</v>
      </c>
      <c r="D213" s="85"/>
      <c r="E213" s="85">
        <f t="shared" ref="E213:K213" si="26">E58</f>
        <v>11977</v>
      </c>
      <c r="F213" s="85">
        <f t="shared" si="26"/>
        <v>11964</v>
      </c>
      <c r="G213" s="42">
        <f t="shared" ca="1" si="26"/>
        <v>12000</v>
      </c>
      <c r="H213" s="42">
        <f t="shared" ca="1" si="26"/>
        <v>12000</v>
      </c>
      <c r="I213" s="42">
        <f t="shared" ca="1" si="26"/>
        <v>12000</v>
      </c>
      <c r="J213" s="42">
        <f t="shared" ca="1" si="26"/>
        <v>12000</v>
      </c>
      <c r="K213" s="42">
        <f t="shared" ca="1" si="26"/>
        <v>12000</v>
      </c>
      <c r="M213" s="42"/>
      <c r="O213" t="s">
        <v>166</v>
      </c>
    </row>
    <row r="214" spans="3:20" ht="15" customHeight="1">
      <c r="C214" s="101" t="s">
        <v>167</v>
      </c>
      <c r="D214" s="42"/>
      <c r="E214" s="45">
        <f>AVERAGE(D213:E213)*E212</f>
        <v>143.72399999999999</v>
      </c>
      <c r="F214" s="45">
        <f>AVERAGE(E213:F213)*F212</f>
        <v>260.95690000000002</v>
      </c>
      <c r="G214" s="119">
        <f>F213*G212</f>
        <v>260.8152</v>
      </c>
      <c r="H214" s="119">
        <f ca="1">G213*H212</f>
        <v>261.60000000000002</v>
      </c>
      <c r="I214" s="119">
        <f ca="1">H213*I212</f>
        <v>261.60000000000002</v>
      </c>
      <c r="J214" s="119">
        <f ca="1">I213*J212</f>
        <v>261.60000000000002</v>
      </c>
      <c r="K214" s="119">
        <f ca="1">J213*K212</f>
        <v>261.60000000000002</v>
      </c>
      <c r="M214" s="41"/>
      <c r="O214" t="s">
        <v>168</v>
      </c>
    </row>
    <row r="215" spans="3:20" ht="15" customHeight="1">
      <c r="C215" s="103"/>
      <c r="D215" s="42"/>
      <c r="E215" s="42"/>
      <c r="F215" s="42"/>
    </row>
    <row r="216" spans="3:20" ht="15" customHeight="1">
      <c r="C216" s="98" t="s">
        <v>105</v>
      </c>
      <c r="D216" s="42"/>
      <c r="E216" s="42"/>
      <c r="F216" s="42"/>
    </row>
    <row r="217" spans="3:20" ht="15" customHeight="1">
      <c r="C217" s="29" t="s">
        <v>165</v>
      </c>
      <c r="D217" s="42"/>
      <c r="E217" s="42">
        <f t="shared" ref="E217:K217" si="27">E59</f>
        <v>103703</v>
      </c>
      <c r="F217" s="42">
        <f t="shared" si="27"/>
        <v>102519</v>
      </c>
      <c r="G217" s="42">
        <f t="shared" si="27"/>
        <v>102519</v>
      </c>
      <c r="H217" s="42">
        <f t="shared" si="27"/>
        <v>102519</v>
      </c>
      <c r="I217" s="42">
        <f t="shared" si="27"/>
        <v>102519</v>
      </c>
      <c r="J217" s="42">
        <f t="shared" si="27"/>
        <v>102519</v>
      </c>
      <c r="K217" s="42">
        <f t="shared" si="27"/>
        <v>102519</v>
      </c>
      <c r="M217" s="42"/>
      <c r="O217" t="s">
        <v>107</v>
      </c>
    </row>
    <row r="218" spans="3:20" ht="15" customHeight="1">
      <c r="C218" s="29" t="s">
        <v>163</v>
      </c>
      <c r="E218" s="51">
        <f>E219/AVERAGE(D217:E217)</f>
        <v>2.101458974185896E-2</v>
      </c>
      <c r="F218" s="51">
        <f>F219/AVERAGE(E217:F217)</f>
        <v>2.8891612921996681E-2</v>
      </c>
      <c r="G218" s="125">
        <f>F218</f>
        <v>2.8891612921996681E-2</v>
      </c>
      <c r="H218" s="125">
        <f>G218</f>
        <v>2.8891612921996681E-2</v>
      </c>
      <c r="I218" s="125">
        <f>H218</f>
        <v>2.8891612921996681E-2</v>
      </c>
      <c r="J218" s="125">
        <f>I218</f>
        <v>2.8891612921996681E-2</v>
      </c>
      <c r="K218" s="125">
        <f>J218</f>
        <v>2.8891612921996681E-2</v>
      </c>
      <c r="M218" s="125"/>
      <c r="O218" t="s">
        <v>164</v>
      </c>
      <c r="T218" s="95"/>
    </row>
    <row r="219" spans="3:20" ht="15" customHeight="1">
      <c r="C219" s="70" t="s">
        <v>169</v>
      </c>
      <c r="D219" s="45"/>
      <c r="E219" s="45">
        <f>E209-E214</f>
        <v>2179.2759999999998</v>
      </c>
      <c r="F219" s="45">
        <f>F209-F214</f>
        <v>2979.0430999999999</v>
      </c>
      <c r="G219" s="41">
        <f>G218*AVERAGE(F217:G217)</f>
        <v>2961.9392651501776</v>
      </c>
      <c r="H219" s="41">
        <f>H218*AVERAGE(G217:H217)</f>
        <v>2961.9392651501776</v>
      </c>
      <c r="I219" s="41">
        <f>I218*AVERAGE(H217:I217)</f>
        <v>2961.9392651501776</v>
      </c>
      <c r="J219" s="41">
        <f>J218*AVERAGE(I217:J217)</f>
        <v>2961.9392651501776</v>
      </c>
      <c r="K219" s="41">
        <f>K218*AVERAGE(J217:K217)</f>
        <v>2961.9392651501776</v>
      </c>
      <c r="M219" s="41"/>
      <c r="O219" t="s">
        <v>170</v>
      </c>
    </row>
    <row r="220" spans="3:20" ht="15" customHeight="1">
      <c r="E220" s="42"/>
    </row>
    <row r="221" spans="3:20" ht="15" customHeight="1">
      <c r="C221" s="97" t="s">
        <v>171</v>
      </c>
      <c r="E221" s="42"/>
      <c r="F221" s="42"/>
    </row>
    <row r="222" spans="3:20" ht="15" customHeight="1">
      <c r="C222" s="29" t="s">
        <v>172</v>
      </c>
      <c r="D222" s="49">
        <v>1.7299999999999999E-2</v>
      </c>
      <c r="E222" s="99">
        <v>1.9900000000000001E-2</v>
      </c>
      <c r="F222" s="99">
        <v>2.1600000000000001E-2</v>
      </c>
      <c r="G222" s="127">
        <f>F222</f>
        <v>2.1600000000000001E-2</v>
      </c>
      <c r="H222" s="127">
        <f>G222</f>
        <v>2.1600000000000001E-2</v>
      </c>
      <c r="I222" s="127">
        <f>H222</f>
        <v>2.1600000000000001E-2</v>
      </c>
      <c r="J222" s="127">
        <f>I222</f>
        <v>2.1600000000000001E-2</v>
      </c>
      <c r="K222" s="127">
        <f>J222</f>
        <v>2.1600000000000001E-2</v>
      </c>
      <c r="M222" s="127"/>
      <c r="O222" t="s">
        <v>164</v>
      </c>
    </row>
    <row r="223" spans="3:20" ht="15" customHeight="1">
      <c r="C223" s="29" t="s">
        <v>19</v>
      </c>
      <c r="D223" s="42">
        <f>D24</f>
        <v>3999</v>
      </c>
      <c r="E223" s="42">
        <f>E24</f>
        <v>5201</v>
      </c>
      <c r="F223" s="42">
        <f>F24</f>
        <v>5686</v>
      </c>
      <c r="G223" s="44">
        <f>G222*F46</f>
        <v>5121.3600000000006</v>
      </c>
      <c r="H223" s="44">
        <f ca="1">H222*G46</f>
        <v>4745.0317027869223</v>
      </c>
      <c r="I223" s="44">
        <f ca="1">I222*H46</f>
        <v>3992.8499956424594</v>
      </c>
      <c r="J223" s="44">
        <f ca="1">J222*I46</f>
        <v>3289.9871284782475</v>
      </c>
      <c r="K223" s="44">
        <f ca="1">K222*J46</f>
        <v>2636.7898903485693</v>
      </c>
      <c r="M223" s="44"/>
      <c r="O223" t="s">
        <v>173</v>
      </c>
    </row>
    <row r="224" spans="3:20" ht="15" customHeight="1">
      <c r="C224" s="50"/>
      <c r="D224" s="51"/>
      <c r="E224" s="51"/>
      <c r="F224" s="51"/>
      <c r="G224" s="51"/>
      <c r="H224" s="51"/>
    </row>
    <row r="225" spans="3:13" ht="15" customHeight="1">
      <c r="C225" s="16" t="s">
        <v>191</v>
      </c>
      <c r="D225" s="16"/>
      <c r="E225" s="16"/>
      <c r="F225" s="16"/>
      <c r="G225" s="16"/>
      <c r="H225" s="16"/>
      <c r="I225" s="16"/>
      <c r="J225" s="16"/>
      <c r="K225" s="16"/>
      <c r="M225" s="27"/>
    </row>
    <row r="226" spans="3:13" ht="15" customHeight="1">
      <c r="C226" s="27"/>
    </row>
    <row r="227" spans="3:13" ht="15.75" customHeight="1">
      <c r="C227" s="128" t="s">
        <v>192</v>
      </c>
      <c r="D227" s="129"/>
      <c r="E227" s="129"/>
      <c r="F227" s="129"/>
      <c r="G227" s="129"/>
      <c r="H227" s="129"/>
      <c r="I227" s="129"/>
    </row>
    <row r="228" spans="3:13" ht="15" customHeight="1">
      <c r="D228" s="27"/>
      <c r="E228" s="2" t="s">
        <v>193</v>
      </c>
      <c r="F228" s="2"/>
      <c r="G228" s="2"/>
      <c r="H228" s="2"/>
      <c r="I228" s="2"/>
    </row>
    <row r="229" spans="3:13" ht="15.75" customHeight="1">
      <c r="D229" s="229">
        <f ca="1">G29</f>
        <v>52213.524654506109</v>
      </c>
      <c r="E229" s="230">
        <v>-0.05</v>
      </c>
      <c r="F229" s="230">
        <v>-2.5000000000000001E-2</v>
      </c>
      <c r="G229" s="230">
        <v>0</v>
      </c>
      <c r="H229" s="230">
        <v>2.5000000000000001E-2</v>
      </c>
      <c r="I229" s="230">
        <v>0.05</v>
      </c>
    </row>
    <row r="230" spans="3:13" ht="15" customHeight="1">
      <c r="C230" s="154"/>
      <c r="D230" s="231">
        <v>0.39</v>
      </c>
      <c r="E230" s="232">
        <v>54599.550636029897</v>
      </c>
      <c r="F230" s="232">
        <v>56004.428668279899</v>
      </c>
      <c r="G230" s="232">
        <v>57409.306700529902</v>
      </c>
      <c r="H230" s="232">
        <v>58814.184732779897</v>
      </c>
      <c r="I230" s="232">
        <v>60219.062765029899</v>
      </c>
    </row>
    <row r="231" spans="3:13" ht="15" customHeight="1">
      <c r="C231" s="135" t="s">
        <v>194</v>
      </c>
      <c r="D231" s="231">
        <v>0.38500000000000001</v>
      </c>
      <c r="E231" s="232">
        <v>53548.6576197799</v>
      </c>
      <c r="F231" s="232">
        <v>54925.880572654904</v>
      </c>
      <c r="G231" s="232">
        <v>56303.103525529899</v>
      </c>
      <c r="H231" s="232">
        <v>57680.326478404902</v>
      </c>
      <c r="I231" s="232">
        <v>59057.549431279898</v>
      </c>
    </row>
    <row r="232" spans="3:13" ht="15" customHeight="1">
      <c r="C232" s="135" t="s">
        <v>195</v>
      </c>
      <c r="D232" s="231">
        <v>0.38</v>
      </c>
      <c r="E232" s="232">
        <v>52497.764603529897</v>
      </c>
      <c r="F232" s="232">
        <v>53847.3324770299</v>
      </c>
      <c r="G232" s="232">
        <v>55196.900350529897</v>
      </c>
      <c r="H232" s="232">
        <v>56546.468224029901</v>
      </c>
      <c r="I232" s="232">
        <v>57896.036097529897</v>
      </c>
    </row>
    <row r="233" spans="3:13" ht="15" customHeight="1">
      <c r="C233" s="135" t="s">
        <v>196</v>
      </c>
      <c r="D233" s="231">
        <v>0.375</v>
      </c>
      <c r="E233" s="232">
        <v>51446.8715872799</v>
      </c>
      <c r="F233" s="232">
        <v>52768.784381404897</v>
      </c>
      <c r="G233" s="232">
        <v>54090.697175529902</v>
      </c>
      <c r="H233" s="232">
        <v>55412.609969654899</v>
      </c>
      <c r="I233" s="232">
        <v>56734.522763779903</v>
      </c>
    </row>
    <row r="234" spans="3:13" ht="15" customHeight="1">
      <c r="D234" s="231">
        <v>0.37</v>
      </c>
      <c r="E234" s="232">
        <v>50395.978571029897</v>
      </c>
      <c r="F234" s="232">
        <v>51690.236285779902</v>
      </c>
      <c r="G234" s="232">
        <v>52984.494000529899</v>
      </c>
      <c r="H234" s="232">
        <v>54278.751715279897</v>
      </c>
      <c r="I234" s="232">
        <v>55573.009430029902</v>
      </c>
    </row>
    <row r="235" spans="3:13" ht="15" customHeight="1">
      <c r="D235" s="231">
        <v>0.36499999999999999</v>
      </c>
      <c r="E235" s="232">
        <v>49345.0855547799</v>
      </c>
      <c r="F235" s="232">
        <v>50611.688190154899</v>
      </c>
      <c r="G235" s="232">
        <v>51878.290825529897</v>
      </c>
      <c r="H235" s="232">
        <v>53144.893460904903</v>
      </c>
      <c r="I235" s="232">
        <v>54411.496096279901</v>
      </c>
    </row>
    <row r="237" spans="3:13" ht="15" customHeight="1">
      <c r="C237" s="16" t="s">
        <v>197</v>
      </c>
      <c r="D237" s="16"/>
      <c r="E237" s="16"/>
      <c r="F237" s="16"/>
      <c r="G237" s="16"/>
      <c r="H237" s="16"/>
      <c r="I237" s="16"/>
      <c r="J237" s="16"/>
      <c r="K237" s="16"/>
      <c r="M237" s="27"/>
    </row>
    <row r="238" spans="3:13" ht="15.75" customHeight="1"/>
    <row r="239" spans="3:13" ht="15.75" customHeight="1">
      <c r="C239" t="s">
        <v>198</v>
      </c>
      <c r="D239" s="136" t="str">
        <f>D12</f>
        <v>Base case</v>
      </c>
      <c r="F239" s="137" t="s">
        <v>199</v>
      </c>
      <c r="G239" s="65">
        <f t="shared" ref="G239:K240" si="28">G15</f>
        <v>2019</v>
      </c>
      <c r="H239" s="65">
        <f t="shared" si="28"/>
        <v>2020</v>
      </c>
      <c r="I239" s="65">
        <f t="shared" si="28"/>
        <v>2021</v>
      </c>
      <c r="J239" s="65">
        <f t="shared" si="28"/>
        <v>2022</v>
      </c>
      <c r="K239" s="65">
        <f t="shared" si="28"/>
        <v>2023</v>
      </c>
      <c r="M239" s="65"/>
    </row>
    <row r="240" spans="3:13" ht="15" customHeight="1">
      <c r="E240" s="138"/>
      <c r="F240" s="139" t="s">
        <v>200</v>
      </c>
      <c r="G240" s="38">
        <f t="shared" si="28"/>
        <v>43738</v>
      </c>
      <c r="H240" s="38">
        <f t="shared" si="28"/>
        <v>44104</v>
      </c>
      <c r="I240" s="38">
        <f t="shared" si="28"/>
        <v>44469</v>
      </c>
      <c r="J240" s="38">
        <f t="shared" si="28"/>
        <v>44834</v>
      </c>
      <c r="K240" s="38">
        <f t="shared" si="28"/>
        <v>45199</v>
      </c>
      <c r="M240" s="161"/>
    </row>
    <row r="241" spans="3:21" ht="15" customHeight="1">
      <c r="C241" s="29" t="s">
        <v>263</v>
      </c>
      <c r="F241" s="274" t="str">
        <f t="shared" ref="F241:K245" ca="1" si="29">OFFSET(F$247,MATCH($C241,$C$247:$C$266,0)+MATCH($D$239,$C$248:$C$250,0)-1,0)</f>
        <v>NM</v>
      </c>
      <c r="G241" s="224">
        <f t="shared" ca="1" si="29"/>
        <v>792</v>
      </c>
      <c r="H241" s="224">
        <f t="shared" ca="1" si="29"/>
        <v>725</v>
      </c>
      <c r="I241" s="224">
        <f t="shared" ca="1" si="29"/>
        <v>725</v>
      </c>
      <c r="J241" s="224">
        <f t="shared" ca="1" si="29"/>
        <v>725</v>
      </c>
      <c r="K241" s="224">
        <f t="shared" ca="1" si="29"/>
        <v>725</v>
      </c>
      <c r="M241" s="224"/>
      <c r="O241" s="142"/>
      <c r="P241" s="142"/>
      <c r="Q241" s="142"/>
      <c r="R241" s="142"/>
    </row>
    <row r="242" spans="3:21" ht="15" customHeight="1">
      <c r="C242" s="29" t="s">
        <v>316</v>
      </c>
      <c r="F242" s="274" t="str">
        <f t="shared" ca="1" si="29"/>
        <v>NM</v>
      </c>
      <c r="G242" s="224">
        <f t="shared" ca="1" si="29"/>
        <v>45603</v>
      </c>
      <c r="H242" s="224">
        <f t="shared" ca="1" si="29"/>
        <v>53592</v>
      </c>
      <c r="I242" s="224">
        <f t="shared" ca="1" si="29"/>
        <v>63000</v>
      </c>
      <c r="J242" s="224">
        <f t="shared" ca="1" si="29"/>
        <v>74000</v>
      </c>
      <c r="K242" s="224">
        <f t="shared" ca="1" si="29"/>
        <v>87000</v>
      </c>
      <c r="M242" s="224"/>
      <c r="O242" s="142"/>
      <c r="P242" s="142"/>
      <c r="Q242" s="142"/>
      <c r="R242" s="142"/>
    </row>
    <row r="243" spans="3:21" ht="15" customHeight="1">
      <c r="C243" s="29" t="s">
        <v>31</v>
      </c>
      <c r="F243" s="236" t="str">
        <f t="shared" ca="1" si="29"/>
        <v>NM</v>
      </c>
      <c r="G243" s="71">
        <f t="shared" ca="1" si="29"/>
        <v>0.378</v>
      </c>
      <c r="H243" s="71">
        <f t="shared" ca="1" si="29"/>
        <v>0.38100000000000001</v>
      </c>
      <c r="I243" s="71">
        <f t="shared" ca="1" si="29"/>
        <v>0.38200000000000001</v>
      </c>
      <c r="J243" s="71">
        <f t="shared" ca="1" si="29"/>
        <v>0.38200000000000001</v>
      </c>
      <c r="K243" s="71">
        <f t="shared" ca="1" si="29"/>
        <v>0.38200000000000001</v>
      </c>
      <c r="M243" s="71"/>
      <c r="O243" s="142"/>
      <c r="P243" s="142"/>
      <c r="Q243" s="142"/>
      <c r="R243" s="142"/>
    </row>
    <row r="244" spans="3:21" ht="15" customHeight="1">
      <c r="C244" s="29" t="s">
        <v>32</v>
      </c>
      <c r="F244" s="236" t="str">
        <f t="shared" ca="1" si="29"/>
        <v>NM</v>
      </c>
      <c r="G244" s="71">
        <f t="shared" ca="1" si="29"/>
        <v>6.2E-2</v>
      </c>
      <c r="H244" s="71">
        <f t="shared" ca="1" si="29"/>
        <v>6.3E-2</v>
      </c>
      <c r="I244" s="71">
        <f t="shared" ca="1" si="29"/>
        <v>6.3E-2</v>
      </c>
      <c r="J244" s="71">
        <f t="shared" ca="1" si="29"/>
        <v>6.3E-2</v>
      </c>
      <c r="K244" s="71">
        <f t="shared" ca="1" si="29"/>
        <v>6.3E-2</v>
      </c>
      <c r="M244" s="71"/>
      <c r="O244" s="142"/>
      <c r="P244" s="142"/>
      <c r="Q244" s="142"/>
      <c r="R244" s="142"/>
    </row>
    <row r="245" spans="3:21" ht="15" customHeight="1">
      <c r="C245" s="29" t="s">
        <v>33</v>
      </c>
      <c r="F245" s="236" t="str">
        <f t="shared" ca="1" si="29"/>
        <v>NM</v>
      </c>
      <c r="G245" s="71">
        <f t="shared" ca="1" si="29"/>
        <v>7.3999999999999996E-2</v>
      </c>
      <c r="H245" s="71">
        <f t="shared" ca="1" si="29"/>
        <v>6.9000000000000006E-2</v>
      </c>
      <c r="I245" s="71">
        <f t="shared" ca="1" si="29"/>
        <v>6.9000000000000006E-2</v>
      </c>
      <c r="J245" s="71">
        <f t="shared" ca="1" si="29"/>
        <v>6.9000000000000006E-2</v>
      </c>
      <c r="K245" s="71">
        <f t="shared" ca="1" si="29"/>
        <v>6.9000000000000006E-2</v>
      </c>
      <c r="M245" s="71"/>
      <c r="O245" s="142"/>
      <c r="P245" s="142"/>
      <c r="Q245" s="142"/>
      <c r="R245" s="142"/>
    </row>
    <row r="246" spans="3:21" ht="15" customHeight="1">
      <c r="F246" s="143"/>
    </row>
    <row r="247" spans="3:21" ht="15" customHeight="1">
      <c r="C247" s="70" t="s">
        <v>263</v>
      </c>
      <c r="F247" s="143"/>
    </row>
    <row r="248" spans="3:21" ht="15" customHeight="1">
      <c r="C248" s="103" t="s">
        <v>201</v>
      </c>
      <c r="F248" s="275">
        <v>100</v>
      </c>
      <c r="G248" s="276">
        <f>G249+$F$248</f>
        <v>892</v>
      </c>
      <c r="H248" s="276">
        <f>H249+$F$248</f>
        <v>825</v>
      </c>
      <c r="I248" s="276">
        <f>I249+$F$248</f>
        <v>825</v>
      </c>
      <c r="J248" s="276">
        <f>J249+$F$248</f>
        <v>825</v>
      </c>
      <c r="K248" s="276">
        <f>K249+$F$248</f>
        <v>825</v>
      </c>
      <c r="M248" s="276"/>
    </row>
    <row r="249" spans="3:21" ht="15" customHeight="1">
      <c r="C249" s="103" t="s">
        <v>189</v>
      </c>
      <c r="F249" s="145" t="s">
        <v>202</v>
      </c>
      <c r="G249" s="201">
        <v>792</v>
      </c>
      <c r="H249" s="201">
        <v>725</v>
      </c>
      <c r="I249" s="201">
        <v>725</v>
      </c>
      <c r="J249" s="201">
        <v>725</v>
      </c>
      <c r="K249" s="201">
        <v>725</v>
      </c>
      <c r="M249" s="185"/>
      <c r="O249" t="s">
        <v>84</v>
      </c>
      <c r="Q249" s="35"/>
      <c r="R249" s="35"/>
      <c r="S249" s="35"/>
      <c r="T249" s="35"/>
      <c r="U249" s="35"/>
    </row>
    <row r="250" spans="3:21" ht="15" customHeight="1">
      <c r="C250" s="103" t="s">
        <v>203</v>
      </c>
      <c r="F250" s="275">
        <v>-100</v>
      </c>
      <c r="G250" s="276">
        <f>G249+$F$250</f>
        <v>692</v>
      </c>
      <c r="H250" s="276">
        <f>H249+$F$250</f>
        <v>625</v>
      </c>
      <c r="I250" s="276">
        <f>I249+$F$250</f>
        <v>625</v>
      </c>
      <c r="J250" s="276">
        <f>J249+$F$250</f>
        <v>625</v>
      </c>
      <c r="K250" s="276">
        <f>K249+$F$250</f>
        <v>625</v>
      </c>
      <c r="M250" s="276"/>
      <c r="Q250" s="35"/>
      <c r="R250" s="35"/>
      <c r="S250" s="35"/>
      <c r="T250" s="35"/>
      <c r="U250" s="35"/>
    </row>
    <row r="251" spans="3:21" ht="15" customHeight="1">
      <c r="C251" s="31" t="s">
        <v>316</v>
      </c>
      <c r="F251" s="144"/>
      <c r="G251" s="63"/>
      <c r="H251" s="63"/>
      <c r="I251" s="63"/>
      <c r="J251" s="63"/>
      <c r="K251" s="63"/>
      <c r="M251" s="63"/>
      <c r="Q251" s="35"/>
      <c r="R251" s="35"/>
      <c r="S251" s="35"/>
      <c r="T251" s="35"/>
      <c r="U251" s="35"/>
    </row>
    <row r="252" spans="3:21" ht="15" customHeight="1">
      <c r="C252" s="103" t="s">
        <v>201</v>
      </c>
      <c r="F252" s="275">
        <v>10000</v>
      </c>
      <c r="G252" s="276">
        <f>G253+$F$252</f>
        <v>55603</v>
      </c>
      <c r="H252" s="276">
        <f>H253+$F$252</f>
        <v>63592</v>
      </c>
      <c r="I252" s="276">
        <f>I253+$F$252</f>
        <v>73000</v>
      </c>
      <c r="J252" s="276">
        <f>J253+$F$252</f>
        <v>84000</v>
      </c>
      <c r="K252" s="276">
        <f>K253+$F$252</f>
        <v>97000</v>
      </c>
      <c r="M252" s="276"/>
      <c r="Q252" s="35"/>
      <c r="R252" s="35"/>
      <c r="S252" s="35"/>
      <c r="T252" s="35"/>
      <c r="U252" s="35"/>
    </row>
    <row r="253" spans="3:21" ht="15" customHeight="1">
      <c r="C253" s="103" t="s">
        <v>189</v>
      </c>
      <c r="F253" s="145" t="s">
        <v>202</v>
      </c>
      <c r="G253" s="39">
        <v>45603</v>
      </c>
      <c r="H253" s="39">
        <v>53592</v>
      </c>
      <c r="I253" s="39">
        <v>63000</v>
      </c>
      <c r="J253" s="39">
        <v>74000</v>
      </c>
      <c r="K253" s="39">
        <v>87000</v>
      </c>
      <c r="M253" s="39"/>
      <c r="Q253" s="35"/>
      <c r="R253" s="35"/>
      <c r="S253" s="35"/>
      <c r="T253" s="35"/>
      <c r="U253" s="35"/>
    </row>
    <row r="254" spans="3:21" ht="15" customHeight="1">
      <c r="C254" s="103" t="s">
        <v>203</v>
      </c>
      <c r="F254" s="275">
        <v>-10000</v>
      </c>
      <c r="G254" s="276">
        <f>G253+$F$254</f>
        <v>35603</v>
      </c>
      <c r="H254" s="276">
        <f>H253+$F$254</f>
        <v>43592</v>
      </c>
      <c r="I254" s="276">
        <f>I253+$F$254</f>
        <v>53000</v>
      </c>
      <c r="J254" s="276">
        <f>J253+$F$254</f>
        <v>64000</v>
      </c>
      <c r="K254" s="276">
        <f>K253+$F$254</f>
        <v>77000</v>
      </c>
      <c r="M254" s="276"/>
      <c r="Q254" s="35"/>
      <c r="R254" s="35"/>
      <c r="S254" s="35"/>
      <c r="T254" s="35"/>
      <c r="U254" s="35"/>
    </row>
    <row r="255" spans="3:21" ht="15" customHeight="1">
      <c r="C255" s="70" t="s">
        <v>31</v>
      </c>
      <c r="F255" s="145"/>
      <c r="G255" s="35"/>
      <c r="H255" s="35"/>
      <c r="I255" s="35"/>
      <c r="J255" s="35"/>
      <c r="K255" s="35"/>
      <c r="M255" s="35"/>
      <c r="Q255" s="35"/>
      <c r="R255" s="35"/>
      <c r="S255" s="35"/>
      <c r="T255" s="35"/>
      <c r="U255" s="35"/>
    </row>
    <row r="256" spans="3:21" ht="15" customHeight="1">
      <c r="C256" s="103" t="s">
        <v>201</v>
      </c>
      <c r="F256" s="144">
        <v>0.01</v>
      </c>
      <c r="G256" s="63">
        <f>G257+$F$256</f>
        <v>0.38800000000000001</v>
      </c>
      <c r="H256" s="63">
        <f>H257+$F$256</f>
        <v>0.39100000000000001</v>
      </c>
      <c r="I256" s="63">
        <f>I257+$F$256</f>
        <v>0.39200000000000002</v>
      </c>
      <c r="J256" s="63">
        <f>J257+$F$256</f>
        <v>0.39200000000000002</v>
      </c>
      <c r="K256" s="63">
        <f>K257+$F$256</f>
        <v>0.39200000000000002</v>
      </c>
      <c r="M256" s="63"/>
    </row>
    <row r="257" spans="3:15" ht="15" customHeight="1">
      <c r="C257" s="103" t="s">
        <v>189</v>
      </c>
      <c r="F257" s="145" t="s">
        <v>202</v>
      </c>
      <c r="G257" s="35">
        <v>0.378</v>
      </c>
      <c r="H257" s="35">
        <v>0.38100000000000001</v>
      </c>
      <c r="I257" s="35">
        <v>0.38200000000000001</v>
      </c>
      <c r="J257" s="63">
        <f>I257</f>
        <v>0.38200000000000001</v>
      </c>
      <c r="K257" s="63">
        <f>J257</f>
        <v>0.38200000000000001</v>
      </c>
      <c r="M257" s="63"/>
      <c r="O257" t="s">
        <v>85</v>
      </c>
    </row>
    <row r="258" spans="3:15" ht="15" customHeight="1">
      <c r="C258" s="103" t="s">
        <v>203</v>
      </c>
      <c r="F258" s="144">
        <v>-0.01</v>
      </c>
      <c r="G258" s="63">
        <f>G257+$F$258</f>
        <v>0.36799999999999999</v>
      </c>
      <c r="H258" s="63">
        <f>H257+$F$258</f>
        <v>0.371</v>
      </c>
      <c r="I258" s="63">
        <f>I257+$F$258</f>
        <v>0.372</v>
      </c>
      <c r="J258" s="63">
        <f>J257+$F$258</f>
        <v>0.372</v>
      </c>
      <c r="K258" s="63">
        <f>K257+$F$258</f>
        <v>0.372</v>
      </c>
      <c r="M258" s="63"/>
    </row>
    <row r="259" spans="3:15" ht="15" customHeight="1">
      <c r="C259" s="70" t="s">
        <v>32</v>
      </c>
      <c r="F259" s="145"/>
      <c r="G259" s="146"/>
      <c r="H259" s="146"/>
      <c r="I259" s="146"/>
      <c r="J259" s="146"/>
      <c r="K259" s="146"/>
      <c r="M259" s="146"/>
    </row>
    <row r="260" spans="3:15" ht="15" customHeight="1">
      <c r="C260" s="103" t="s">
        <v>201</v>
      </c>
      <c r="F260" s="144">
        <v>-0.01</v>
      </c>
      <c r="G260" s="63">
        <f>G261+$F$260</f>
        <v>5.1999999999999998E-2</v>
      </c>
      <c r="H260" s="63">
        <f>H261+$F$260</f>
        <v>5.2999999999999999E-2</v>
      </c>
      <c r="I260" s="63">
        <f>I261+$F$260</f>
        <v>5.2999999999999999E-2</v>
      </c>
      <c r="J260" s="63">
        <f>J261+$F$260</f>
        <v>5.2999999999999999E-2</v>
      </c>
      <c r="K260" s="63">
        <f>K261+$F$260</f>
        <v>5.2999999999999999E-2</v>
      </c>
      <c r="M260" s="63"/>
    </row>
    <row r="261" spans="3:15" ht="15" customHeight="1">
      <c r="C261" s="103" t="s">
        <v>189</v>
      </c>
      <c r="F261" s="145" t="s">
        <v>202</v>
      </c>
      <c r="G261" s="35">
        <v>6.2E-2</v>
      </c>
      <c r="H261" s="35">
        <v>6.3E-2</v>
      </c>
      <c r="I261" s="35">
        <v>6.3E-2</v>
      </c>
      <c r="J261" s="63">
        <f>I261</f>
        <v>6.3E-2</v>
      </c>
      <c r="K261" s="63">
        <f>J261</f>
        <v>6.3E-2</v>
      </c>
      <c r="M261" s="63"/>
      <c r="O261" t="s">
        <v>86</v>
      </c>
    </row>
    <row r="262" spans="3:15" ht="15" customHeight="1">
      <c r="C262" s="103" t="s">
        <v>203</v>
      </c>
      <c r="F262" s="144">
        <v>0.01</v>
      </c>
      <c r="G262" s="63">
        <f>G261+$F$262</f>
        <v>7.1999999999999995E-2</v>
      </c>
      <c r="H262" s="63">
        <f>H261+$F$262</f>
        <v>7.2999999999999995E-2</v>
      </c>
      <c r="I262" s="63">
        <f>I261+$F$262</f>
        <v>7.2999999999999995E-2</v>
      </c>
      <c r="J262" s="63">
        <f>J261+$F$262</f>
        <v>7.2999999999999995E-2</v>
      </c>
      <c r="K262" s="63">
        <f>K261+$F$262</f>
        <v>7.2999999999999995E-2</v>
      </c>
      <c r="M262" s="63"/>
    </row>
    <row r="263" spans="3:15" ht="15" customHeight="1">
      <c r="C263" s="70" t="s">
        <v>33</v>
      </c>
      <c r="F263" s="145"/>
      <c r="G263" s="146"/>
      <c r="H263" s="146"/>
      <c r="I263" s="146"/>
      <c r="J263" s="146"/>
      <c r="K263" s="146"/>
      <c r="M263" s="146"/>
    </row>
    <row r="264" spans="3:15" ht="15" customHeight="1">
      <c r="C264" s="103" t="s">
        <v>201</v>
      </c>
      <c r="F264" s="144">
        <v>-0.01</v>
      </c>
      <c r="G264" s="63">
        <f>G265+$F$264</f>
        <v>6.4000000000000001E-2</v>
      </c>
      <c r="H264" s="63">
        <f>H265+$F$264</f>
        <v>5.9000000000000004E-2</v>
      </c>
      <c r="I264" s="63">
        <f>I265+$F$264</f>
        <v>5.9000000000000004E-2</v>
      </c>
      <c r="J264" s="63">
        <f>J265+$F$264</f>
        <v>5.9000000000000004E-2</v>
      </c>
      <c r="K264" s="63">
        <f>K265+$F$264</f>
        <v>5.9000000000000004E-2</v>
      </c>
      <c r="M264" s="63"/>
    </row>
    <row r="265" spans="3:15" ht="15" customHeight="1">
      <c r="C265" s="103" t="s">
        <v>189</v>
      </c>
      <c r="F265" s="145" t="s">
        <v>202</v>
      </c>
      <c r="G265" s="35">
        <v>7.3999999999999996E-2</v>
      </c>
      <c r="H265" s="35">
        <v>6.9000000000000006E-2</v>
      </c>
      <c r="I265" s="35">
        <v>6.9000000000000006E-2</v>
      </c>
      <c r="J265" s="63">
        <f>I265</f>
        <v>6.9000000000000006E-2</v>
      </c>
      <c r="K265" s="63">
        <f>J265</f>
        <v>6.9000000000000006E-2</v>
      </c>
      <c r="M265" s="63"/>
      <c r="O265" t="s">
        <v>86</v>
      </c>
    </row>
    <row r="266" spans="3:15" ht="15.75" customHeight="1">
      <c r="C266" s="103" t="s">
        <v>203</v>
      </c>
      <c r="F266" s="147">
        <v>0.01</v>
      </c>
      <c r="G266" s="63">
        <f>G265+$F$266</f>
        <v>8.3999999999999991E-2</v>
      </c>
      <c r="H266" s="63">
        <f>H265+$F$266</f>
        <v>7.9000000000000001E-2</v>
      </c>
      <c r="I266" s="63">
        <f>I265+$F$266</f>
        <v>7.9000000000000001E-2</v>
      </c>
      <c r="J266" s="63">
        <f>J265+$F$266</f>
        <v>7.9000000000000001E-2</v>
      </c>
      <c r="K266" s="63">
        <f>K265+$F$266</f>
        <v>7.9000000000000001E-2</v>
      </c>
      <c r="M266" s="63"/>
    </row>
    <row r="268" spans="3:15" ht="15" customHeight="1">
      <c r="C268" s="16" t="s">
        <v>204</v>
      </c>
      <c r="D268" s="16"/>
      <c r="E268" s="16"/>
      <c r="F268" s="16"/>
      <c r="G268" s="16"/>
      <c r="H268" s="16"/>
      <c r="I268" s="16"/>
      <c r="J268" s="16"/>
      <c r="K268" s="16"/>
      <c r="M268" s="27"/>
    </row>
    <row r="269" spans="3:15" ht="15" customHeight="1">
      <c r="C269" s="36" t="str">
        <f t="shared" ref="C269:K269" si="30">C15</f>
        <v xml:space="preserve">Fiscal year  </v>
      </c>
      <c r="D269" s="37">
        <f t="shared" si="30"/>
        <v>2016</v>
      </c>
      <c r="E269" s="37">
        <f t="shared" si="30"/>
        <v>2017</v>
      </c>
      <c r="F269" s="37">
        <f t="shared" si="30"/>
        <v>2018</v>
      </c>
      <c r="G269" s="65">
        <f t="shared" si="30"/>
        <v>2019</v>
      </c>
      <c r="H269" s="65">
        <f t="shared" si="30"/>
        <v>2020</v>
      </c>
      <c r="I269" s="65">
        <f t="shared" si="30"/>
        <v>2021</v>
      </c>
      <c r="J269" s="65">
        <f t="shared" si="30"/>
        <v>2022</v>
      </c>
      <c r="K269" s="65">
        <f t="shared" si="30"/>
        <v>2023</v>
      </c>
      <c r="M269" s="65"/>
    </row>
    <row r="270" spans="3:15" ht="15" customHeight="1">
      <c r="C270" s="17" t="str">
        <f t="shared" ref="C270:K270" si="31">C16</f>
        <v>Fiscal year end date</v>
      </c>
      <c r="D270" s="38">
        <f t="shared" si="31"/>
        <v>42643</v>
      </c>
      <c r="E270" s="38">
        <f t="shared" si="31"/>
        <v>43008</v>
      </c>
      <c r="F270" s="38">
        <f t="shared" si="31"/>
        <v>43372</v>
      </c>
      <c r="G270" s="38">
        <f t="shared" si="31"/>
        <v>43738</v>
      </c>
      <c r="H270" s="38">
        <f t="shared" si="31"/>
        <v>44104</v>
      </c>
      <c r="I270" s="38">
        <f t="shared" si="31"/>
        <v>44469</v>
      </c>
      <c r="J270" s="38">
        <f t="shared" si="31"/>
        <v>44834</v>
      </c>
      <c r="K270" s="38">
        <f t="shared" si="31"/>
        <v>45199</v>
      </c>
      <c r="M270" s="161"/>
    </row>
    <row r="271" spans="3:15" ht="15" customHeight="1">
      <c r="G271" s="35"/>
      <c r="H271" s="35"/>
      <c r="I271" s="35"/>
      <c r="J271" s="63"/>
      <c r="K271" s="63"/>
      <c r="M271" s="63"/>
    </row>
    <row r="272" spans="3:15" ht="15" customHeight="1">
      <c r="C272" t="s">
        <v>24</v>
      </c>
      <c r="D272" s="61">
        <f t="shared" ref="D272:K272" si="32">D29</f>
        <v>45687</v>
      </c>
      <c r="E272" s="61">
        <f t="shared" si="32"/>
        <v>48351</v>
      </c>
      <c r="F272" s="61">
        <f t="shared" si="32"/>
        <v>59531</v>
      </c>
      <c r="G272" s="61">
        <f t="shared" ca="1" si="32"/>
        <v>52213.524654506109</v>
      </c>
      <c r="H272" s="61">
        <f t="shared" ca="1" si="32"/>
        <v>55742.228713852484</v>
      </c>
      <c r="I272" s="61">
        <f t="shared" ca="1" si="32"/>
        <v>58112.038364497494</v>
      </c>
      <c r="J272" s="61">
        <f t="shared" ca="1" si="32"/>
        <v>60681.728350489873</v>
      </c>
      <c r="K272" s="61">
        <f t="shared" ca="1" si="32"/>
        <v>63813.673137135847</v>
      </c>
      <c r="M272" s="42"/>
      <c r="O272" t="s">
        <v>205</v>
      </c>
    </row>
    <row r="273" spans="3:15" ht="15" customHeight="1">
      <c r="C273" t="s">
        <v>206</v>
      </c>
      <c r="D273" s="26">
        <v>5470.82</v>
      </c>
      <c r="E273" s="26">
        <v>5217.2420000000002</v>
      </c>
      <c r="F273" s="26">
        <v>4955.3770000000004</v>
      </c>
      <c r="G273" s="61">
        <f ca="1">F273-(G279+G280)/G281</f>
        <v>4577.7690892979917</v>
      </c>
      <c r="H273" s="61">
        <f ca="1">G273-(H279+H280)/H281</f>
        <v>4250.617459330495</v>
      </c>
      <c r="I273" s="61">
        <f ca="1">H273-(I279+I280)/I281</f>
        <v>3967.2383826369164</v>
      </c>
      <c r="J273" s="61">
        <f ca="1">I273-(J279+J280)/J281</f>
        <v>3721.9367154432744</v>
      </c>
      <c r="K273" s="61">
        <f ca="1">J273-(K279+K280)/K281</f>
        <v>3509.7605693271717</v>
      </c>
      <c r="M273" s="42"/>
      <c r="O273" t="s">
        <v>266</v>
      </c>
    </row>
    <row r="274" spans="3:15" ht="15" customHeight="1">
      <c r="C274" s="27" t="s">
        <v>208</v>
      </c>
      <c r="D274" s="149">
        <f t="shared" ref="D274:K274" si="33">D272/D273</f>
        <v>8.3510333003096431</v>
      </c>
      <c r="E274" s="149">
        <f t="shared" si="33"/>
        <v>9.2675402061088974</v>
      </c>
      <c r="F274" s="149">
        <f t="shared" si="33"/>
        <v>12.0134149228202</v>
      </c>
      <c r="G274" s="149">
        <f t="shared" ca="1" si="33"/>
        <v>11.405888684200351</v>
      </c>
      <c r="H274" s="149">
        <f t="shared" ca="1" si="33"/>
        <v>13.113913271939628</v>
      </c>
      <c r="I274" s="149">
        <f t="shared" ca="1" si="33"/>
        <v>14.647982490498086</v>
      </c>
      <c r="J274" s="149">
        <f t="shared" ca="1" si="33"/>
        <v>16.303804441033549</v>
      </c>
      <c r="K274" s="149">
        <f t="shared" ca="1" si="33"/>
        <v>18.181773906408967</v>
      </c>
      <c r="M274" s="277"/>
      <c r="O274" t="s">
        <v>209</v>
      </c>
    </row>
    <row r="275" spans="3:15" ht="15" customHeight="1">
      <c r="D275" s="39"/>
      <c r="E275" s="39"/>
      <c r="F275" s="39"/>
      <c r="G275" s="42"/>
    </row>
    <row r="276" spans="3:15" ht="15" customHeight="1">
      <c r="C276" t="s">
        <v>210</v>
      </c>
      <c r="D276" s="26">
        <v>5500.2809999999999</v>
      </c>
      <c r="E276" s="26">
        <v>5251.692</v>
      </c>
      <c r="F276" s="26">
        <v>5000.1090000000004</v>
      </c>
      <c r="G276" s="61">
        <f ca="1">(F276-F273)+G273</f>
        <v>4622.5010892979917</v>
      </c>
      <c r="H276" s="61">
        <f ca="1">(G276-G273)+H273</f>
        <v>4295.3494593304949</v>
      </c>
      <c r="I276" s="61">
        <f ca="1">(H276-H273)+I273</f>
        <v>4011.9703826369164</v>
      </c>
      <c r="J276" s="61">
        <f ca="1">(I276-I273)+J273</f>
        <v>3766.6687154432743</v>
      </c>
      <c r="K276" s="61">
        <f ca="1">(J276-J273)+K273</f>
        <v>3554.4925693271716</v>
      </c>
      <c r="M276" s="42"/>
      <c r="O276" t="s">
        <v>211</v>
      </c>
    </row>
    <row r="277" spans="3:15" ht="15" customHeight="1">
      <c r="C277" s="27" t="s">
        <v>212</v>
      </c>
      <c r="D277" s="149">
        <f t="shared" ref="D277:K277" si="34">D272/D276</f>
        <v>8.3063028961611227</v>
      </c>
      <c r="E277" s="149">
        <f t="shared" si="34"/>
        <v>9.2067470826545037</v>
      </c>
      <c r="F277" s="149">
        <f t="shared" si="34"/>
        <v>11.905940450498179</v>
      </c>
      <c r="G277" s="149">
        <f t="shared" ca="1" si="34"/>
        <v>11.295513758858984</v>
      </c>
      <c r="H277" s="149">
        <f t="shared" ca="1" si="34"/>
        <v>12.97734427469398</v>
      </c>
      <c r="I277" s="149">
        <f t="shared" ca="1" si="34"/>
        <v>14.484662851948237</v>
      </c>
      <c r="J277" s="149">
        <f t="shared" ca="1" si="34"/>
        <v>16.110184604686861</v>
      </c>
      <c r="K277" s="149">
        <f t="shared" ca="1" si="34"/>
        <v>17.952962875152419</v>
      </c>
      <c r="M277" s="277"/>
      <c r="O277" t="s">
        <v>213</v>
      </c>
    </row>
    <row r="278" spans="3:15" ht="15" customHeight="1">
      <c r="G278" s="151"/>
    </row>
    <row r="279" spans="3:15" ht="15" customHeight="1">
      <c r="C279" t="s">
        <v>214</v>
      </c>
      <c r="G279" s="61">
        <f>-(G183)</f>
        <v>73056</v>
      </c>
      <c r="H279" s="61">
        <f>-(H183)</f>
        <v>73056</v>
      </c>
      <c r="I279" s="61">
        <f>-(I183)</f>
        <v>73056</v>
      </c>
      <c r="J279" s="61">
        <f>-(J183)</f>
        <v>73056</v>
      </c>
      <c r="K279" s="61">
        <f>-(K183)</f>
        <v>73056</v>
      </c>
      <c r="M279" s="42"/>
      <c r="O279" t="s">
        <v>215</v>
      </c>
    </row>
    <row r="280" spans="3:15" ht="15" customHeight="1">
      <c r="C280" t="s">
        <v>216</v>
      </c>
      <c r="G280" s="61">
        <f ca="1">-(G33)</f>
        <v>-5086.5760736384345</v>
      </c>
      <c r="H280" s="61">
        <f ca="1">-(H33)</f>
        <v>-5335.6125967281014</v>
      </c>
      <c r="I280" s="61">
        <f ca="1">-(I33)</f>
        <v>-5597.6107930936605</v>
      </c>
      <c r="J280" s="61">
        <f ca="1">-(J33)</f>
        <v>-5902.8288432365589</v>
      </c>
      <c r="K280" s="61">
        <f ca="1">-(K33)</f>
        <v>-6258.4669815641573</v>
      </c>
      <c r="M280" s="42"/>
      <c r="O280" t="s">
        <v>217</v>
      </c>
    </row>
    <row r="281" spans="3:15" ht="15" customHeight="1">
      <c r="C281" t="s">
        <v>218</v>
      </c>
      <c r="G281" s="152">
        <v>180</v>
      </c>
      <c r="H281" s="157">
        <f>G281*(1+H282)</f>
        <v>206.99999999999997</v>
      </c>
      <c r="I281" s="157">
        <f>H281*(1+I282)</f>
        <v>238.04999999999995</v>
      </c>
      <c r="J281" s="157">
        <f>I281*(1+J282)</f>
        <v>273.75749999999994</v>
      </c>
      <c r="K281" s="157">
        <f>J281*(1+K282)</f>
        <v>314.82112499999988</v>
      </c>
      <c r="M281" s="151"/>
      <c r="O281" t="s">
        <v>219</v>
      </c>
    </row>
    <row r="282" spans="3:15" ht="15" customHeight="1">
      <c r="C282" t="s">
        <v>220</v>
      </c>
      <c r="H282" s="116">
        <v>0.15</v>
      </c>
      <c r="I282" s="116">
        <v>0.15</v>
      </c>
      <c r="J282" s="116">
        <v>0.15</v>
      </c>
      <c r="K282" s="116">
        <v>0.15</v>
      </c>
      <c r="M282" s="116"/>
      <c r="O282" t="s">
        <v>150</v>
      </c>
    </row>
  </sheetData>
  <mergeCells count="6">
    <mergeCell ref="E228:I228"/>
    <mergeCell ref="E98:F98"/>
    <mergeCell ref="G98:K98"/>
    <mergeCell ref="E110:F110"/>
    <mergeCell ref="G110:K110"/>
    <mergeCell ref="G142:K142"/>
  </mergeCells>
  <conditionalFormatting sqref="C40">
    <cfRule type="expression" dxfId="9" priority="4">
      <formula>#REF!=$C40</formula>
    </cfRule>
  </conditionalFormatting>
  <conditionalFormatting sqref="C245">
    <cfRule type="expression" dxfId="8" priority="2">
      <formula>#REF!=$C245</formula>
    </cfRule>
  </conditionalFormatting>
  <conditionalFormatting sqref="C263">
    <cfRule type="expression" dxfId="7" priority="3">
      <formula>#REF!=$C263</formula>
    </cfRule>
  </conditionalFormatting>
  <dataValidations count="5">
    <dataValidation type="list" allowBlank="1" showInputMessage="1" showErrorMessage="1" sqref="G105 G115" xr:uid="{00000000-0002-0000-0F00-000000000000}">
      <formula1>"1,2"</formula1>
      <formula2>0</formula2>
    </dataValidation>
    <dataValidation type="list" allowBlank="1" showInputMessage="1" showErrorMessage="1" sqref="D7" xr:uid="{00000000-0002-0000-0F00-000001000000}">
      <formula1>"0,1"</formula1>
      <formula2>0</formula2>
    </dataValidation>
    <dataValidation type="list" allowBlank="1" showInputMessage="1" showErrorMessage="1" sqref="D12" xr:uid="{00000000-0002-0000-0F00-000002000000}">
      <formula1>$C$248:$C$250</formula1>
      <formula2>0</formula2>
    </dataValidation>
    <dataValidation type="list" allowBlank="1" showInputMessage="1" showErrorMessage="1" sqref="C3" xr:uid="{00000000-0002-0000-0F00-000003000000}">
      <formula1>"$ bns except per share,$ mm except per share,$ in thousands except per share"</formula1>
      <formula2>0</formula2>
    </dataValidation>
    <dataValidation type="list" allowBlank="1" showInputMessage="1" showErrorMessage="1" sqref="E161" xr:uid="{00000000-0002-0000-0F00-000004000000}">
      <formula1>"1,.5"</formula1>
      <formula2>0</formula2>
    </dataValidation>
  </dataValidations>
  <pageMargins left="0.7" right="0.7" top="0.75" bottom="0.75" header="0.511811023622047" footer="0.511811023622047"/>
  <pageSetup orientation="portrait" horizontalDpi="300" verticalDpi="300"/>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C1:V287"/>
  <sheetViews>
    <sheetView topLeftCell="A142" zoomScaleNormal="100" workbookViewId="0">
      <selection activeCell="M177" sqref="M177"/>
    </sheetView>
  </sheetViews>
  <sheetFormatPr baseColWidth="10" defaultColWidth="8.83203125" defaultRowHeight="15"/>
  <cols>
    <col min="1" max="2" width="1.6640625" customWidth="1"/>
    <col min="3" max="3" width="58.33203125" customWidth="1"/>
    <col min="4" max="4" width="13.33203125" customWidth="1"/>
    <col min="5" max="11" width="11.5" customWidth="1"/>
    <col min="12" max="12" width="2.5" customWidth="1"/>
    <col min="13" max="13" width="11.5" customWidth="1"/>
    <col min="14" max="14" width="2.33203125" customWidth="1"/>
    <col min="15" max="15" width="11.5" customWidth="1"/>
    <col min="16" max="16" width="11.83203125" customWidth="1"/>
    <col min="17" max="19" width="10.33203125" customWidth="1"/>
    <col min="20" max="21" width="9.5" customWidth="1"/>
  </cols>
  <sheetData>
    <row r="1" spans="3:21" ht="15.75" customHeight="1"/>
    <row r="2" spans="3:21" ht="15.75" customHeight="1">
      <c r="C2" s="4" t="str">
        <f>"Financial Statement Model for "&amp;D5</f>
        <v>Financial Statement Model for Apple</v>
      </c>
      <c r="D2" s="5"/>
      <c r="E2" s="5"/>
      <c r="F2" s="5"/>
      <c r="G2" s="5"/>
      <c r="H2" s="5"/>
      <c r="I2" s="5"/>
      <c r="J2" s="5"/>
      <c r="K2" s="5"/>
    </row>
    <row r="3" spans="3:21" ht="15" customHeight="1">
      <c r="C3" s="6" t="s">
        <v>0</v>
      </c>
      <c r="D3" s="7"/>
      <c r="E3" s="7"/>
      <c r="F3" s="7"/>
      <c r="G3" s="7"/>
      <c r="H3" s="7"/>
    </row>
    <row r="5" spans="3:21" ht="15" customHeight="1">
      <c r="C5" s="8" t="s">
        <v>1</v>
      </c>
      <c r="D5" s="9" t="s">
        <v>2</v>
      </c>
    </row>
    <row r="6" spans="3:21" ht="15" customHeight="1">
      <c r="C6" s="8" t="s">
        <v>3</v>
      </c>
      <c r="D6" s="9" t="s">
        <v>4</v>
      </c>
    </row>
    <row r="7" spans="3:21" ht="15" customHeight="1">
      <c r="C7" t="s">
        <v>5</v>
      </c>
      <c r="D7" s="10">
        <v>1</v>
      </c>
    </row>
    <row r="8" spans="3:21" ht="15" customHeight="1">
      <c r="C8" t="s">
        <v>6</v>
      </c>
      <c r="D8" s="11">
        <v>171.25</v>
      </c>
    </row>
    <row r="9" spans="3:21" ht="15" customHeight="1">
      <c r="C9" t="s">
        <v>7</v>
      </c>
      <c r="D9" s="12">
        <v>43500</v>
      </c>
    </row>
    <row r="10" spans="3:21" ht="15" customHeight="1">
      <c r="C10" s="8" t="s">
        <v>8</v>
      </c>
      <c r="D10" s="13">
        <v>43372</v>
      </c>
    </row>
    <row r="11" spans="3:21" ht="15" customHeight="1">
      <c r="C11" t="s">
        <v>9</v>
      </c>
      <c r="D11" s="54">
        <v>4745.3980000000001</v>
      </c>
    </row>
    <row r="12" spans="3:21" ht="15" customHeight="1">
      <c r="C12" t="s">
        <v>188</v>
      </c>
      <c r="D12" s="10" t="s">
        <v>189</v>
      </c>
    </row>
    <row r="13" spans="3:21" ht="15" customHeight="1">
      <c r="C13" s="27"/>
      <c r="D13" s="27"/>
      <c r="U13" s="208"/>
    </row>
    <row r="14" spans="3:21" ht="15" customHeight="1">
      <c r="C14" s="16" t="s">
        <v>10</v>
      </c>
      <c r="D14" s="17"/>
      <c r="E14" s="17"/>
      <c r="F14" s="17"/>
      <c r="G14" s="17"/>
      <c r="H14" s="17"/>
      <c r="I14" s="17"/>
      <c r="J14" s="17"/>
      <c r="K14" s="17"/>
      <c r="M14" s="17"/>
    </row>
    <row r="15" spans="3:21" ht="15" customHeight="1">
      <c r="C15" t="s">
        <v>11</v>
      </c>
      <c r="D15" s="18">
        <f>E15-1</f>
        <v>2016</v>
      </c>
      <c r="E15" s="18">
        <f>F15-1</f>
        <v>2017</v>
      </c>
      <c r="F15" s="18">
        <f>YEAR(D10)</f>
        <v>2018</v>
      </c>
      <c r="G15" s="55">
        <f>F15+1</f>
        <v>2019</v>
      </c>
      <c r="H15" s="55">
        <f>G15+1</f>
        <v>2020</v>
      </c>
      <c r="I15" s="55">
        <f>H15+1</f>
        <v>2021</v>
      </c>
      <c r="J15" s="55">
        <f>I15+1</f>
        <v>2022</v>
      </c>
      <c r="K15" s="55">
        <f>J15+1</f>
        <v>2023</v>
      </c>
      <c r="L15" s="55"/>
      <c r="M15" s="246" t="s">
        <v>267</v>
      </c>
    </row>
    <row r="16" spans="3:21" ht="15" customHeight="1">
      <c r="C16" s="19" t="s">
        <v>12</v>
      </c>
      <c r="D16" s="20">
        <f>EOMONTH(E16,-12)</f>
        <v>42643</v>
      </c>
      <c r="E16" s="20">
        <f>EOMONTH(F16,-12)</f>
        <v>43008</v>
      </c>
      <c r="F16" s="20">
        <f>D10</f>
        <v>43372</v>
      </c>
      <c r="G16" s="20">
        <f>EOMONTH(F16,12)</f>
        <v>43738</v>
      </c>
      <c r="H16" s="20">
        <f>EOMONTH(G16,12)</f>
        <v>44104</v>
      </c>
      <c r="I16" s="20">
        <f>EOMONTH(H16,12)</f>
        <v>44469</v>
      </c>
      <c r="J16" s="20">
        <f>EOMONTH(I16,12)</f>
        <v>44834</v>
      </c>
      <c r="K16" s="20">
        <f>EOMONTH(J16,12)</f>
        <v>45199</v>
      </c>
      <c r="L16" s="25"/>
      <c r="M16" s="247" t="s">
        <v>268</v>
      </c>
      <c r="O16" s="16" t="s">
        <v>66</v>
      </c>
      <c r="P16" s="17"/>
      <c r="Q16" s="17"/>
      <c r="R16" s="17"/>
      <c r="S16" s="17"/>
      <c r="T16" s="17"/>
      <c r="U16" s="17"/>
    </row>
    <row r="17" spans="3:16" ht="15" customHeight="1">
      <c r="C17" s="23"/>
      <c r="D17" s="24"/>
      <c r="E17" s="25"/>
      <c r="F17" s="25"/>
      <c r="G17" s="56"/>
      <c r="H17" s="57"/>
      <c r="I17" s="57"/>
      <c r="J17" s="25"/>
      <c r="K17" s="25"/>
      <c r="L17" s="25"/>
      <c r="M17" s="248"/>
    </row>
    <row r="18" spans="3:16" ht="15" customHeight="1">
      <c r="C18" t="s">
        <v>13</v>
      </c>
      <c r="D18" s="39">
        <v>215639</v>
      </c>
      <c r="E18" s="39">
        <v>229234</v>
      </c>
      <c r="F18" s="39">
        <v>265595</v>
      </c>
      <c r="G18" s="44">
        <f ca="1">F18*(1+G37)</f>
        <v>252990.4817</v>
      </c>
      <c r="H18" s="44">
        <f ca="1">G18*(1+H37)</f>
        <v>265376.78419999999</v>
      </c>
      <c r="I18" s="44">
        <f ca="1">H18*(1+I37)</f>
        <v>278407.76003590086</v>
      </c>
      <c r="J18" s="44">
        <f ca="1">I18*(1+J37)</f>
        <v>293588.357044834</v>
      </c>
      <c r="K18" s="44">
        <f ca="1">J18*(1+K37)</f>
        <v>311276.6925034704</v>
      </c>
      <c r="L18" s="44"/>
      <c r="M18" s="249">
        <f ca="1">(K18/F18)^(1/COUNT(G18:K18))-1</f>
        <v>3.2251069846116476E-2</v>
      </c>
      <c r="O18" t="s">
        <v>67</v>
      </c>
    </row>
    <row r="19" spans="3:16" ht="15" customHeight="1">
      <c r="C19" t="s">
        <v>14</v>
      </c>
      <c r="D19" s="39">
        <v>-131376</v>
      </c>
      <c r="E19" s="39">
        <v>-141048</v>
      </c>
      <c r="F19" s="39">
        <v>-163756</v>
      </c>
      <c r="G19" s="44">
        <f ca="1">G20-G18</f>
        <v>-157360.07961740001</v>
      </c>
      <c r="H19" s="44">
        <f ca="1">H20-H18</f>
        <v>-164268.22941979999</v>
      </c>
      <c r="I19" s="44">
        <f ca="1">I20-I18</f>
        <v>-172055.99570218672</v>
      </c>
      <c r="J19" s="44">
        <f ca="1">J20-J18</f>
        <v>-181437.60465370741</v>
      </c>
      <c r="K19" s="44">
        <f ca="1">K20-K18</f>
        <v>-192368.99596714473</v>
      </c>
      <c r="L19" s="44"/>
      <c r="M19" s="250"/>
      <c r="O19" t="s">
        <v>68</v>
      </c>
    </row>
    <row r="20" spans="3:16" ht="15" customHeight="1">
      <c r="C20" s="27" t="s">
        <v>15</v>
      </c>
      <c r="D20" s="41">
        <f>SUM(D18:D19)</f>
        <v>84263</v>
      </c>
      <c r="E20" s="41">
        <f>SUM(E18:E19)</f>
        <v>88186</v>
      </c>
      <c r="F20" s="41">
        <f>SUM(F18:F19)</f>
        <v>101839</v>
      </c>
      <c r="G20" s="41">
        <f ca="1">G18*G38</f>
        <v>95630.402082600005</v>
      </c>
      <c r="H20" s="41">
        <f ca="1">H18*H38</f>
        <v>101108.55478019999</v>
      </c>
      <c r="I20" s="41">
        <f ca="1">I18*I38</f>
        <v>106351.76433371413</v>
      </c>
      <c r="J20" s="41">
        <f ca="1">J18*J38</f>
        <v>112150.75239112659</v>
      </c>
      <c r="K20" s="41">
        <f ca="1">K18*K38</f>
        <v>118907.69653632569</v>
      </c>
      <c r="L20" s="41"/>
      <c r="M20" s="251"/>
      <c r="O20" t="s">
        <v>69</v>
      </c>
    </row>
    <row r="21" spans="3:16" ht="15" customHeight="1">
      <c r="C21" t="s">
        <v>16</v>
      </c>
      <c r="D21" s="39">
        <v>-10045</v>
      </c>
      <c r="E21" s="39">
        <v>-11581</v>
      </c>
      <c r="F21" s="39">
        <v>-14236</v>
      </c>
      <c r="G21" s="44">
        <f ca="1">-G39*G18</f>
        <v>-15685.409865400001</v>
      </c>
      <c r="H21" s="44">
        <f ca="1">-H39*H18</f>
        <v>-16718.7374046</v>
      </c>
      <c r="I21" s="44">
        <f ca="1">-I39*I18</f>
        <v>-17539.688882261755</v>
      </c>
      <c r="J21" s="44">
        <f ca="1">-J39*J18</f>
        <v>-18496.066493824543</v>
      </c>
      <c r="K21" s="44">
        <f ca="1">-K39*K18</f>
        <v>-19610.431627718637</v>
      </c>
      <c r="L21" s="44"/>
      <c r="M21" s="250"/>
      <c r="O21" t="s">
        <v>70</v>
      </c>
    </row>
    <row r="22" spans="3:16" ht="15" customHeight="1">
      <c r="C22" t="s">
        <v>17</v>
      </c>
      <c r="D22" s="39">
        <v>-14194</v>
      </c>
      <c r="E22" s="39">
        <v>-15261</v>
      </c>
      <c r="F22" s="39">
        <v>-16705</v>
      </c>
      <c r="G22" s="44">
        <f ca="1">-G18*G40</f>
        <v>-18721.295645800001</v>
      </c>
      <c r="H22" s="44">
        <f ca="1">-H18*H40</f>
        <v>-18310.998109800003</v>
      </c>
      <c r="I22" s="44">
        <f ca="1">-I18*I40</f>
        <v>-19210.13544247716</v>
      </c>
      <c r="J22" s="44">
        <f ca="1">-J18*J40</f>
        <v>-20257.596636093549</v>
      </c>
      <c r="K22" s="44">
        <f ca="1">-K18*K40</f>
        <v>-21478.091782739459</v>
      </c>
      <c r="L22" s="44"/>
      <c r="M22" s="250"/>
      <c r="O22" t="s">
        <v>71</v>
      </c>
    </row>
    <row r="23" spans="3:16" ht="15" customHeight="1">
      <c r="C23" s="27" t="s">
        <v>18</v>
      </c>
      <c r="D23" s="41">
        <f t="shared" ref="D23:K23" si="0">D20+D21+D22</f>
        <v>60024</v>
      </c>
      <c r="E23" s="41">
        <f t="shared" si="0"/>
        <v>61344</v>
      </c>
      <c r="F23" s="41">
        <f t="shared" si="0"/>
        <v>70898</v>
      </c>
      <c r="G23" s="41">
        <f t="shared" ca="1" si="0"/>
        <v>61223.696571400011</v>
      </c>
      <c r="H23" s="41">
        <f t="shared" ca="1" si="0"/>
        <v>66078.81926579999</v>
      </c>
      <c r="I23" s="41">
        <f t="shared" ca="1" si="0"/>
        <v>69601.940008975216</v>
      </c>
      <c r="J23" s="41">
        <f t="shared" ca="1" si="0"/>
        <v>73397.089261208486</v>
      </c>
      <c r="K23" s="41">
        <f t="shared" ca="1" si="0"/>
        <v>77819.173125867601</v>
      </c>
      <c r="L23" s="41"/>
      <c r="M23" s="249">
        <f ca="1">(K23/F23)^(1/COUNT(G23:K23))-1</f>
        <v>1.8803728207189341E-2</v>
      </c>
      <c r="O23" s="27" t="s">
        <v>72</v>
      </c>
    </row>
    <row r="24" spans="3:16" ht="15" customHeight="1">
      <c r="C24" t="s">
        <v>19</v>
      </c>
      <c r="D24" s="39">
        <v>3999</v>
      </c>
      <c r="E24" s="39">
        <v>5201</v>
      </c>
      <c r="F24" s="39">
        <v>5686</v>
      </c>
      <c r="G24" s="42">
        <f>G223</f>
        <v>5121.3600000000006</v>
      </c>
      <c r="H24" s="42">
        <f ca="1">H223</f>
        <v>4350.9680067630825</v>
      </c>
      <c r="I24" s="42">
        <f ca="1">I223</f>
        <v>3737.6397640746773</v>
      </c>
      <c r="J24" s="42">
        <f ca="1">J223</f>
        <v>3229.0833655320835</v>
      </c>
      <c r="K24" s="42">
        <f ca="1">K223</f>
        <v>2742.7960462028482</v>
      </c>
      <c r="L24" s="42"/>
      <c r="M24" s="252"/>
      <c r="O24" t="s">
        <v>73</v>
      </c>
    </row>
    <row r="25" spans="3:16" ht="15" customHeight="1">
      <c r="C25" t="s">
        <v>20</v>
      </c>
      <c r="D25" s="39">
        <v>-1456</v>
      </c>
      <c r="E25" s="39">
        <v>-2323</v>
      </c>
      <c r="F25" s="39">
        <v>-3240</v>
      </c>
      <c r="G25" s="42">
        <f>-G209</f>
        <v>-3222.7544651501776</v>
      </c>
      <c r="H25" s="42">
        <f ca="1">-H209</f>
        <v>-3223.5392651501775</v>
      </c>
      <c r="I25" s="42">
        <f ca="1">-I209</f>
        <v>-3223.5392651501775</v>
      </c>
      <c r="J25" s="42">
        <f ca="1">-J209</f>
        <v>-3223.5392651501775</v>
      </c>
      <c r="K25" s="42">
        <f ca="1">-K209</f>
        <v>-3223.5392651501775</v>
      </c>
      <c r="L25" s="42"/>
      <c r="M25" s="252"/>
      <c r="O25" t="s">
        <v>74</v>
      </c>
    </row>
    <row r="26" spans="3:16" ht="15" customHeight="1">
      <c r="C26" t="s">
        <v>21</v>
      </c>
      <c r="D26" s="39">
        <v>-1195</v>
      </c>
      <c r="E26" s="39">
        <v>-133</v>
      </c>
      <c r="F26" s="39">
        <v>-441</v>
      </c>
      <c r="G26" s="42">
        <f>F26</f>
        <v>-441</v>
      </c>
      <c r="H26" s="42">
        <f>G26</f>
        <v>-441</v>
      </c>
      <c r="I26" s="42">
        <f>H26</f>
        <v>-441</v>
      </c>
      <c r="J26" s="42">
        <f>I26</f>
        <v>-441</v>
      </c>
      <c r="K26" s="42">
        <f>J26</f>
        <v>-441</v>
      </c>
      <c r="L26" s="42"/>
      <c r="M26" s="252"/>
      <c r="O26" t="s">
        <v>75</v>
      </c>
    </row>
    <row r="27" spans="3:16" ht="15" customHeight="1">
      <c r="C27" s="27" t="s">
        <v>22</v>
      </c>
      <c r="D27" s="41">
        <f t="shared" ref="D27:K27" si="1">SUM(D23:D26)</f>
        <v>61372</v>
      </c>
      <c r="E27" s="41">
        <f t="shared" si="1"/>
        <v>64089</v>
      </c>
      <c r="F27" s="41">
        <f t="shared" si="1"/>
        <v>72903</v>
      </c>
      <c r="G27" s="41">
        <f t="shared" ca="1" si="1"/>
        <v>62681.30210624983</v>
      </c>
      <c r="H27" s="41">
        <f t="shared" ca="1" si="1"/>
        <v>66765.248007412898</v>
      </c>
      <c r="I27" s="41">
        <f t="shared" ca="1" si="1"/>
        <v>69675.040507899714</v>
      </c>
      <c r="J27" s="41">
        <f t="shared" ca="1" si="1"/>
        <v>72961.6333615904</v>
      </c>
      <c r="K27" s="41">
        <f t="shared" ca="1" si="1"/>
        <v>76897.429906920268</v>
      </c>
      <c r="L27" s="41"/>
      <c r="M27" s="251"/>
      <c r="O27" s="27" t="s">
        <v>76</v>
      </c>
      <c r="P27" s="27"/>
    </row>
    <row r="28" spans="3:16" ht="15" customHeight="1">
      <c r="C28" t="s">
        <v>23</v>
      </c>
      <c r="D28" s="39">
        <v>-15685</v>
      </c>
      <c r="E28" s="39">
        <v>-15738</v>
      </c>
      <c r="F28" s="39">
        <v>-13372</v>
      </c>
      <c r="G28" s="44">
        <f ca="1">-G41*G27</f>
        <v>-10467.777451743723</v>
      </c>
      <c r="H28" s="44">
        <f ca="1">-H41*H27</f>
        <v>-11350.092161260194</v>
      </c>
      <c r="I28" s="44">
        <f ca="1">-I41*I27</f>
        <v>-11775.081845835053</v>
      </c>
      <c r="J28" s="44">
        <f ca="1">-J41*J27</f>
        <v>-12330.516038108779</v>
      </c>
      <c r="K28" s="44">
        <f ca="1">-K41*K27</f>
        <v>-12995.665654269525</v>
      </c>
      <c r="L28" s="44"/>
      <c r="M28" s="250"/>
      <c r="O28" t="s">
        <v>77</v>
      </c>
    </row>
    <row r="29" spans="3:16" ht="15" customHeight="1">
      <c r="C29" s="27" t="s">
        <v>24</v>
      </c>
      <c r="D29" s="41">
        <f t="shared" ref="D29:K29" si="2">SUM(D27:D28)</f>
        <v>45687</v>
      </c>
      <c r="E29" s="41">
        <f t="shared" si="2"/>
        <v>48351</v>
      </c>
      <c r="F29" s="41">
        <f t="shared" si="2"/>
        <v>59531</v>
      </c>
      <c r="G29" s="41">
        <f t="shared" ca="1" si="2"/>
        <v>52213.524654506109</v>
      </c>
      <c r="H29" s="41">
        <f t="shared" ca="1" si="2"/>
        <v>55415.155846152702</v>
      </c>
      <c r="I29" s="41">
        <f t="shared" ca="1" si="2"/>
        <v>57899.958662064659</v>
      </c>
      <c r="J29" s="41">
        <f t="shared" ca="1" si="2"/>
        <v>60631.117323481623</v>
      </c>
      <c r="K29" s="41">
        <f t="shared" ca="1" si="2"/>
        <v>63901.764252650741</v>
      </c>
      <c r="L29" s="41"/>
      <c r="M29" s="249">
        <f ca="1">(K29/F29)^(1/COUNT(G29:K29))-1</f>
        <v>1.4270826780873103E-2</v>
      </c>
      <c r="O29" s="27" t="s">
        <v>78</v>
      </c>
    </row>
    <row r="30" spans="3:16" ht="15" customHeight="1">
      <c r="C30" s="29"/>
      <c r="D30" s="42"/>
      <c r="E30" s="42"/>
      <c r="F30" s="42"/>
      <c r="G30" s="42"/>
      <c r="H30" s="42"/>
      <c r="I30" s="42"/>
      <c r="J30" s="42"/>
      <c r="K30" s="42"/>
      <c r="L30" s="42"/>
      <c r="M30" s="252"/>
    </row>
    <row r="31" spans="3:16" ht="15" customHeight="1">
      <c r="C31" s="30" t="s">
        <v>25</v>
      </c>
      <c r="D31" s="39">
        <v>10505</v>
      </c>
      <c r="E31" s="39">
        <v>10157</v>
      </c>
      <c r="F31" s="39">
        <v>10903</v>
      </c>
      <c r="G31" s="42">
        <f ca="1">G171</f>
        <v>10592.782507284561</v>
      </c>
      <c r="H31" s="42">
        <f ca="1">H171</f>
        <v>10569.397243121617</v>
      </c>
      <c r="I31" s="42">
        <f ca="1">I171</f>
        <v>11159.331479649651</v>
      </c>
      <c r="J31" s="42">
        <f ca="1">J171</f>
        <v>12287.842023721507</v>
      </c>
      <c r="K31" s="42">
        <f ca="1">K171</f>
        <v>13855.455338274283</v>
      </c>
      <c r="L31" s="42"/>
      <c r="M31" s="252"/>
      <c r="O31" t="s">
        <v>79</v>
      </c>
    </row>
    <row r="32" spans="3:16" ht="15" customHeight="1">
      <c r="C32" s="31" t="s">
        <v>26</v>
      </c>
      <c r="D32" s="41">
        <f t="shared" ref="D32:K32" si="3">D23+D31</f>
        <v>70529</v>
      </c>
      <c r="E32" s="41">
        <f t="shared" si="3"/>
        <v>71501</v>
      </c>
      <c r="F32" s="41">
        <f t="shared" si="3"/>
        <v>81801</v>
      </c>
      <c r="G32" s="41">
        <f t="shared" ca="1" si="3"/>
        <v>71816.47907868457</v>
      </c>
      <c r="H32" s="41">
        <f t="shared" ca="1" si="3"/>
        <v>76648.216508921614</v>
      </c>
      <c r="I32" s="41">
        <f t="shared" ca="1" si="3"/>
        <v>80761.271488624872</v>
      </c>
      <c r="J32" s="41">
        <f t="shared" ca="1" si="3"/>
        <v>85684.931284929989</v>
      </c>
      <c r="K32" s="41">
        <f t="shared" ca="1" si="3"/>
        <v>91674.62846414189</v>
      </c>
      <c r="L32" s="41"/>
      <c r="M32" s="249">
        <f ca="1">(K32/F32)^(1/COUNT(G32:K32))-1</f>
        <v>2.3052943231950174E-2</v>
      </c>
      <c r="O32" s="27" t="s">
        <v>80</v>
      </c>
    </row>
    <row r="33" spans="3:22" ht="15" customHeight="1">
      <c r="C33" s="30" t="s">
        <v>27</v>
      </c>
      <c r="D33" s="39">
        <v>4210</v>
      </c>
      <c r="E33" s="39">
        <v>4840</v>
      </c>
      <c r="F33" s="39">
        <v>5340</v>
      </c>
      <c r="G33" s="42">
        <f ca="1">F33*(1+G37)</f>
        <v>5086.5760736384345</v>
      </c>
      <c r="H33" s="42">
        <f ca="1">G33*(1+H37)</f>
        <v>5335.6125967281014</v>
      </c>
      <c r="I33" s="42">
        <f ca="1">H33*(1+I37)</f>
        <v>5597.6107930936605</v>
      </c>
      <c r="J33" s="42">
        <f ca="1">I33*(1+J37)</f>
        <v>5902.8288432365589</v>
      </c>
      <c r="K33" s="42">
        <f ca="1">J33*(1+K37)</f>
        <v>6258.4669815641573</v>
      </c>
      <c r="L33" s="42"/>
      <c r="M33" s="252"/>
      <c r="O33" t="s">
        <v>81</v>
      </c>
    </row>
    <row r="34" spans="3:22" ht="15" customHeight="1">
      <c r="C34" s="31" t="s">
        <v>28</v>
      </c>
      <c r="D34" s="41">
        <f t="shared" ref="D34:K34" si="4">SUM(D32:D33)</f>
        <v>74739</v>
      </c>
      <c r="E34" s="41">
        <f t="shared" si="4"/>
        <v>76341</v>
      </c>
      <c r="F34" s="41">
        <f t="shared" si="4"/>
        <v>87141</v>
      </c>
      <c r="G34" s="41">
        <f t="shared" ca="1" si="4"/>
        <v>76903.05515232301</v>
      </c>
      <c r="H34" s="41">
        <f t="shared" ca="1" si="4"/>
        <v>81983.829105649711</v>
      </c>
      <c r="I34" s="41">
        <f t="shared" ca="1" si="4"/>
        <v>86358.882281718528</v>
      </c>
      <c r="J34" s="41">
        <f t="shared" ca="1" si="4"/>
        <v>91587.760128166556</v>
      </c>
      <c r="K34" s="41">
        <f t="shared" ca="1" si="4"/>
        <v>97933.095445706043</v>
      </c>
      <c r="L34" s="41"/>
      <c r="M34" s="251"/>
      <c r="O34" s="27" t="s">
        <v>82</v>
      </c>
    </row>
    <row r="35" spans="3:22" ht="15" customHeight="1">
      <c r="C35" s="29"/>
      <c r="G35" s="62"/>
    </row>
    <row r="36" spans="3:22" ht="15" customHeight="1">
      <c r="C36" s="32" t="s">
        <v>83</v>
      </c>
    </row>
    <row r="37" spans="3:22" ht="15" customHeight="1">
      <c r="C37" s="29" t="s">
        <v>30</v>
      </c>
      <c r="D37" s="63"/>
      <c r="E37" s="63">
        <f>E18/D18-1</f>
        <v>6.304518199398057E-2</v>
      </c>
      <c r="F37" s="63">
        <f>F18/E18-1</f>
        <v>0.15861957650261305</v>
      </c>
      <c r="G37" s="253">
        <f ca="1">'Rev Build'!G14</f>
        <v>-4.7457664112652731E-2</v>
      </c>
      <c r="H37" s="253">
        <f ca="1">'Rev Build'!H14</f>
        <v>4.8959559335073566E-2</v>
      </c>
      <c r="I37" s="253">
        <f ca="1">'Rev Build'!I14</f>
        <v>4.9103676778599281E-2</v>
      </c>
      <c r="J37" s="253">
        <f ca="1">'Rev Build'!J14</f>
        <v>5.452648664310078E-2</v>
      </c>
      <c r="K37" s="253">
        <f ca="1">'Rev Build'!K14</f>
        <v>6.0248763393349503E-2</v>
      </c>
      <c r="L37" s="253"/>
      <c r="M37" s="253"/>
      <c r="O37" t="s">
        <v>190</v>
      </c>
      <c r="Q37" s="35"/>
      <c r="R37" s="35"/>
      <c r="S37" s="35"/>
      <c r="T37" s="35"/>
      <c r="U37" s="35"/>
      <c r="V37" s="35"/>
    </row>
    <row r="38" spans="3:22" ht="15" customHeight="1">
      <c r="C38" s="29" t="s">
        <v>31</v>
      </c>
      <c r="D38" s="63">
        <f>D20/D18</f>
        <v>0.39075955648097049</v>
      </c>
      <c r="E38" s="63">
        <f>E20/E18</f>
        <v>0.38469860491899105</v>
      </c>
      <c r="F38" s="63">
        <f>F20/F18</f>
        <v>0.38343718820007905</v>
      </c>
      <c r="G38" s="63">
        <f t="shared" ref="G38:K40" ca="1" si="5">G243</f>
        <v>0.378</v>
      </c>
      <c r="H38" s="63">
        <f t="shared" ca="1" si="5"/>
        <v>0.38100000000000001</v>
      </c>
      <c r="I38" s="63">
        <f t="shared" ca="1" si="5"/>
        <v>0.38200000000000001</v>
      </c>
      <c r="J38" s="63">
        <f t="shared" ca="1" si="5"/>
        <v>0.38200000000000001</v>
      </c>
      <c r="K38" s="63">
        <f t="shared" ca="1" si="5"/>
        <v>0.38200000000000001</v>
      </c>
      <c r="L38" s="63"/>
      <c r="M38" s="63"/>
      <c r="O38" t="s">
        <v>190</v>
      </c>
      <c r="Q38" s="35"/>
      <c r="R38" s="35"/>
      <c r="S38" s="35"/>
      <c r="T38" s="35"/>
      <c r="U38" s="35"/>
      <c r="V38" s="35"/>
    </row>
    <row r="39" spans="3:22" ht="15" customHeight="1">
      <c r="C39" s="29" t="s">
        <v>32</v>
      </c>
      <c r="D39" s="63">
        <f>-D21/D18</f>
        <v>4.6582482760539605E-2</v>
      </c>
      <c r="E39" s="63">
        <f>-E21/E18</f>
        <v>5.0520428906706681E-2</v>
      </c>
      <c r="F39" s="63">
        <f>-F21/F18</f>
        <v>5.3600406634161032E-2</v>
      </c>
      <c r="G39" s="63">
        <f t="shared" ca="1" si="5"/>
        <v>6.2E-2</v>
      </c>
      <c r="H39" s="63">
        <f t="shared" ca="1" si="5"/>
        <v>6.3E-2</v>
      </c>
      <c r="I39" s="63">
        <f t="shared" ca="1" si="5"/>
        <v>6.3E-2</v>
      </c>
      <c r="J39" s="63">
        <f t="shared" ca="1" si="5"/>
        <v>6.3E-2</v>
      </c>
      <c r="K39" s="63">
        <f t="shared" ca="1" si="5"/>
        <v>6.3E-2</v>
      </c>
      <c r="L39" s="63"/>
      <c r="M39" s="63"/>
      <c r="O39" t="s">
        <v>190</v>
      </c>
      <c r="Q39" s="35"/>
      <c r="R39" s="35"/>
      <c r="S39" s="35"/>
      <c r="T39" s="35"/>
      <c r="U39" s="35"/>
      <c r="V39" s="35"/>
    </row>
    <row r="40" spans="3:22" ht="15" customHeight="1">
      <c r="C40" s="29" t="s">
        <v>33</v>
      </c>
      <c r="D40" s="63">
        <f>-D22/D18</f>
        <v>6.5822972653369755E-2</v>
      </c>
      <c r="E40" s="63">
        <f>-E22/E18</f>
        <v>6.6573893924984945E-2</v>
      </c>
      <c r="F40" s="63">
        <f>-F22/F18</f>
        <v>6.2896515371147807E-2</v>
      </c>
      <c r="G40" s="63">
        <f t="shared" ca="1" si="5"/>
        <v>7.3999999999999996E-2</v>
      </c>
      <c r="H40" s="63">
        <f t="shared" ca="1" si="5"/>
        <v>6.9000000000000006E-2</v>
      </c>
      <c r="I40" s="63">
        <f t="shared" ca="1" si="5"/>
        <v>6.9000000000000006E-2</v>
      </c>
      <c r="J40" s="63">
        <f t="shared" ca="1" si="5"/>
        <v>6.9000000000000006E-2</v>
      </c>
      <c r="K40" s="63">
        <f t="shared" ca="1" si="5"/>
        <v>6.9000000000000006E-2</v>
      </c>
      <c r="L40" s="63"/>
      <c r="M40" s="63"/>
      <c r="O40" t="s">
        <v>190</v>
      </c>
      <c r="Q40" s="35"/>
      <c r="R40" s="35"/>
      <c r="S40" s="35"/>
      <c r="T40" s="35"/>
      <c r="U40" s="35"/>
      <c r="V40" s="35"/>
    </row>
    <row r="41" spans="3:22" ht="15" customHeight="1">
      <c r="C41" s="29" t="s">
        <v>34</v>
      </c>
      <c r="D41" s="63">
        <f>-(D28/D27)</f>
        <v>0.25557257381216192</v>
      </c>
      <c r="E41" s="63">
        <f>-(E28/E27)</f>
        <v>0.24556476150353415</v>
      </c>
      <c r="F41" s="63">
        <f>-(F28/F27)</f>
        <v>0.18342180705869443</v>
      </c>
      <c r="G41" s="35">
        <v>0.16700000000000001</v>
      </c>
      <c r="H41" s="35">
        <v>0.17</v>
      </c>
      <c r="I41" s="35">
        <v>0.16900000000000001</v>
      </c>
      <c r="J41" s="63">
        <f>I41</f>
        <v>0.16900000000000001</v>
      </c>
      <c r="K41" s="63">
        <f>J41</f>
        <v>0.16900000000000001</v>
      </c>
      <c r="L41" s="63"/>
      <c r="M41" s="63"/>
      <c r="O41" t="s">
        <v>86</v>
      </c>
      <c r="Q41" s="35"/>
      <c r="R41" s="35"/>
      <c r="S41" s="35"/>
      <c r="T41" s="35"/>
      <c r="U41" s="35"/>
      <c r="V41" s="35"/>
    </row>
    <row r="42" spans="3:22" ht="15" customHeight="1">
      <c r="C42" s="29"/>
      <c r="G42" s="62"/>
    </row>
    <row r="43" spans="3:22" ht="15" customHeight="1">
      <c r="C43" s="16" t="s">
        <v>35</v>
      </c>
      <c r="D43" s="20"/>
      <c r="E43" s="20"/>
      <c r="F43" s="20"/>
      <c r="G43" s="17"/>
      <c r="H43" s="17"/>
      <c r="I43" s="17"/>
      <c r="J43" s="17"/>
      <c r="K43" s="17"/>
    </row>
    <row r="44" spans="3:22" ht="15" customHeight="1">
      <c r="C44" s="36" t="str">
        <f>C15</f>
        <v xml:space="preserve">Fiscal year  </v>
      </c>
      <c r="D44" s="37"/>
      <c r="E44" s="37">
        <f t="shared" ref="E44:K45" si="6">E15</f>
        <v>2017</v>
      </c>
      <c r="F44" s="37">
        <f t="shared" si="6"/>
        <v>2018</v>
      </c>
      <c r="G44" s="65">
        <f t="shared" si="6"/>
        <v>2019</v>
      </c>
      <c r="H44" s="65">
        <f t="shared" si="6"/>
        <v>2020</v>
      </c>
      <c r="I44" s="65">
        <f t="shared" si="6"/>
        <v>2021</v>
      </c>
      <c r="J44" s="65">
        <f t="shared" si="6"/>
        <v>2022</v>
      </c>
      <c r="K44" s="65">
        <f t="shared" si="6"/>
        <v>2023</v>
      </c>
      <c r="L44" s="65"/>
      <c r="M44" s="65"/>
    </row>
    <row r="45" spans="3:22" ht="15" customHeight="1">
      <c r="C45" s="17" t="str">
        <f>C16</f>
        <v>Fiscal year end date</v>
      </c>
      <c r="D45" s="38"/>
      <c r="E45" s="38">
        <f t="shared" si="6"/>
        <v>43008</v>
      </c>
      <c r="F45" s="38">
        <f t="shared" si="6"/>
        <v>43372</v>
      </c>
      <c r="G45" s="38">
        <f t="shared" si="6"/>
        <v>43738</v>
      </c>
      <c r="H45" s="38">
        <f t="shared" si="6"/>
        <v>44104</v>
      </c>
      <c r="I45" s="38">
        <f t="shared" si="6"/>
        <v>44469</v>
      </c>
      <c r="J45" s="38">
        <f t="shared" si="6"/>
        <v>44834</v>
      </c>
      <c r="K45" s="38">
        <f t="shared" si="6"/>
        <v>45199</v>
      </c>
      <c r="L45" s="161"/>
      <c r="M45" s="161"/>
    </row>
    <row r="46" spans="3:22" ht="15" customHeight="1">
      <c r="C46" t="s">
        <v>38</v>
      </c>
      <c r="D46" s="39"/>
      <c r="E46" s="39">
        <f>20289+53892+E133</f>
        <v>268895</v>
      </c>
      <c r="F46" s="39">
        <f>25913+40388+F133</f>
        <v>237100</v>
      </c>
      <c r="G46" s="42">
        <f ca="1">G92+F46</f>
        <v>201433.70401680938</v>
      </c>
      <c r="H46" s="42">
        <f ca="1">H92+G46</f>
        <v>173038.87796642023</v>
      </c>
      <c r="I46" s="42">
        <f ca="1">I92+H46</f>
        <v>149494.60025611497</v>
      </c>
      <c r="J46" s="42">
        <f ca="1">J92+I46</f>
        <v>126981.29843531705</v>
      </c>
      <c r="K46" s="42">
        <f ca="1">K92+J46</f>
        <v>110622.72097319274</v>
      </c>
      <c r="L46" s="42"/>
      <c r="M46" s="42"/>
      <c r="O46" t="s">
        <v>87</v>
      </c>
    </row>
    <row r="47" spans="3:22" ht="15" customHeight="1">
      <c r="C47" t="s">
        <v>39</v>
      </c>
      <c r="D47" s="39"/>
      <c r="E47" s="39">
        <v>17874</v>
      </c>
      <c r="F47" s="39">
        <v>23186</v>
      </c>
      <c r="G47" s="42">
        <f ca="1">G101</f>
        <v>23946.473303013707</v>
      </c>
      <c r="H47" s="42">
        <f ca="1">H101</f>
        <v>25493.585123287659</v>
      </c>
      <c r="I47" s="42">
        <f ca="1">I101</f>
        <v>26374.161951893868</v>
      </c>
      <c r="J47" s="42">
        <f ca="1">J101</f>
        <v>28321.751141390268</v>
      </c>
      <c r="K47" s="42">
        <f ca="1">K101</f>
        <v>29669.523078434351</v>
      </c>
      <c r="L47" s="42"/>
      <c r="M47" s="42"/>
      <c r="O47" t="s">
        <v>269</v>
      </c>
    </row>
    <row r="48" spans="3:22" ht="15" customHeight="1">
      <c r="C48" t="s">
        <v>40</v>
      </c>
      <c r="D48" s="39"/>
      <c r="E48" s="39">
        <v>4855</v>
      </c>
      <c r="F48" s="39">
        <v>3956</v>
      </c>
      <c r="G48" s="42">
        <f ca="1">G113</f>
        <v>3363.0734705767445</v>
      </c>
      <c r="H48" s="42">
        <f ca="1">H113</f>
        <v>4103.6642303232547</v>
      </c>
      <c r="I48" s="42">
        <f ca="1">I113</f>
        <v>3543.2689119961551</v>
      </c>
      <c r="J48" s="42">
        <f ca="1">J113</f>
        <v>4345.322594686776</v>
      </c>
      <c r="K48" s="42">
        <f ca="1">K113</f>
        <v>3840.5921273193826</v>
      </c>
      <c r="L48" s="42"/>
      <c r="M48" s="42"/>
      <c r="O48" t="s">
        <v>270</v>
      </c>
    </row>
    <row r="49" spans="3:15" ht="15" customHeight="1">
      <c r="C49" t="s">
        <v>271</v>
      </c>
      <c r="D49" s="39"/>
      <c r="E49" s="39">
        <f>17799</f>
        <v>17799</v>
      </c>
      <c r="F49" s="39">
        <f>25809</f>
        <v>25809</v>
      </c>
      <c r="G49" s="42">
        <f ca="1">F49*(1+G37)</f>
        <v>24584.165146916544</v>
      </c>
      <c r="H49" s="42">
        <f ca="1">G49*(1+H37)</f>
        <v>25787.795039130251</v>
      </c>
      <c r="I49" s="42">
        <f ca="1">H49*(1+I37)</f>
        <v>27054.070591564468</v>
      </c>
      <c r="J49" s="42">
        <f ca="1">I49*(1+J37)</f>
        <v>28529.234010316915</v>
      </c>
      <c r="K49" s="42">
        <f ca="1">J49*(1+K37)</f>
        <v>30248.085079998</v>
      </c>
      <c r="L49" s="42"/>
      <c r="M49" s="42"/>
      <c r="O49" t="s">
        <v>88</v>
      </c>
    </row>
    <row r="50" spans="3:15" ht="15" customHeight="1">
      <c r="C50" t="s">
        <v>43</v>
      </c>
      <c r="D50" s="39"/>
      <c r="E50" s="39">
        <v>13936</v>
      </c>
      <c r="F50" s="39">
        <v>12087</v>
      </c>
      <c r="G50" s="42">
        <f ca="1">F50*(1+G37)</f>
        <v>11513.379213870367</v>
      </c>
      <c r="H50" s="42">
        <f ca="1">G50*(1+H37)</f>
        <v>12077.069186639055</v>
      </c>
      <c r="I50" s="42">
        <f ca="1">H50*(1+I37)</f>
        <v>12670.097688412561</v>
      </c>
      <c r="J50" s="42">
        <f ca="1">I50*(1+J37)</f>
        <v>13360.95360078657</v>
      </c>
      <c r="K50" s="42">
        <f ca="1">J50*(1+K37)</f>
        <v>14165.934532989881</v>
      </c>
      <c r="L50" s="42"/>
      <c r="M50" s="42"/>
      <c r="O50" t="s">
        <v>88</v>
      </c>
    </row>
    <row r="51" spans="3:15" ht="15" customHeight="1">
      <c r="C51" t="s">
        <v>42</v>
      </c>
      <c r="D51" s="39"/>
      <c r="E51" s="39">
        <v>33783</v>
      </c>
      <c r="F51" s="39">
        <v>41304</v>
      </c>
      <c r="G51" s="42">
        <f>G146</f>
        <v>45523.142857142855</v>
      </c>
      <c r="H51" s="42">
        <f>H146</f>
        <v>50204.428571428565</v>
      </c>
      <c r="I51" s="42">
        <f>I146</f>
        <v>54544.428571428565</v>
      </c>
      <c r="J51" s="42">
        <f ca="1">J146</f>
        <v>58601.042118258818</v>
      </c>
      <c r="K51" s="42">
        <f ca="1">K146</f>
        <v>62074.775586999589</v>
      </c>
      <c r="L51" s="42"/>
      <c r="M51" s="42"/>
      <c r="O51" t="s">
        <v>90</v>
      </c>
    </row>
    <row r="52" spans="3:15" ht="15" customHeight="1">
      <c r="C52" t="s">
        <v>43</v>
      </c>
      <c r="D52" s="39"/>
      <c r="E52" s="39">
        <v>18177</v>
      </c>
      <c r="F52" s="39">
        <v>22283</v>
      </c>
      <c r="G52" s="42">
        <f ca="1">F52*(1+G37)</f>
        <v>21225.500870577758</v>
      </c>
      <c r="H52" s="42">
        <f ca="1">G52*(1+H37)</f>
        <v>22264.692039867467</v>
      </c>
      <c r="I52" s="42">
        <f ca="1">H52*(1+I37)</f>
        <v>23357.970281368172</v>
      </c>
      <c r="J52" s="42">
        <f ca="1">I52*(1+J37)</f>
        <v>24631.59833592514</v>
      </c>
      <c r="K52" s="42">
        <f ca="1">J52*(1+K37)</f>
        <v>26115.621676066316</v>
      </c>
      <c r="L52" s="42"/>
      <c r="M52" s="42"/>
      <c r="O52" t="s">
        <v>88</v>
      </c>
    </row>
    <row r="53" spans="3:15" ht="15" customHeight="1">
      <c r="C53" s="31" t="s">
        <v>44</v>
      </c>
      <c r="D53" s="41"/>
      <c r="E53" s="41">
        <f t="shared" ref="E53:K53" si="7">SUM(E46:E52)</f>
        <v>375319</v>
      </c>
      <c r="F53" s="41">
        <f t="shared" si="7"/>
        <v>365725</v>
      </c>
      <c r="G53" s="45">
        <f t="shared" ca="1" si="7"/>
        <v>331589.43887890736</v>
      </c>
      <c r="H53" s="45">
        <f t="shared" ca="1" si="7"/>
        <v>312970.1121570965</v>
      </c>
      <c r="I53" s="45">
        <f t="shared" ca="1" si="7"/>
        <v>297038.59825277876</v>
      </c>
      <c r="J53" s="45">
        <f t="shared" ca="1" si="7"/>
        <v>284771.20023668156</v>
      </c>
      <c r="K53" s="45">
        <f t="shared" ca="1" si="7"/>
        <v>276737.25305500027</v>
      </c>
      <c r="L53" s="45"/>
      <c r="M53" s="45"/>
    </row>
    <row r="54" spans="3:15" ht="15" customHeight="1">
      <c r="C54" s="30"/>
      <c r="D54" s="42"/>
      <c r="E54" s="42"/>
      <c r="F54" s="42"/>
      <c r="G54" s="42"/>
      <c r="H54" s="42"/>
      <c r="I54" s="42"/>
      <c r="J54" s="42"/>
      <c r="K54" s="42"/>
      <c r="L54" s="42"/>
      <c r="M54" s="42"/>
    </row>
    <row r="55" spans="3:15" ht="15" customHeight="1">
      <c r="C55" s="30" t="s">
        <v>45</v>
      </c>
      <c r="D55" s="39"/>
      <c r="E55" s="39">
        <v>44242</v>
      </c>
      <c r="F55" s="39">
        <v>55888</v>
      </c>
      <c r="G55" s="42">
        <f ca="1">F55*G19/F19</f>
        <v>53705.147473419303</v>
      </c>
      <c r="H55" s="42">
        <f ca="1">G55*H19/G19</f>
        <v>56062.817886451681</v>
      </c>
      <c r="I55" s="42">
        <f ca="1">H55*I19/H19</f>
        <v>58720.691075770112</v>
      </c>
      <c r="J55" s="42">
        <f ca="1">I55*J19/I19</f>
        <v>61922.524053386733</v>
      </c>
      <c r="K55" s="42">
        <f ca="1">J55*K19/J19</f>
        <v>65653.279553798231</v>
      </c>
      <c r="L55" s="42"/>
      <c r="M55" s="42"/>
      <c r="O55" t="s">
        <v>89</v>
      </c>
    </row>
    <row r="56" spans="3:15" ht="15" customHeight="1">
      <c r="C56" s="30" t="s">
        <v>46</v>
      </c>
      <c r="D56" s="39"/>
      <c r="E56" s="39">
        <v>30551</v>
      </c>
      <c r="F56" s="39">
        <v>32687</v>
      </c>
      <c r="G56" s="42">
        <f ca="1">F56*(1+G37)</f>
        <v>31135.751333149721</v>
      </c>
      <c r="H56" s="42">
        <f ca="1">G56*(1+H37)</f>
        <v>32660.143997987161</v>
      </c>
      <c r="I56" s="42">
        <f ca="1">H56*(1+I37)</f>
        <v>34263.877152406829</v>
      </c>
      <c r="J56" s="42">
        <f ca="1">I56*(1+J37)</f>
        <v>36132.165992298389</v>
      </c>
      <c r="K56" s="42">
        <f ca="1">J56*(1+K37)</f>
        <v>38309.084312057603</v>
      </c>
      <c r="L56" s="42"/>
      <c r="M56" s="42"/>
      <c r="O56" t="s">
        <v>88</v>
      </c>
    </row>
    <row r="57" spans="3:15" ht="15" customHeight="1">
      <c r="C57" s="30" t="s">
        <v>47</v>
      </c>
      <c r="D57" s="39"/>
      <c r="E57" s="39">
        <f>7548+E134</f>
        <v>10384</v>
      </c>
      <c r="F57" s="39">
        <f>7543+F134</f>
        <v>10340</v>
      </c>
      <c r="G57" s="42">
        <f ca="1">F57*(1+G37)</f>
        <v>9849.2877530751703</v>
      </c>
      <c r="H57" s="42">
        <f ca="1">G57*(1+H37)</f>
        <v>10331.504541230068</v>
      </c>
      <c r="I57" s="42">
        <f ca="1">H57*(1+I37)</f>
        <v>10838.81940085926</v>
      </c>
      <c r="J57" s="42">
        <f ca="1">I57*(1+J37)</f>
        <v>11429.822142147194</v>
      </c>
      <c r="K57" s="42">
        <f ca="1">J57*(1+K37)</f>
        <v>12118.454792017486</v>
      </c>
      <c r="L57" s="42"/>
      <c r="M57" s="42"/>
      <c r="O57" t="s">
        <v>88</v>
      </c>
    </row>
    <row r="58" spans="3:15" ht="15" customHeight="1">
      <c r="C58" s="30" t="s">
        <v>48</v>
      </c>
      <c r="D58" s="39"/>
      <c r="E58" s="39">
        <v>11977</v>
      </c>
      <c r="F58" s="39">
        <v>11964</v>
      </c>
      <c r="G58" s="42">
        <f ca="1">G202</f>
        <v>12000</v>
      </c>
      <c r="H58" s="42">
        <f ca="1">H202</f>
        <v>12000</v>
      </c>
      <c r="I58" s="42">
        <f ca="1">I202</f>
        <v>12000</v>
      </c>
      <c r="J58" s="42">
        <f ca="1">J202</f>
        <v>12000</v>
      </c>
      <c r="K58" s="42">
        <f ca="1">K202</f>
        <v>12000</v>
      </c>
      <c r="L58" s="42"/>
      <c r="M58" s="42"/>
      <c r="O58" t="s">
        <v>91</v>
      </c>
    </row>
    <row r="59" spans="3:15" ht="15" customHeight="1">
      <c r="C59" s="30" t="s">
        <v>92</v>
      </c>
      <c r="D59" s="39"/>
      <c r="E59" s="39">
        <f>6496+E135</f>
        <v>103703</v>
      </c>
      <c r="F59" s="39">
        <f>8784+F135</f>
        <v>102519</v>
      </c>
      <c r="G59" s="42">
        <f>F59</f>
        <v>102519</v>
      </c>
      <c r="H59" s="42">
        <f>G59</f>
        <v>102519</v>
      </c>
      <c r="I59" s="42">
        <f>H59</f>
        <v>102519</v>
      </c>
      <c r="J59" s="42">
        <f>I59</f>
        <v>102519</v>
      </c>
      <c r="K59" s="42">
        <f>J59</f>
        <v>102519</v>
      </c>
      <c r="L59" s="42"/>
      <c r="M59" s="42"/>
      <c r="O59" t="s">
        <v>93</v>
      </c>
    </row>
    <row r="60" spans="3:15" ht="15.75" customHeight="1">
      <c r="C60" s="30" t="s">
        <v>50</v>
      </c>
      <c r="D60" s="39"/>
      <c r="E60" s="39">
        <v>40415</v>
      </c>
      <c r="F60" s="39">
        <v>45180</v>
      </c>
      <c r="G60" s="42">
        <f ca="1">F60*(1+G37)</f>
        <v>43035.86273539035</v>
      </c>
      <c r="H60" s="42">
        <f ca="1">G60*(1+H37)</f>
        <v>45142.879610519776</v>
      </c>
      <c r="I60" s="42">
        <f ca="1">H60*(1+I37)</f>
        <v>47359.560979769958</v>
      </c>
      <c r="J60" s="42">
        <f ca="1">I60*(1+J37)</f>
        <v>49941.911448956504</v>
      </c>
      <c r="K60" s="42">
        <f ca="1">J60*(1+K37)</f>
        <v>52950.849855256296</v>
      </c>
      <c r="L60" s="42"/>
      <c r="M60" s="42"/>
      <c r="O60" t="s">
        <v>88</v>
      </c>
    </row>
    <row r="61" spans="3:15" ht="15" customHeight="1">
      <c r="C61" s="31" t="s">
        <v>51</v>
      </c>
      <c r="D61" s="41"/>
      <c r="E61" s="41">
        <f t="shared" ref="E61:K61" si="8">SUM(E55:E60)</f>
        <v>241272</v>
      </c>
      <c r="F61" s="41">
        <f t="shared" si="8"/>
        <v>258578</v>
      </c>
      <c r="G61" s="45">
        <f t="shared" ca="1" si="8"/>
        <v>252245.04929503452</v>
      </c>
      <c r="H61" s="45">
        <f t="shared" ca="1" si="8"/>
        <v>258716.34603618868</v>
      </c>
      <c r="I61" s="45">
        <f t="shared" ca="1" si="8"/>
        <v>265701.94860880618</v>
      </c>
      <c r="J61" s="45">
        <f t="shared" ca="1" si="8"/>
        <v>273945.42363678885</v>
      </c>
      <c r="K61" s="45">
        <f t="shared" ca="1" si="8"/>
        <v>283550.66851312958</v>
      </c>
      <c r="L61" s="45"/>
      <c r="M61" s="45"/>
    </row>
    <row r="62" spans="3:15" ht="15" customHeight="1">
      <c r="C62" s="31"/>
      <c r="D62" s="41"/>
      <c r="E62" s="41"/>
      <c r="F62" s="41"/>
      <c r="G62" s="42"/>
      <c r="H62" s="42"/>
      <c r="I62" s="42"/>
      <c r="J62" s="42"/>
      <c r="K62" s="42"/>
      <c r="L62" s="42"/>
      <c r="M62" s="42"/>
    </row>
    <row r="63" spans="3:15" ht="15" customHeight="1">
      <c r="C63" s="30" t="s">
        <v>52</v>
      </c>
      <c r="D63" s="39"/>
      <c r="E63" s="39">
        <v>35867</v>
      </c>
      <c r="F63" s="39">
        <v>40201</v>
      </c>
      <c r="G63" s="42">
        <f ca="1">F63+G33</f>
        <v>45287.576073638433</v>
      </c>
      <c r="H63" s="42">
        <f ca="1">G63+H33</f>
        <v>50623.188670366537</v>
      </c>
      <c r="I63" s="42">
        <f ca="1">H63+I33</f>
        <v>56220.7994634602</v>
      </c>
      <c r="J63" s="42">
        <f ca="1">I63+J33</f>
        <v>62123.628306696759</v>
      </c>
      <c r="K63" s="42">
        <f ca="1">J63+K33</f>
        <v>68382.095288260913</v>
      </c>
      <c r="L63" s="42"/>
      <c r="M63" s="42"/>
      <c r="O63" t="s">
        <v>94</v>
      </c>
    </row>
    <row r="64" spans="3:15" ht="15.75" customHeight="1">
      <c r="C64" s="30" t="s">
        <v>53</v>
      </c>
      <c r="D64" s="44"/>
      <c r="E64" s="44">
        <f>98330</f>
        <v>98330</v>
      </c>
      <c r="F64" s="39">
        <v>70400</v>
      </c>
      <c r="G64" s="42">
        <f ca="1">G184</f>
        <v>37510.813510234366</v>
      </c>
      <c r="H64" s="42">
        <f ca="1">H184</f>
        <v>7084.5774505412555</v>
      </c>
      <c r="I64" s="42">
        <f ca="1">I184</f>
        <v>-21430.149819487589</v>
      </c>
      <c r="J64" s="42">
        <f ca="1">J184</f>
        <v>-47843.851706804038</v>
      </c>
      <c r="K64" s="42">
        <f ca="1">K184</f>
        <v>-71741.510746390253</v>
      </c>
      <c r="L64" s="42"/>
      <c r="M64" s="42"/>
      <c r="O64" t="s">
        <v>95</v>
      </c>
    </row>
    <row r="65" spans="3:15" ht="15.75" customHeight="1">
      <c r="C65" s="30" t="s">
        <v>54</v>
      </c>
      <c r="D65" s="39"/>
      <c r="E65" s="39">
        <v>-150</v>
      </c>
      <c r="F65" s="39">
        <v>-3454</v>
      </c>
      <c r="G65" s="42">
        <f>F65</f>
        <v>-3454</v>
      </c>
      <c r="H65" s="42">
        <f>G65</f>
        <v>-3454</v>
      </c>
      <c r="I65" s="42">
        <f>H65</f>
        <v>-3454</v>
      </c>
      <c r="J65" s="42">
        <f>I65</f>
        <v>-3454</v>
      </c>
      <c r="K65" s="42">
        <f>J65</f>
        <v>-3454</v>
      </c>
      <c r="L65" s="42"/>
      <c r="M65" s="42"/>
      <c r="O65" t="s">
        <v>93</v>
      </c>
    </row>
    <row r="66" spans="3:15" ht="15" customHeight="1">
      <c r="C66" s="31" t="s">
        <v>55</v>
      </c>
      <c r="D66" s="45"/>
      <c r="E66" s="45">
        <f t="shared" ref="E66:K66" si="9">SUM(E63:E65)</f>
        <v>134047</v>
      </c>
      <c r="F66" s="45">
        <f t="shared" si="9"/>
        <v>107147</v>
      </c>
      <c r="G66" s="45">
        <f t="shared" ca="1" si="9"/>
        <v>79344.389583872806</v>
      </c>
      <c r="H66" s="45">
        <f t="shared" ca="1" si="9"/>
        <v>54253.766120907792</v>
      </c>
      <c r="I66" s="45">
        <f t="shared" ca="1" si="9"/>
        <v>31336.649643972611</v>
      </c>
      <c r="J66" s="45">
        <f t="shared" ca="1" si="9"/>
        <v>10825.776599892721</v>
      </c>
      <c r="K66" s="45">
        <f t="shared" ca="1" si="9"/>
        <v>-6813.4154581293405</v>
      </c>
      <c r="L66" s="45"/>
      <c r="M66" s="45"/>
    </row>
    <row r="67" spans="3:15" ht="15" customHeight="1">
      <c r="D67" s="42"/>
      <c r="E67" s="42"/>
      <c r="F67" s="42"/>
    </row>
    <row r="68" spans="3:15" ht="15" customHeight="1">
      <c r="C68" s="23" t="s">
        <v>56</v>
      </c>
      <c r="D68" s="46"/>
      <c r="E68" s="46">
        <f t="shared" ref="E68:K68" si="10">ROUND(E53-E61-E66,3)</f>
        <v>0</v>
      </c>
      <c r="F68" s="46">
        <f t="shared" si="10"/>
        <v>0</v>
      </c>
      <c r="G68" s="46">
        <f t="shared" ca="1" si="10"/>
        <v>0</v>
      </c>
      <c r="H68" s="46">
        <f t="shared" ca="1" si="10"/>
        <v>0</v>
      </c>
      <c r="I68" s="46">
        <f t="shared" ca="1" si="10"/>
        <v>0</v>
      </c>
      <c r="J68" s="46">
        <f t="shared" ca="1" si="10"/>
        <v>0</v>
      </c>
      <c r="K68" s="46">
        <f t="shared" ca="1" si="10"/>
        <v>0</v>
      </c>
      <c r="L68" s="46"/>
      <c r="M68" s="46"/>
    </row>
    <row r="69" spans="3:15" ht="15" customHeight="1">
      <c r="E69" s="42"/>
      <c r="F69" s="42"/>
      <c r="H69" s="42"/>
      <c r="I69" s="42"/>
      <c r="J69" s="42"/>
      <c r="K69" s="42"/>
      <c r="L69" s="42"/>
      <c r="M69" s="42"/>
    </row>
    <row r="70" spans="3:15" ht="15" customHeight="1">
      <c r="C70" s="16" t="s">
        <v>96</v>
      </c>
      <c r="D70" s="20"/>
      <c r="E70" s="20"/>
      <c r="F70" s="20"/>
      <c r="G70" s="20"/>
      <c r="H70" s="20"/>
      <c r="I70" s="20"/>
      <c r="J70" s="20"/>
      <c r="K70" s="20"/>
      <c r="L70" s="25"/>
      <c r="M70" s="25"/>
    </row>
    <row r="71" spans="3:15" ht="15" customHeight="1">
      <c r="C71" s="36" t="str">
        <f>C15</f>
        <v xml:space="preserve">Fiscal year  </v>
      </c>
      <c r="D71" s="37"/>
      <c r="E71" s="37"/>
      <c r="F71" s="37"/>
      <c r="G71" s="65">
        <f t="shared" ref="G71:K72" si="11">G15</f>
        <v>2019</v>
      </c>
      <c r="H71" s="65">
        <f t="shared" si="11"/>
        <v>2020</v>
      </c>
      <c r="I71" s="65">
        <f t="shared" si="11"/>
        <v>2021</v>
      </c>
      <c r="J71" s="65">
        <f t="shared" si="11"/>
        <v>2022</v>
      </c>
      <c r="K71" s="65">
        <f t="shared" si="11"/>
        <v>2023</v>
      </c>
      <c r="L71" s="65"/>
      <c r="M71" s="65"/>
    </row>
    <row r="72" spans="3:15" ht="15" customHeight="1">
      <c r="C72" s="17" t="str">
        <f>C16</f>
        <v>Fiscal year end date</v>
      </c>
      <c r="D72" s="38"/>
      <c r="E72" s="38"/>
      <c r="F72" s="38"/>
      <c r="G72" s="38">
        <f t="shared" si="11"/>
        <v>43738</v>
      </c>
      <c r="H72" s="38">
        <f t="shared" si="11"/>
        <v>44104</v>
      </c>
      <c r="I72" s="38">
        <f t="shared" si="11"/>
        <v>44469</v>
      </c>
      <c r="J72" s="38">
        <f t="shared" si="11"/>
        <v>44834</v>
      </c>
      <c r="K72" s="38">
        <f t="shared" si="11"/>
        <v>45199</v>
      </c>
      <c r="L72" s="161"/>
      <c r="M72" s="161"/>
    </row>
    <row r="74" spans="3:15" ht="15" customHeight="1">
      <c r="C74" t="s">
        <v>24</v>
      </c>
      <c r="D74" s="40"/>
      <c r="E74" s="40"/>
      <c r="F74" s="40"/>
      <c r="G74" s="42">
        <f ca="1">G29</f>
        <v>52213.524654506109</v>
      </c>
      <c r="H74" s="42">
        <f ca="1">H29</f>
        <v>55415.155846152702</v>
      </c>
      <c r="I74" s="42">
        <f ca="1">I29</f>
        <v>57899.958662064659</v>
      </c>
      <c r="J74" s="42">
        <f ca="1">J29</f>
        <v>60631.117323481623</v>
      </c>
      <c r="K74" s="42">
        <f ca="1">K29</f>
        <v>63901.764252650741</v>
      </c>
      <c r="L74" s="42"/>
      <c r="M74" s="42"/>
      <c r="O74" s="27"/>
    </row>
    <row r="75" spans="3:15" ht="15" customHeight="1">
      <c r="C75" t="s">
        <v>97</v>
      </c>
      <c r="D75" s="40"/>
      <c r="E75" s="40"/>
      <c r="F75" s="40"/>
      <c r="G75" s="42">
        <f ca="1">G31</f>
        <v>10592.782507284561</v>
      </c>
      <c r="H75" s="42">
        <f ca="1">H31</f>
        <v>10569.397243121617</v>
      </c>
      <c r="I75" s="42">
        <f ca="1">I31</f>
        <v>11159.331479649651</v>
      </c>
      <c r="J75" s="42">
        <f ca="1">J31</f>
        <v>12287.842023721507</v>
      </c>
      <c r="K75" s="42">
        <f ca="1">K31</f>
        <v>13855.455338274283</v>
      </c>
      <c r="L75" s="42"/>
      <c r="M75" s="42"/>
      <c r="O75" t="s">
        <v>98</v>
      </c>
    </row>
    <row r="76" spans="3:15" ht="15" customHeight="1">
      <c r="C76" t="s">
        <v>27</v>
      </c>
      <c r="D76" s="40"/>
      <c r="E76" s="40"/>
      <c r="F76" s="40"/>
      <c r="G76" s="42">
        <f ca="1">G33</f>
        <v>5086.5760736384345</v>
      </c>
      <c r="H76" s="42">
        <f ca="1">H33</f>
        <v>5335.6125967281014</v>
      </c>
      <c r="I76" s="42">
        <f ca="1">I33</f>
        <v>5597.6107930936605</v>
      </c>
      <c r="J76" s="42">
        <f ca="1">J33</f>
        <v>5902.8288432365589</v>
      </c>
      <c r="K76" s="42">
        <f ca="1">K33</f>
        <v>6258.4669815641573</v>
      </c>
      <c r="L76" s="42"/>
      <c r="M76" s="42"/>
    </row>
    <row r="77" spans="3:15" ht="15" customHeight="1">
      <c r="C77" t="s">
        <v>99</v>
      </c>
      <c r="D77" s="42"/>
      <c r="E77" s="42"/>
      <c r="F77" s="42"/>
      <c r="G77" s="42">
        <f ca="1">-1*(SUM(G47:G50)-SUM(F47:F50))</f>
        <v>1630.9088656226377</v>
      </c>
      <c r="H77" s="42">
        <f ca="1">-1*(SUM(H47:H50)-SUM(G47:G50))</f>
        <v>-4055.0224450028618</v>
      </c>
      <c r="I77" s="42">
        <f ca="1">-1*(SUM(I47:I50)-SUM(H47:H50))</f>
        <v>-2179.4855644868221</v>
      </c>
      <c r="J77" s="42">
        <f ca="1">-1*(SUM(J47:J50)-SUM(I47:I50))</f>
        <v>-4915.6622033134772</v>
      </c>
      <c r="K77" s="42">
        <f ca="1">-1*(SUM(K47:K50)-SUM(J47:J50))</f>
        <v>-3366.8734715610917</v>
      </c>
      <c r="L77" s="42"/>
      <c r="M77" s="42"/>
    </row>
    <row r="78" spans="3:15" ht="15" customHeight="1">
      <c r="C78" t="s">
        <v>100</v>
      </c>
      <c r="D78" s="42"/>
      <c r="E78" s="42"/>
      <c r="F78" s="42"/>
      <c r="G78" s="42">
        <f ca="1">SUM(G55:G57)-SUM(F55:F57)</f>
        <v>-4224.813440355807</v>
      </c>
      <c r="H78" s="42">
        <f ca="1">SUM(H55:H57)-SUM(G55:G57)</f>
        <v>4364.2798660247208</v>
      </c>
      <c r="I78" s="42">
        <f ca="1">SUM(I55:I57)-SUM(H55:H57)</f>
        <v>4768.9212033672811</v>
      </c>
      <c r="J78" s="42">
        <f ca="1">SUM(J55:J57)-SUM(I55:I57)</f>
        <v>5661.1245587961312</v>
      </c>
      <c r="K78" s="42">
        <f ca="1">SUM(K55:K57)-SUM(J55:J57)</f>
        <v>6596.3064700409886</v>
      </c>
      <c r="L78" s="42"/>
      <c r="M78" s="42"/>
    </row>
    <row r="79" spans="3:15" ht="15" customHeight="1">
      <c r="C79" t="s">
        <v>43</v>
      </c>
      <c r="G79" s="42">
        <f ca="1">-(G176)</f>
        <v>-469.42623500517584</v>
      </c>
      <c r="H79" s="42">
        <f ca="1">-(H176)</f>
        <v>-2640.8741266970392</v>
      </c>
      <c r="I79" s="42">
        <f ca="1">-(I176)</f>
        <v>-2773.6097211503584</v>
      </c>
      <c r="J79" s="42">
        <f ca="1">-(J176)</f>
        <v>-3045.5821061877177</v>
      </c>
      <c r="K79" s="42">
        <f ca="1">-(K176)</f>
        <v>-3362.7354321725143</v>
      </c>
      <c r="L79" s="42"/>
      <c r="M79" s="42"/>
      <c r="O79" t="s">
        <v>101</v>
      </c>
    </row>
    <row r="80" spans="3:15" ht="15" customHeight="1">
      <c r="C80" t="s">
        <v>50</v>
      </c>
      <c r="G80" s="42">
        <f ca="1">G60-F60</f>
        <v>-2144.1372646096497</v>
      </c>
      <c r="H80" s="42">
        <f ca="1">H60-G60</f>
        <v>2107.0168751294259</v>
      </c>
      <c r="I80" s="42">
        <f ca="1">I60-H60</f>
        <v>2216.6813692501819</v>
      </c>
      <c r="J80" s="42">
        <f ca="1">J60-I60</f>
        <v>2582.3504691865455</v>
      </c>
      <c r="K80" s="42">
        <f ca="1">K60-J60</f>
        <v>3008.9384062997924</v>
      </c>
      <c r="L80" s="42"/>
      <c r="M80" s="42"/>
      <c r="O80" s="27"/>
    </row>
    <row r="81" spans="3:15" ht="15" customHeight="1">
      <c r="C81" s="27" t="s">
        <v>102</v>
      </c>
      <c r="G81" s="45">
        <f ca="1">SUM(G74:G80)</f>
        <v>62685.415161081117</v>
      </c>
      <c r="H81" s="45">
        <f ca="1">SUM(H74:H80)</f>
        <v>71095.565855456662</v>
      </c>
      <c r="I81" s="45">
        <f ca="1">SUM(I74:I80)</f>
        <v>76689.408221788239</v>
      </c>
      <c r="J81" s="45">
        <f ca="1">SUM(J74:J80)</f>
        <v>79104.018908921164</v>
      </c>
      <c r="K81" s="45">
        <f ca="1">SUM(K74:K80)</f>
        <v>86891.322545096366</v>
      </c>
      <c r="L81" s="45"/>
      <c r="M81" s="45"/>
    </row>
    <row r="82" spans="3:15" ht="15" customHeight="1">
      <c r="G82" s="42"/>
      <c r="H82" s="42"/>
      <c r="I82" s="42"/>
      <c r="J82" s="42"/>
      <c r="K82" s="42"/>
      <c r="L82" s="42"/>
      <c r="M82" s="42"/>
    </row>
    <row r="83" spans="3:15" ht="15" customHeight="1">
      <c r="C83" t="s">
        <v>103</v>
      </c>
      <c r="G83" s="42">
        <f>-(G144)</f>
        <v>-13285</v>
      </c>
      <c r="H83" s="42">
        <f>-(H144)</f>
        <v>-13649</v>
      </c>
      <c r="I83" s="42">
        <f>-(I144)</f>
        <v>-13819</v>
      </c>
      <c r="J83" s="42">
        <f ca="1">-(J144)</f>
        <v>-14572.50151892101</v>
      </c>
      <c r="K83" s="42">
        <f ca="1">-(K144)</f>
        <v>-15450.476714983708</v>
      </c>
      <c r="L83" s="42"/>
      <c r="M83" s="42"/>
      <c r="O83" t="s">
        <v>90</v>
      </c>
    </row>
    <row r="84" spans="3:15" ht="15" customHeight="1">
      <c r="C84" s="27" t="s">
        <v>104</v>
      </c>
      <c r="G84" s="45">
        <f>IFERROR(G83,"NA")</f>
        <v>-13285</v>
      </c>
      <c r="H84" s="45">
        <f>IFERROR(H83,"NA")</f>
        <v>-13649</v>
      </c>
      <c r="I84" s="45">
        <f>IFERROR(I83,"NA")</f>
        <v>-13819</v>
      </c>
      <c r="J84" s="45">
        <f ca="1">IFERROR(J83,"NA")</f>
        <v>-14572.50151892101</v>
      </c>
      <c r="K84" s="45">
        <f ca="1">IFERROR(K83,"NA")</f>
        <v>-15450.476714983708</v>
      </c>
      <c r="L84" s="45"/>
      <c r="M84" s="45"/>
    </row>
    <row r="85" spans="3:15" ht="15" customHeight="1">
      <c r="G85" s="42"/>
      <c r="H85" s="42"/>
      <c r="I85" s="42"/>
      <c r="J85" s="42"/>
      <c r="K85" s="42"/>
      <c r="L85" s="42"/>
      <c r="M85" s="42"/>
    </row>
    <row r="86" spans="3:15" ht="15" customHeight="1">
      <c r="C86" t="s">
        <v>105</v>
      </c>
      <c r="G86" s="42">
        <f>G59-F59</f>
        <v>0</v>
      </c>
      <c r="H86" s="42">
        <f>H59-G59</f>
        <v>0</v>
      </c>
      <c r="I86" s="42">
        <f>I59-H59</f>
        <v>0</v>
      </c>
      <c r="J86" s="42">
        <f>J59-I59</f>
        <v>0</v>
      </c>
      <c r="K86" s="42">
        <f>K59-J59</f>
        <v>0</v>
      </c>
      <c r="L86" s="42"/>
      <c r="M86" s="42"/>
    </row>
    <row r="87" spans="3:15" ht="15" customHeight="1">
      <c r="C87" t="s">
        <v>106</v>
      </c>
      <c r="G87" s="42">
        <f ca="1">G58-F58</f>
        <v>36</v>
      </c>
      <c r="H87" s="42">
        <f ca="1">H58-G58</f>
        <v>0</v>
      </c>
      <c r="I87" s="42">
        <f ca="1">I58-H58</f>
        <v>0</v>
      </c>
      <c r="J87" s="42">
        <f ca="1">J58-I58</f>
        <v>0</v>
      </c>
      <c r="K87" s="42">
        <f ca="1">K58-J58</f>
        <v>0</v>
      </c>
      <c r="L87" s="42"/>
      <c r="M87" s="42"/>
      <c r="O87" t="s">
        <v>107</v>
      </c>
    </row>
    <row r="88" spans="3:15" ht="15" customHeight="1">
      <c r="C88" t="s">
        <v>108</v>
      </c>
      <c r="G88" s="42">
        <f>G183</f>
        <v>-73056</v>
      </c>
      <c r="H88" s="42">
        <f>H183</f>
        <v>-73056</v>
      </c>
      <c r="I88" s="42">
        <f>I183</f>
        <v>-73056</v>
      </c>
      <c r="J88" s="42">
        <f>J183</f>
        <v>-73056</v>
      </c>
      <c r="K88" s="42">
        <f>K183</f>
        <v>-73056</v>
      </c>
      <c r="L88" s="42"/>
      <c r="M88" s="42"/>
      <c r="O88" t="s">
        <v>95</v>
      </c>
    </row>
    <row r="89" spans="3:15" ht="15" customHeight="1">
      <c r="C89" t="s">
        <v>109</v>
      </c>
      <c r="G89" s="42">
        <f ca="1">G182</f>
        <v>-12046.711144271749</v>
      </c>
      <c r="H89" s="42">
        <f ca="1">H182</f>
        <v>-12785.391905845818</v>
      </c>
      <c r="I89" s="42">
        <f ca="1">I182</f>
        <v>-13358.6859320935</v>
      </c>
      <c r="J89" s="42">
        <f ca="1">J182</f>
        <v>-13988.819210798074</v>
      </c>
      <c r="K89" s="42">
        <f ca="1">K182</f>
        <v>-14743.423292236952</v>
      </c>
      <c r="L89" s="42"/>
      <c r="M89" s="42"/>
      <c r="O89" t="s">
        <v>95</v>
      </c>
    </row>
    <row r="90" spans="3:15" ht="15" customHeight="1">
      <c r="C90" s="27" t="s">
        <v>110</v>
      </c>
      <c r="G90" s="45">
        <f ca="1">SUM(G86:G89)</f>
        <v>-85066.711144271743</v>
      </c>
      <c r="H90" s="45">
        <f ca="1">SUM(H86:H89)</f>
        <v>-85841.391905845812</v>
      </c>
      <c r="I90" s="45">
        <f ca="1">SUM(I86:I89)</f>
        <v>-86414.685932093504</v>
      </c>
      <c r="J90" s="45">
        <f ca="1">SUM(J86:J89)</f>
        <v>-87044.819210798072</v>
      </c>
      <c r="K90" s="45">
        <f ca="1">SUM(K86:K89)</f>
        <v>-87799.423292236956</v>
      </c>
      <c r="L90" s="45"/>
      <c r="M90" s="45"/>
    </row>
    <row r="91" spans="3:15" ht="15" customHeight="1">
      <c r="G91" s="42"/>
      <c r="H91" s="42"/>
      <c r="I91" s="42"/>
      <c r="J91" s="42"/>
      <c r="K91" s="42"/>
      <c r="L91" s="42"/>
      <c r="M91" s="42"/>
    </row>
    <row r="92" spans="3:15" ht="15" customHeight="1">
      <c r="C92" s="27" t="s">
        <v>111</v>
      </c>
      <c r="G92" s="45">
        <f ca="1">G81+G84+G90</f>
        <v>-35666.295983190626</v>
      </c>
      <c r="H92" s="45">
        <f ca="1">H81+H84+H90</f>
        <v>-28394.826050389151</v>
      </c>
      <c r="I92" s="45">
        <f ca="1">I81+I84+I90</f>
        <v>-23544.277710305265</v>
      </c>
      <c r="J92" s="45">
        <f ca="1">J81+J84+J90</f>
        <v>-22513.301820797918</v>
      </c>
      <c r="K92" s="45">
        <f ca="1">K81+K84+K90</f>
        <v>-16358.577462124304</v>
      </c>
      <c r="L92" s="45"/>
      <c r="M92" s="45"/>
    </row>
    <row r="93" spans="3:15" ht="15" customHeight="1">
      <c r="C93" s="27"/>
      <c r="G93" s="45"/>
      <c r="H93" s="45"/>
      <c r="I93" s="45"/>
      <c r="J93" s="45"/>
      <c r="K93" s="45"/>
      <c r="L93" s="45"/>
      <c r="M93" s="45"/>
    </row>
    <row r="94" spans="3:15" ht="15" customHeight="1">
      <c r="C94" s="16" t="s">
        <v>272</v>
      </c>
      <c r="D94" s="17"/>
      <c r="E94" s="17"/>
      <c r="F94" s="17"/>
      <c r="G94" s="17"/>
      <c r="H94" s="17"/>
      <c r="I94" s="17"/>
      <c r="J94" s="17"/>
      <c r="K94" s="17"/>
    </row>
    <row r="95" spans="3:15" ht="15" customHeight="1">
      <c r="C95" s="36" t="str">
        <f>C15</f>
        <v xml:space="preserve">Fiscal year  </v>
      </c>
      <c r="D95" s="37">
        <f t="shared" ref="D95:K95" si="12">D$15</f>
        <v>2016</v>
      </c>
      <c r="E95" s="37">
        <f t="shared" si="12"/>
        <v>2017</v>
      </c>
      <c r="F95" s="37">
        <f t="shared" si="12"/>
        <v>2018</v>
      </c>
      <c r="G95" s="37">
        <f t="shared" si="12"/>
        <v>2019</v>
      </c>
      <c r="H95" s="37">
        <f t="shared" si="12"/>
        <v>2020</v>
      </c>
      <c r="I95" s="37">
        <f t="shared" si="12"/>
        <v>2021</v>
      </c>
      <c r="J95" s="37">
        <f t="shared" si="12"/>
        <v>2022</v>
      </c>
      <c r="K95" s="37">
        <f t="shared" si="12"/>
        <v>2023</v>
      </c>
      <c r="L95" s="37"/>
      <c r="M95" s="37"/>
    </row>
    <row r="96" spans="3:15" ht="15" customHeight="1">
      <c r="C96" s="17" t="str">
        <f>C16</f>
        <v>Fiscal year end date</v>
      </c>
      <c r="D96" s="38">
        <f t="shared" ref="D96:K96" si="13">D$16</f>
        <v>42643</v>
      </c>
      <c r="E96" s="38">
        <f t="shared" si="13"/>
        <v>43008</v>
      </c>
      <c r="F96" s="38">
        <f t="shared" si="13"/>
        <v>43372</v>
      </c>
      <c r="G96" s="38">
        <f t="shared" si="13"/>
        <v>43738</v>
      </c>
      <c r="H96" s="38">
        <f t="shared" si="13"/>
        <v>44104</v>
      </c>
      <c r="I96" s="38">
        <f t="shared" si="13"/>
        <v>44469</v>
      </c>
      <c r="J96" s="38">
        <f t="shared" si="13"/>
        <v>44834</v>
      </c>
      <c r="K96" s="38">
        <f t="shared" si="13"/>
        <v>45199</v>
      </c>
      <c r="L96" s="161"/>
      <c r="M96" s="161"/>
    </row>
    <row r="97" spans="3:13" ht="15" customHeight="1">
      <c r="E97" s="254"/>
      <c r="F97" s="254"/>
      <c r="L97" s="161"/>
    </row>
    <row r="98" spans="3:13" ht="15" customHeight="1">
      <c r="C98" s="27" t="s">
        <v>273</v>
      </c>
      <c r="E98" s="1" t="s">
        <v>274</v>
      </c>
      <c r="F98" s="1"/>
      <c r="G98" s="1" t="s">
        <v>113</v>
      </c>
      <c r="H98" s="1"/>
      <c r="I98" s="1"/>
      <c r="J98" s="1"/>
      <c r="K98" s="1"/>
      <c r="L98" s="161"/>
      <c r="M98" s="255"/>
    </row>
    <row r="99" spans="3:13" ht="15" customHeight="1">
      <c r="C99" s="29" t="s">
        <v>114</v>
      </c>
      <c r="G99" s="42">
        <f>F101</f>
        <v>23186</v>
      </c>
      <c r="H99" s="42">
        <f ca="1">G101</f>
        <v>23946.473303013707</v>
      </c>
      <c r="I99" s="42">
        <f ca="1">H101</f>
        <v>25493.585123287659</v>
      </c>
      <c r="J99" s="42">
        <f ca="1">I101</f>
        <v>26374.161951893868</v>
      </c>
      <c r="K99" s="42">
        <f ca="1">J101</f>
        <v>28321.751141390268</v>
      </c>
      <c r="L99" s="161"/>
      <c r="M99" s="42"/>
    </row>
    <row r="100" spans="3:13" ht="15" customHeight="1">
      <c r="C100" s="29" t="s">
        <v>275</v>
      </c>
      <c r="G100" s="42">
        <f ca="1">G101-G99</f>
        <v>760.47330301370675</v>
      </c>
      <c r="H100" s="42">
        <f ca="1">H101-H99</f>
        <v>1547.1118202739526</v>
      </c>
      <c r="I100" s="42">
        <f ca="1">I101-I99</f>
        <v>880.57682860620844</v>
      </c>
      <c r="J100" s="42">
        <f ca="1">J101-J99</f>
        <v>1947.5891894964006</v>
      </c>
      <c r="K100" s="42">
        <f ca="1">K101-K99</f>
        <v>1347.7719370440827</v>
      </c>
      <c r="L100" s="161"/>
      <c r="M100" s="42"/>
    </row>
    <row r="101" spans="3:13" ht="15" customHeight="1">
      <c r="C101" s="29" t="s">
        <v>120</v>
      </c>
      <c r="E101" s="42">
        <f>E47</f>
        <v>17874</v>
      </c>
      <c r="F101" s="42">
        <f>F47</f>
        <v>23186</v>
      </c>
      <c r="G101" s="42">
        <f ca="1">IF($G$105=1,F101*(1+G107),2*G18*G108/365-G99)</f>
        <v>23946.473303013707</v>
      </c>
      <c r="H101" s="42">
        <f ca="1">IF($G$105=1,G101*(1+H107),2*H18*H108/365-H99)</f>
        <v>25493.585123287659</v>
      </c>
      <c r="I101" s="42">
        <f ca="1">IF($G$105=1,H101*(1+I107),2*I18*I108/365-I99)</f>
        <v>26374.161951893868</v>
      </c>
      <c r="J101" s="42">
        <f ca="1">IF($G$105=1,I101*(1+J107),2*J18*J108/365-J99)</f>
        <v>28321.751141390268</v>
      </c>
      <c r="K101" s="42">
        <f ca="1">IF($G$105=1,J101*(1+K107),2*K18*K108/365-K99)</f>
        <v>29669.523078434351</v>
      </c>
      <c r="L101" s="42"/>
      <c r="M101" s="42"/>
    </row>
    <row r="102" spans="3:13" ht="14.25" customHeight="1">
      <c r="G102" s="208"/>
    </row>
    <row r="103" spans="3:13" ht="15" customHeight="1">
      <c r="C103" s="29" t="s">
        <v>277</v>
      </c>
      <c r="E103" s="51"/>
      <c r="F103" s="51">
        <f t="shared" ref="F103:K103" si="14">AVERAGE(E101:F101)/F18</f>
        <v>7.729814190779194E-2</v>
      </c>
      <c r="G103" s="51">
        <f t="shared" ca="1" si="14"/>
        <v>9.3150684931506869E-2</v>
      </c>
      <c r="H103" s="51">
        <f t="shared" ca="1" si="14"/>
        <v>9.3150684931506841E-2</v>
      </c>
      <c r="I103" s="51">
        <f t="shared" ca="1" si="14"/>
        <v>9.3150684931506841E-2</v>
      </c>
      <c r="J103" s="51">
        <f t="shared" ca="1" si="14"/>
        <v>9.3150684931506841E-2</v>
      </c>
      <c r="K103" s="51">
        <f t="shared" ca="1" si="14"/>
        <v>9.3150684931506841E-2</v>
      </c>
      <c r="L103" s="51"/>
      <c r="M103" s="51"/>
    </row>
    <row r="104" spans="3:13" ht="15" customHeight="1">
      <c r="E104" s="51"/>
      <c r="F104" s="51"/>
      <c r="G104" s="51"/>
      <c r="H104" s="51"/>
      <c r="I104" s="51"/>
      <c r="J104" s="51"/>
      <c r="K104" s="51"/>
      <c r="L104" s="51"/>
      <c r="M104" s="51"/>
    </row>
    <row r="105" spans="3:13" ht="15" customHeight="1">
      <c r="C105" s="29" t="s">
        <v>278</v>
      </c>
      <c r="E105" s="51"/>
      <c r="F105" s="51"/>
      <c r="G105" s="256">
        <v>2</v>
      </c>
      <c r="H105" s="51"/>
      <c r="I105" s="51"/>
      <c r="J105" s="51"/>
      <c r="K105" s="51"/>
      <c r="L105" s="51"/>
      <c r="M105" s="51"/>
    </row>
    <row r="106" spans="3:13" ht="15" customHeight="1">
      <c r="C106" s="27"/>
      <c r="D106" s="27"/>
      <c r="E106" s="51"/>
      <c r="F106" s="51"/>
      <c r="G106" s="51"/>
      <c r="H106" s="51"/>
      <c r="I106" s="51"/>
      <c r="J106" s="51"/>
      <c r="K106" s="51"/>
      <c r="L106" s="51"/>
      <c r="M106" s="51"/>
    </row>
    <row r="107" spans="3:13" ht="15" customHeight="1">
      <c r="C107" s="29" t="s">
        <v>279</v>
      </c>
      <c r="E107" s="51"/>
      <c r="F107" s="51"/>
      <c r="G107" s="156">
        <f ca="1">G37</f>
        <v>-4.7457664112652731E-2</v>
      </c>
      <c r="H107" s="156">
        <f ca="1">H37</f>
        <v>4.8959559335073566E-2</v>
      </c>
      <c r="I107" s="156">
        <f ca="1">I37</f>
        <v>4.9103676778599281E-2</v>
      </c>
      <c r="J107" s="156">
        <f ca="1">J37</f>
        <v>5.452648664310078E-2</v>
      </c>
      <c r="K107" s="156">
        <f ca="1">K37</f>
        <v>6.0248763393349503E-2</v>
      </c>
      <c r="L107" s="51"/>
      <c r="M107" s="51"/>
    </row>
    <row r="108" spans="3:13" ht="15" customHeight="1">
      <c r="C108" s="29" t="s">
        <v>317</v>
      </c>
      <c r="E108" s="257"/>
      <c r="F108" s="257">
        <f>F103*365</f>
        <v>28.213821796344057</v>
      </c>
      <c r="G108" s="258">
        <v>34</v>
      </c>
      <c r="H108" s="258">
        <v>34</v>
      </c>
      <c r="I108" s="258">
        <v>34</v>
      </c>
      <c r="J108" s="258">
        <v>34</v>
      </c>
      <c r="K108" s="258">
        <v>34</v>
      </c>
      <c r="L108" s="51"/>
      <c r="M108" s="278"/>
    </row>
    <row r="109" spans="3:13" ht="15" customHeight="1">
      <c r="L109" s="51"/>
    </row>
    <row r="110" spans="3:13" ht="15" customHeight="1">
      <c r="C110" s="27" t="s">
        <v>281</v>
      </c>
      <c r="E110" s="1" t="s">
        <v>274</v>
      </c>
      <c r="F110" s="1"/>
      <c r="G110" s="1" t="s">
        <v>113</v>
      </c>
      <c r="H110" s="1"/>
      <c r="I110" s="1"/>
      <c r="J110" s="1"/>
      <c r="K110" s="1"/>
      <c r="L110" s="51"/>
      <c r="M110" s="255"/>
    </row>
    <row r="111" spans="3:13" ht="15" customHeight="1">
      <c r="C111" s="29" t="s">
        <v>114</v>
      </c>
      <c r="G111" s="42">
        <f>F113</f>
        <v>3956</v>
      </c>
      <c r="H111" s="42">
        <f ca="1">G113</f>
        <v>3363.0734705767445</v>
      </c>
      <c r="I111" s="42">
        <f ca="1">H113</f>
        <v>4103.6642303232547</v>
      </c>
      <c r="J111" s="42">
        <f ca="1">I113</f>
        <v>3543.2689119961551</v>
      </c>
      <c r="K111" s="42">
        <f ca="1">J113</f>
        <v>4345.322594686776</v>
      </c>
      <c r="L111" s="51"/>
      <c r="M111" s="42"/>
    </row>
    <row r="112" spans="3:13" ht="15" customHeight="1">
      <c r="C112" s="29" t="s">
        <v>275</v>
      </c>
      <c r="G112" s="42">
        <f ca="1">G113-G111</f>
        <v>-592.92652942325549</v>
      </c>
      <c r="H112" s="42">
        <f ca="1">H113-H111</f>
        <v>740.59075974651023</v>
      </c>
      <c r="I112" s="42">
        <f ca="1">I113-I111</f>
        <v>-560.39531832709963</v>
      </c>
      <c r="J112" s="42">
        <f ca="1">J113-J111</f>
        <v>802.05368269062092</v>
      </c>
      <c r="K112" s="42">
        <f ca="1">K113-K111</f>
        <v>-504.73046736739343</v>
      </c>
      <c r="L112" s="51"/>
      <c r="M112" s="42"/>
    </row>
    <row r="113" spans="3:15" ht="15" customHeight="1">
      <c r="C113" s="29" t="s">
        <v>120</v>
      </c>
      <c r="E113" s="42">
        <f>E48</f>
        <v>4855</v>
      </c>
      <c r="F113" s="42">
        <f>F48</f>
        <v>3956</v>
      </c>
      <c r="G113" s="42">
        <f ca="1">IF($G$115=1,-G117*G19,2*(-G19/G118)-G111)</f>
        <v>3363.0734705767445</v>
      </c>
      <c r="H113" s="42">
        <f ca="1">IF($G$115=1,-H117*H19,2*(-H19/H118)-H111)</f>
        <v>4103.6642303232547</v>
      </c>
      <c r="I113" s="42">
        <f ca="1">IF($G$115=1,-I117*I19,2*(-I19/I118)-I111)</f>
        <v>3543.2689119961551</v>
      </c>
      <c r="J113" s="42">
        <f ca="1">IF($G$115=1,-J117*J19,2*(-J19/J118)-J111)</f>
        <v>4345.322594686776</v>
      </c>
      <c r="K113" s="42">
        <f ca="1">IF($G$115=1,-K117*K19,2*(-K19/K118)-K111)</f>
        <v>3840.5921273193826</v>
      </c>
      <c r="L113" s="51"/>
      <c r="M113" s="42"/>
      <c r="O113" s="42"/>
    </row>
    <row r="114" spans="3:15" ht="15" customHeight="1">
      <c r="L114" s="51"/>
    </row>
    <row r="115" spans="3:15" ht="15" customHeight="1">
      <c r="C115" s="29" t="s">
        <v>282</v>
      </c>
      <c r="E115" s="51"/>
      <c r="F115" s="51"/>
      <c r="G115" s="256">
        <v>2</v>
      </c>
      <c r="L115" s="51"/>
    </row>
    <row r="116" spans="3:15" ht="15" customHeight="1">
      <c r="L116" s="51"/>
    </row>
    <row r="117" spans="3:15" ht="15" customHeight="1">
      <c r="C117" s="29" t="s">
        <v>283</v>
      </c>
      <c r="E117" s="51"/>
      <c r="F117" s="51">
        <f>-(AVERAGE(E113:F113)/F19)</f>
        <v>2.6902831041305357E-2</v>
      </c>
      <c r="G117" s="156">
        <f>F117</f>
        <v>2.6902831041305357E-2</v>
      </c>
      <c r="H117" s="156">
        <f>G117</f>
        <v>2.6902831041305357E-2</v>
      </c>
      <c r="I117" s="156">
        <f>H117</f>
        <v>2.6902831041305357E-2</v>
      </c>
      <c r="J117" s="156">
        <f>I117</f>
        <v>2.6902831041305357E-2</v>
      </c>
      <c r="K117" s="156">
        <f>J117</f>
        <v>2.6902831041305357E-2</v>
      </c>
      <c r="L117" s="51"/>
      <c r="M117" s="51"/>
    </row>
    <row r="118" spans="3:15" ht="15" customHeight="1">
      <c r="C118" s="29" t="s">
        <v>284</v>
      </c>
      <c r="E118" s="260"/>
      <c r="F118" s="260">
        <f>-(F19/AVERAGE(E113:F113))</f>
        <v>37.170809215753039</v>
      </c>
      <c r="G118" s="261">
        <v>43</v>
      </c>
      <c r="H118" s="261">
        <v>44</v>
      </c>
      <c r="I118" s="261">
        <v>45</v>
      </c>
      <c r="J118" s="261">
        <v>46</v>
      </c>
      <c r="K118" s="261">
        <v>47</v>
      </c>
      <c r="L118" s="51"/>
      <c r="M118" s="279"/>
    </row>
    <row r="119" spans="3:15" ht="15" customHeight="1">
      <c r="L119" s="51"/>
    </row>
    <row r="120" spans="3:15" ht="15" customHeight="1">
      <c r="C120" s="174" t="s">
        <v>285</v>
      </c>
      <c r="D120" s="80"/>
      <c r="E120" s="80"/>
      <c r="F120" s="80"/>
      <c r="G120" s="80"/>
      <c r="H120" s="80"/>
      <c r="I120" s="80"/>
      <c r="J120" s="80"/>
      <c r="K120" s="80"/>
    </row>
    <row r="121" spans="3:15" ht="15" customHeight="1">
      <c r="C121" t="s">
        <v>286</v>
      </c>
      <c r="F121" s="257">
        <f t="shared" ref="F121:K121" si="15">365*AVERAGE(E47:F47)/F18</f>
        <v>28.213821796344057</v>
      </c>
      <c r="G121" s="257">
        <f t="shared" ca="1" si="15"/>
        <v>34</v>
      </c>
      <c r="H121" s="257">
        <f t="shared" ca="1" si="15"/>
        <v>34</v>
      </c>
      <c r="I121" s="257">
        <f t="shared" ca="1" si="15"/>
        <v>34</v>
      </c>
      <c r="J121" s="257">
        <f t="shared" ca="1" si="15"/>
        <v>34</v>
      </c>
      <c r="K121" s="257">
        <f t="shared" ca="1" si="15"/>
        <v>34</v>
      </c>
    </row>
    <row r="122" spans="3:15" ht="15" customHeight="1">
      <c r="C122" t="s">
        <v>287</v>
      </c>
      <c r="F122" s="257">
        <f t="shared" ref="F122:K122" si="16">365*AVERAGE(E49:F49)/F18+F121</f>
        <v>58.178467215120762</v>
      </c>
      <c r="G122" s="257">
        <f t="shared" ca="1" si="16"/>
        <v>70.352168577701349</v>
      </c>
      <c r="H122" s="257">
        <f t="shared" ca="1" si="16"/>
        <v>68.640870193925352</v>
      </c>
      <c r="I122" s="257">
        <f t="shared" ca="1" si="16"/>
        <v>68.638547705560484</v>
      </c>
      <c r="J122" s="257">
        <f t="shared" ca="1" si="16"/>
        <v>68.551619117151375</v>
      </c>
      <c r="K122" s="257">
        <f t="shared" ca="1" si="16"/>
        <v>68.460854257062238</v>
      </c>
    </row>
    <row r="123" spans="3:15" ht="15" customHeight="1">
      <c r="C123" t="s">
        <v>288</v>
      </c>
      <c r="F123" s="257">
        <f t="shared" ref="F123:K123" si="17">365*-(AVERAGE(E48:F48)/F19)</f>
        <v>9.8195333300764549</v>
      </c>
      <c r="G123" s="257">
        <f t="shared" ca="1" si="17"/>
        <v>8.4883720930232549</v>
      </c>
      <c r="H123" s="257">
        <f t="shared" ca="1" si="17"/>
        <v>8.295454545454545</v>
      </c>
      <c r="I123" s="257">
        <f t="shared" ca="1" si="17"/>
        <v>8.1111111111111107</v>
      </c>
      <c r="J123" s="257">
        <f t="shared" ca="1" si="17"/>
        <v>7.9347826086956523</v>
      </c>
      <c r="K123" s="257">
        <f t="shared" ca="1" si="17"/>
        <v>7.7659574468085104</v>
      </c>
    </row>
    <row r="124" spans="3:15" ht="15" customHeight="1">
      <c r="C124" s="27" t="s">
        <v>289</v>
      </c>
      <c r="D124" s="27"/>
      <c r="E124" s="27"/>
      <c r="F124" s="264">
        <f t="shared" ref="F124:K124" si="18">SUM(F122:F123)</f>
        <v>67.998000545197215</v>
      </c>
      <c r="G124" s="264">
        <f t="shared" ca="1" si="18"/>
        <v>78.840540670724607</v>
      </c>
      <c r="H124" s="264">
        <f t="shared" ca="1" si="18"/>
        <v>76.936324739379899</v>
      </c>
      <c r="I124" s="264">
        <f t="shared" ca="1" si="18"/>
        <v>76.749658816671598</v>
      </c>
      <c r="J124" s="264">
        <f t="shared" ca="1" si="18"/>
        <v>76.486401725847031</v>
      </c>
      <c r="K124" s="264">
        <f t="shared" ca="1" si="18"/>
        <v>76.226811703870752</v>
      </c>
    </row>
    <row r="125" spans="3:15" ht="15" customHeight="1">
      <c r="C125" s="27"/>
      <c r="D125" s="27"/>
      <c r="E125" s="27"/>
      <c r="F125" s="264"/>
      <c r="G125" s="264"/>
      <c r="H125" s="264"/>
      <c r="I125" s="264"/>
      <c r="J125" s="264"/>
      <c r="K125" s="264"/>
    </row>
    <row r="126" spans="3:15" ht="15" customHeight="1">
      <c r="C126" t="s">
        <v>290</v>
      </c>
      <c r="F126" s="257">
        <f t="shared" ref="F126:K126" si="19">365*-AVERAGE(E55:F55)/F19</f>
        <v>111.59117833850362</v>
      </c>
      <c r="G126" s="257">
        <f t="shared" ca="1" si="19"/>
        <v>127.10180029476453</v>
      </c>
      <c r="H126" s="257">
        <f t="shared" ca="1" si="19"/>
        <v>121.95087113882187</v>
      </c>
      <c r="I126" s="257">
        <f t="shared" ca="1" si="19"/>
        <v>121.75100495692428</v>
      </c>
      <c r="J126" s="257">
        <f t="shared" ca="1" si="19"/>
        <v>121.34963313197174</v>
      </c>
      <c r="K126" s="257">
        <f t="shared" ca="1" si="19"/>
        <v>121.03085552459689</v>
      </c>
    </row>
    <row r="127" spans="3:15" ht="14.25" customHeight="1">
      <c r="C127" s="27" t="s">
        <v>291</v>
      </c>
      <c r="F127" s="266">
        <f t="shared" ref="F127:K127" si="20">F124-F126</f>
        <v>-43.59317779330641</v>
      </c>
      <c r="G127" s="266">
        <f t="shared" ca="1" si="20"/>
        <v>-48.261259624039923</v>
      </c>
      <c r="H127" s="266">
        <f t="shared" ca="1" si="20"/>
        <v>-45.014546399441969</v>
      </c>
      <c r="I127" s="266">
        <f t="shared" ca="1" si="20"/>
        <v>-45.001346140252679</v>
      </c>
      <c r="J127" s="266">
        <f t="shared" ca="1" si="20"/>
        <v>-44.863231406124711</v>
      </c>
      <c r="K127" s="266">
        <f t="shared" ca="1" si="20"/>
        <v>-44.804043820726136</v>
      </c>
    </row>
    <row r="128" spans="3:15" ht="14.25" customHeight="1">
      <c r="C128" s="27"/>
      <c r="F128" s="266"/>
      <c r="G128" s="266"/>
      <c r="H128" s="266"/>
      <c r="I128" s="266"/>
      <c r="J128" s="266"/>
      <c r="K128" s="266"/>
    </row>
    <row r="129" spans="3:15" ht="15" customHeight="1">
      <c r="C129" t="s">
        <v>292</v>
      </c>
      <c r="F129" s="267">
        <f t="shared" ref="F129:K129" si="21">F136/F137</f>
        <v>1.1238426916297297</v>
      </c>
      <c r="G129" s="267">
        <f t="shared" ca="1" si="21"/>
        <v>1.1497932508280508</v>
      </c>
      <c r="H129" s="267">
        <f t="shared" ca="1" si="21"/>
        <v>1.1428469870471201</v>
      </c>
      <c r="I129" s="267">
        <f t="shared" ca="1" si="21"/>
        <v>1.117255723822177</v>
      </c>
      <c r="J129" s="267">
        <f t="shared" ca="1" si="21"/>
        <v>1.1075790447867744</v>
      </c>
      <c r="K129" s="267">
        <f t="shared" ca="1" si="21"/>
        <v>1.0796365958510261</v>
      </c>
    </row>
    <row r="130" spans="3:15" ht="15" customHeight="1">
      <c r="C130" t="s">
        <v>293</v>
      </c>
      <c r="F130" s="267">
        <f t="shared" ref="F130:K130" si="22">(F46-F133+F47)/F137</f>
        <v>0.76572313589923502</v>
      </c>
      <c r="G130" s="267">
        <f t="shared" ca="1" si="22"/>
        <v>0.79999585839705656</v>
      </c>
      <c r="H130" s="267">
        <f t="shared" ca="1" si="22"/>
        <v>0.78427574110805731</v>
      </c>
      <c r="I130" s="267">
        <f t="shared" ca="1" si="22"/>
        <v>0.76165863974193304</v>
      </c>
      <c r="J130" s="267">
        <f t="shared" ca="1" si="22"/>
        <v>0.74402576974854495</v>
      </c>
      <c r="K130" s="267">
        <f t="shared" ca="1" si="22"/>
        <v>0.71841353428902421</v>
      </c>
    </row>
    <row r="131" spans="3:15" ht="15" customHeight="1">
      <c r="F131" s="267"/>
      <c r="G131" s="267"/>
      <c r="H131" s="267"/>
      <c r="I131" s="267"/>
      <c r="J131" s="267"/>
      <c r="K131" s="267"/>
    </row>
    <row r="132" spans="3:15" ht="15" customHeight="1">
      <c r="C132" s="32" t="s">
        <v>294</v>
      </c>
      <c r="F132" s="267"/>
      <c r="G132" s="267"/>
      <c r="H132" s="267"/>
      <c r="I132" s="267"/>
      <c r="J132" s="267"/>
      <c r="K132" s="267"/>
    </row>
    <row r="133" spans="3:15" ht="15" customHeight="1">
      <c r="C133" t="s">
        <v>295</v>
      </c>
      <c r="D133" s="42"/>
      <c r="E133" s="39">
        <v>194714</v>
      </c>
      <c r="F133" s="39">
        <v>170799</v>
      </c>
      <c r="G133" s="42">
        <f ca="1">F133-(F46-G46)</f>
        <v>135132.70401680938</v>
      </c>
      <c r="H133" s="42">
        <f ca="1">G133-(G46-H46)</f>
        <v>106737.87796642023</v>
      </c>
      <c r="I133" s="42">
        <f ca="1">H133-(H46-I46)</f>
        <v>83193.600256114965</v>
      </c>
      <c r="J133" s="42">
        <f ca="1">I133-(I46-J46)</f>
        <v>60680.298435317047</v>
      </c>
      <c r="K133" s="42">
        <f ca="1">J133-(J46-K46)</f>
        <v>44321.720973192743</v>
      </c>
      <c r="L133" s="46"/>
      <c r="M133" s="46"/>
      <c r="O133" t="s">
        <v>296</v>
      </c>
    </row>
    <row r="134" spans="3:15" ht="15" customHeight="1">
      <c r="C134" t="s">
        <v>297</v>
      </c>
      <c r="E134" s="39">
        <v>2836</v>
      </c>
      <c r="F134" s="39">
        <v>2797</v>
      </c>
      <c r="G134" s="44">
        <f ca="1">F134*(1+G37)</f>
        <v>2664.2609134769104</v>
      </c>
      <c r="H134" s="44">
        <f ca="1">G134*(1+H37)</f>
        <v>2794.7019537544006</v>
      </c>
      <c r="I134" s="44">
        <f ca="1">H134*(1+I37)</f>
        <v>2931.9320951840768</v>
      </c>
      <c r="J134" s="44">
        <f ca="1">I134*(1+J37)</f>
        <v>3091.8000514106097</v>
      </c>
      <c r="K134" s="44">
        <f ca="1">J134*(1+K37)</f>
        <v>3278.0771811675936</v>
      </c>
      <c r="L134" s="42"/>
      <c r="M134" s="42"/>
    </row>
    <row r="135" spans="3:15" ht="15" customHeight="1">
      <c r="C135" t="s">
        <v>298</v>
      </c>
      <c r="E135" s="39">
        <v>97207</v>
      </c>
      <c r="F135" s="39">
        <v>93735</v>
      </c>
      <c r="G135" s="42">
        <f>F135</f>
        <v>93735</v>
      </c>
      <c r="H135" s="42">
        <f>G135</f>
        <v>93735</v>
      </c>
      <c r="I135" s="42">
        <f>H135</f>
        <v>93735</v>
      </c>
      <c r="J135" s="42">
        <f>I135</f>
        <v>93735</v>
      </c>
      <c r="K135" s="42">
        <f>J135</f>
        <v>93735</v>
      </c>
      <c r="L135" s="42"/>
      <c r="M135" s="42"/>
    </row>
    <row r="136" spans="3:15" ht="15" customHeight="1">
      <c r="C136" t="s">
        <v>299</v>
      </c>
      <c r="E136" s="42">
        <f t="shared" ref="E136:K136" si="23">SUM(E46:E50)-E133</f>
        <v>128645</v>
      </c>
      <c r="F136" s="42">
        <f t="shared" si="23"/>
        <v>131339</v>
      </c>
      <c r="G136" s="42">
        <f t="shared" ca="1" si="23"/>
        <v>129708.09113437738</v>
      </c>
      <c r="H136" s="42">
        <f t="shared" ca="1" si="23"/>
        <v>133763.11357938024</v>
      </c>
      <c r="I136" s="42">
        <f t="shared" ca="1" si="23"/>
        <v>135942.59914386706</v>
      </c>
      <c r="J136" s="42">
        <f t="shared" ca="1" si="23"/>
        <v>140858.26134718052</v>
      </c>
      <c r="K136" s="42">
        <f t="shared" ca="1" si="23"/>
        <v>144225.13481874164</v>
      </c>
      <c r="L136" s="42"/>
      <c r="M136" s="42"/>
    </row>
    <row r="137" spans="3:15" ht="15" customHeight="1">
      <c r="C137" t="s">
        <v>300</v>
      </c>
      <c r="E137" s="42">
        <f t="shared" ref="E137:K137" si="24">E55+E56+E57+E58+E59-E134-E135</f>
        <v>100814</v>
      </c>
      <c r="F137" s="42">
        <f t="shared" si="24"/>
        <v>116866</v>
      </c>
      <c r="G137" s="42">
        <f t="shared" ca="1" si="24"/>
        <v>112809.92564616728</v>
      </c>
      <c r="H137" s="42">
        <f t="shared" ca="1" si="24"/>
        <v>117043.7644719145</v>
      </c>
      <c r="I137" s="42">
        <f t="shared" ca="1" si="24"/>
        <v>121675.45553385213</v>
      </c>
      <c r="J137" s="42">
        <f t="shared" ca="1" si="24"/>
        <v>127176.7121364217</v>
      </c>
      <c r="K137" s="42">
        <f t="shared" ca="1" si="24"/>
        <v>133586.74147670573</v>
      </c>
      <c r="L137" s="42"/>
      <c r="M137" s="42"/>
    </row>
    <row r="139" spans="3:15" ht="15" customHeight="1">
      <c r="C139" s="16" t="s">
        <v>112</v>
      </c>
      <c r="D139" s="17"/>
      <c r="E139" s="17"/>
      <c r="F139" s="17"/>
      <c r="G139" s="17"/>
      <c r="H139" s="17"/>
      <c r="I139" s="17"/>
      <c r="J139" s="17"/>
      <c r="K139" s="17"/>
    </row>
    <row r="140" spans="3:15" ht="15" customHeight="1">
      <c r="C140" s="36" t="str">
        <f>C15</f>
        <v xml:space="preserve">Fiscal year  </v>
      </c>
      <c r="D140" s="37">
        <f>D$15</f>
        <v>2016</v>
      </c>
      <c r="E140" s="37">
        <f t="shared" ref="E140:K141" si="25">E15</f>
        <v>2017</v>
      </c>
      <c r="F140" s="37">
        <f t="shared" si="25"/>
        <v>2018</v>
      </c>
      <c r="G140" s="65">
        <f t="shared" si="25"/>
        <v>2019</v>
      </c>
      <c r="H140" s="65">
        <f t="shared" si="25"/>
        <v>2020</v>
      </c>
      <c r="I140" s="65">
        <f t="shared" si="25"/>
        <v>2021</v>
      </c>
      <c r="J140" s="65">
        <f t="shared" si="25"/>
        <v>2022</v>
      </c>
      <c r="K140" s="65">
        <f t="shared" si="25"/>
        <v>2023</v>
      </c>
      <c r="M140" s="65"/>
    </row>
    <row r="141" spans="3:15" ht="15" customHeight="1">
      <c r="C141" s="17" t="str">
        <f>C16</f>
        <v>Fiscal year end date</v>
      </c>
      <c r="D141" s="38">
        <f>D16</f>
        <v>42643</v>
      </c>
      <c r="E141" s="38">
        <f t="shared" si="25"/>
        <v>43008</v>
      </c>
      <c r="F141" s="38">
        <f t="shared" si="25"/>
        <v>43372</v>
      </c>
      <c r="G141" s="38">
        <f t="shared" si="25"/>
        <v>43738</v>
      </c>
      <c r="H141" s="38">
        <f t="shared" si="25"/>
        <v>44104</v>
      </c>
      <c r="I141" s="38">
        <f t="shared" si="25"/>
        <v>44469</v>
      </c>
      <c r="J141" s="38">
        <f t="shared" si="25"/>
        <v>44834</v>
      </c>
      <c r="K141" s="38">
        <f t="shared" si="25"/>
        <v>45199</v>
      </c>
      <c r="M141" s="161"/>
    </row>
    <row r="142" spans="3:15" ht="15" customHeight="1">
      <c r="C142" s="27"/>
      <c r="G142" s="3" t="s">
        <v>113</v>
      </c>
      <c r="H142" s="3"/>
      <c r="I142" s="3"/>
      <c r="J142" s="3"/>
      <c r="K142" s="3"/>
      <c r="M142" s="130"/>
    </row>
    <row r="143" spans="3:15" ht="15" customHeight="1">
      <c r="C143" s="30" t="s">
        <v>114</v>
      </c>
      <c r="G143" s="42">
        <f>F146</f>
        <v>41304</v>
      </c>
      <c r="H143" s="42">
        <f>G146</f>
        <v>45523.142857142855</v>
      </c>
      <c r="I143" s="42">
        <f>H146</f>
        <v>50204.428571428565</v>
      </c>
      <c r="J143" s="42">
        <f>I146</f>
        <v>54544.428571428565</v>
      </c>
      <c r="K143" s="42">
        <f ca="1">J146</f>
        <v>58601.042118258818</v>
      </c>
      <c r="M143" s="42"/>
      <c r="O143" t="s">
        <v>115</v>
      </c>
    </row>
    <row r="144" spans="3:15" ht="15" customHeight="1">
      <c r="C144" s="29" t="s">
        <v>116</v>
      </c>
      <c r="D144" s="39">
        <v>12734</v>
      </c>
      <c r="E144" s="39">
        <v>12451</v>
      </c>
      <c r="F144" s="39">
        <v>13313</v>
      </c>
      <c r="G144" s="39">
        <v>13285</v>
      </c>
      <c r="H144" s="39">
        <v>13649</v>
      </c>
      <c r="I144" s="39">
        <v>13819</v>
      </c>
      <c r="J144" s="39">
        <f ca="1">I144*(1+J37)</f>
        <v>14572.50151892101</v>
      </c>
      <c r="K144" s="39">
        <f ca="1">J144*(1+K37)</f>
        <v>15450.476714983708</v>
      </c>
      <c r="M144" s="39"/>
      <c r="O144" t="s">
        <v>117</v>
      </c>
    </row>
    <row r="145" spans="3:19" ht="15" customHeight="1">
      <c r="C145" s="67" t="s">
        <v>118</v>
      </c>
      <c r="D145" s="68">
        <v>-8300</v>
      </c>
      <c r="E145" s="68">
        <v>-8200</v>
      </c>
      <c r="F145" s="68">
        <v>-9300</v>
      </c>
      <c r="G145" s="85">
        <f>-G166</f>
        <v>-9065.8571428571431</v>
      </c>
      <c r="H145" s="85">
        <f>-H166</f>
        <v>-8967.7142857142862</v>
      </c>
      <c r="I145" s="85">
        <f>-I166</f>
        <v>-9479</v>
      </c>
      <c r="J145" s="85">
        <f ca="1">-J166</f>
        <v>-10515.887972090757</v>
      </c>
      <c r="K145" s="85">
        <f ca="1">-K166</f>
        <v>-11976.743246242946</v>
      </c>
      <c r="M145" s="42"/>
      <c r="O145" t="s">
        <v>301</v>
      </c>
    </row>
    <row r="146" spans="3:19" ht="15" customHeight="1">
      <c r="C146" s="70" t="s">
        <v>120</v>
      </c>
      <c r="D146" s="45"/>
      <c r="E146" s="45">
        <f>E51</f>
        <v>33783</v>
      </c>
      <c r="F146" s="45">
        <f>F51</f>
        <v>41304</v>
      </c>
      <c r="G146" s="45">
        <f>SUM(G143:G145)</f>
        <v>45523.142857142855</v>
      </c>
      <c r="H146" s="45">
        <f>SUM(H143:H145)</f>
        <v>50204.428571428565</v>
      </c>
      <c r="I146" s="45">
        <f>SUM(I143:I145)</f>
        <v>54544.428571428565</v>
      </c>
      <c r="J146" s="45">
        <f ca="1">SUM(J143:J145)</f>
        <v>58601.042118258818</v>
      </c>
      <c r="K146" s="45">
        <f ca="1">SUM(K143:K145)</f>
        <v>62074.775586999589</v>
      </c>
      <c r="M146" s="45"/>
      <c r="O146" t="s">
        <v>121</v>
      </c>
    </row>
    <row r="147" spans="3:19" ht="15" customHeight="1">
      <c r="C147" s="30"/>
    </row>
    <row r="148" spans="3:19" ht="15" customHeight="1">
      <c r="C148" s="30" t="s">
        <v>123</v>
      </c>
      <c r="D148" s="71">
        <f t="shared" ref="D148:K148" si="26">-(D145/D144)</f>
        <v>0.65179833516569818</v>
      </c>
      <c r="E148" s="71">
        <f t="shared" si="26"/>
        <v>0.6585816400289134</v>
      </c>
      <c r="F148" s="71">
        <f t="shared" si="26"/>
        <v>0.69856531210095396</v>
      </c>
      <c r="G148" s="63">
        <f t="shared" si="26"/>
        <v>0.68241303295876121</v>
      </c>
      <c r="H148" s="63">
        <f t="shared" si="26"/>
        <v>0.65702353913944511</v>
      </c>
      <c r="I148" s="63">
        <f t="shared" si="26"/>
        <v>0.68593964831029741</v>
      </c>
      <c r="J148" s="63">
        <f t="shared" ca="1" si="26"/>
        <v>0.72162545040306736</v>
      </c>
      <c r="K148" s="63">
        <f t="shared" ca="1" si="26"/>
        <v>0.77516981949353236</v>
      </c>
      <c r="M148" s="63"/>
      <c r="Q148" s="74"/>
      <c r="R148" s="74"/>
      <c r="S148" s="74"/>
    </row>
    <row r="149" spans="3:19" ht="15" customHeight="1">
      <c r="C149" s="30"/>
      <c r="D149" s="71"/>
      <c r="E149" s="71"/>
      <c r="F149" s="71"/>
      <c r="G149" s="63"/>
      <c r="H149" s="63"/>
      <c r="I149" s="63"/>
      <c r="J149" s="63"/>
      <c r="K149" s="63"/>
      <c r="M149" s="63"/>
      <c r="Q149" s="74"/>
      <c r="R149" s="74"/>
      <c r="S149" s="74"/>
    </row>
    <row r="150" spans="3:19" ht="15" customHeight="1">
      <c r="C150" s="174" t="s">
        <v>302</v>
      </c>
      <c r="D150" s="268"/>
      <c r="E150" s="268"/>
      <c r="F150" s="268"/>
      <c r="G150" s="269"/>
      <c r="H150" s="269"/>
      <c r="I150" s="269"/>
      <c r="J150" s="269"/>
      <c r="K150" s="269"/>
      <c r="M150" s="63"/>
      <c r="Q150" s="74"/>
      <c r="R150" s="74"/>
      <c r="S150" s="74"/>
    </row>
    <row r="151" spans="3:19" ht="15" customHeight="1">
      <c r="C151" t="s">
        <v>303</v>
      </c>
      <c r="G151" s="63"/>
      <c r="H151" s="63"/>
      <c r="I151" s="63"/>
      <c r="J151" s="63"/>
      <c r="K151" s="63"/>
      <c r="M151" s="63"/>
      <c r="Q151" s="74"/>
      <c r="R151" s="74"/>
      <c r="S151" s="74"/>
    </row>
    <row r="152" spans="3:19" ht="15" customHeight="1">
      <c r="C152" s="29" t="s">
        <v>304</v>
      </c>
      <c r="E152" s="168">
        <v>75076</v>
      </c>
      <c r="F152" s="168">
        <v>90403</v>
      </c>
      <c r="G152" s="63" t="s">
        <v>305</v>
      </c>
      <c r="H152" s="63"/>
      <c r="I152" s="63"/>
      <c r="J152" s="63"/>
      <c r="K152" s="63"/>
      <c r="M152" s="63"/>
      <c r="Q152" s="74"/>
      <c r="R152" s="74"/>
      <c r="S152" s="74"/>
    </row>
    <row r="153" spans="3:19" ht="15" customHeight="1">
      <c r="C153" s="29" t="s">
        <v>306</v>
      </c>
      <c r="E153" s="168">
        <v>13587</v>
      </c>
      <c r="F153" s="168">
        <v>16216</v>
      </c>
      <c r="G153" s="63" t="s">
        <v>305</v>
      </c>
      <c r="H153" s="63"/>
      <c r="I153" s="63"/>
      <c r="J153" s="63"/>
      <c r="K153" s="63"/>
      <c r="M153" s="63"/>
      <c r="Q153" s="74"/>
      <c r="R153" s="74"/>
      <c r="S153" s="74"/>
    </row>
    <row r="154" spans="3:19" ht="15" customHeight="1">
      <c r="C154" s="29" t="s">
        <v>307</v>
      </c>
      <c r="E154" s="190">
        <f>E152-E146</f>
        <v>41293</v>
      </c>
      <c r="F154" s="190">
        <f>F152-F146</f>
        <v>49099</v>
      </c>
      <c r="G154" s="63"/>
      <c r="H154" s="63"/>
      <c r="I154" s="63"/>
      <c r="J154" s="63"/>
      <c r="K154" s="63"/>
      <c r="M154" s="63"/>
      <c r="Q154" s="74"/>
      <c r="R154" s="74"/>
      <c r="S154" s="74"/>
    </row>
    <row r="155" spans="3:19" ht="15" customHeight="1">
      <c r="C155" s="29" t="s">
        <v>308</v>
      </c>
      <c r="E155" s="190">
        <f>E152-E153-E154</f>
        <v>20196</v>
      </c>
      <c r="F155" s="190">
        <f>F152-F153-F154</f>
        <v>25088</v>
      </c>
      <c r="G155" s="63"/>
      <c r="H155" s="63"/>
      <c r="I155" s="63"/>
      <c r="J155" s="63"/>
      <c r="K155" s="63"/>
      <c r="M155" s="63"/>
      <c r="Q155" s="74"/>
      <c r="R155" s="74"/>
      <c r="S155" s="74"/>
    </row>
    <row r="156" spans="3:19" ht="15" customHeight="1">
      <c r="C156" s="30"/>
      <c r="D156" s="71"/>
      <c r="H156" s="63"/>
      <c r="I156" s="63"/>
      <c r="J156" s="63"/>
      <c r="K156" s="63"/>
      <c r="M156" s="63"/>
      <c r="Q156" s="74"/>
      <c r="R156" s="74"/>
      <c r="S156" s="74"/>
    </row>
    <row r="157" spans="3:19" ht="15" customHeight="1">
      <c r="C157" t="s">
        <v>309</v>
      </c>
      <c r="D157" s="270">
        <f>IF(D158,D158,-ROUND((F152-F153)/F145,0))</f>
        <v>7</v>
      </c>
      <c r="H157" s="63"/>
      <c r="I157" s="63"/>
      <c r="J157" s="63"/>
      <c r="K157" s="63"/>
      <c r="M157" s="63"/>
      <c r="Q157" s="74"/>
      <c r="R157" s="74"/>
      <c r="S157" s="74"/>
    </row>
    <row r="158" spans="3:19" ht="15" customHeight="1">
      <c r="C158" t="s">
        <v>310</v>
      </c>
      <c r="D158" s="271">
        <v>7</v>
      </c>
      <c r="H158" s="63"/>
      <c r="I158" s="63"/>
      <c r="J158" s="63"/>
      <c r="K158" s="63"/>
      <c r="M158" s="63"/>
      <c r="Q158" s="74"/>
      <c r="R158" s="74"/>
      <c r="S158" s="74"/>
    </row>
    <row r="159" spans="3:19" ht="15" customHeight="1">
      <c r="D159" s="71"/>
      <c r="E159" s="71"/>
      <c r="F159" s="71"/>
      <c r="G159" s="63"/>
      <c r="H159" s="63"/>
      <c r="I159" s="63"/>
      <c r="J159" s="63"/>
      <c r="K159" s="63"/>
      <c r="M159" s="63"/>
      <c r="Q159" s="74"/>
      <c r="R159" s="74"/>
      <c r="S159" s="74"/>
    </row>
    <row r="160" spans="3:19" ht="15" customHeight="1">
      <c r="C160" t="s">
        <v>318</v>
      </c>
      <c r="D160" s="71"/>
      <c r="E160" s="272" t="s">
        <v>312</v>
      </c>
      <c r="F160" s="71"/>
      <c r="G160" s="44">
        <f>DDB($F$155,0,$D$157,G140-$F$140)</f>
        <v>7168</v>
      </c>
      <c r="H160" s="44">
        <f>DDB($F$155,0,$D$157,H140-$F$140)</f>
        <v>5120</v>
      </c>
      <c r="I160" s="44">
        <f>DDB($F$155,0,$D$157,I140-$F$140)</f>
        <v>3657.1428571428569</v>
      </c>
      <c r="J160" s="44">
        <f>DDB($F$155,0,$D$157,J140-$F$140)</f>
        <v>2612.2448979591836</v>
      </c>
      <c r="K160" s="44">
        <f>DDB($F$155,0,$D$157,K140-$F$140)</f>
        <v>1865.8892128279883</v>
      </c>
      <c r="M160" s="44"/>
      <c r="Q160" s="74"/>
      <c r="R160" s="74"/>
      <c r="S160" s="74"/>
    </row>
    <row r="161" spans="3:19" ht="15" customHeight="1">
      <c r="C161" t="str">
        <f>"Depreciation from capex purchased in "&amp;G140</f>
        <v>Depreciation from capex purchased in 2019</v>
      </c>
      <c r="D161" s="71"/>
      <c r="E161" s="273">
        <v>1</v>
      </c>
      <c r="F161" s="71"/>
      <c r="G161" s="44">
        <f>G144*E161/$D$157</f>
        <v>1897.8571428571429</v>
      </c>
      <c r="H161" s="44">
        <f>$G$144/$D$157</f>
        <v>1897.8571428571429</v>
      </c>
      <c r="I161" s="44">
        <f>$G$144/$D$157</f>
        <v>1897.8571428571429</v>
      </c>
      <c r="J161" s="44">
        <f>$G$144/$D$157</f>
        <v>1897.8571428571429</v>
      </c>
      <c r="K161" s="44">
        <f>$G$144/$D$157</f>
        <v>1897.8571428571429</v>
      </c>
      <c r="M161" s="44"/>
      <c r="Q161" s="74"/>
      <c r="R161" s="74"/>
      <c r="S161" s="74"/>
    </row>
    <row r="162" spans="3:19" ht="15" customHeight="1">
      <c r="C162" t="str">
        <f>"Depreciation from capex purchased in "&amp;H140</f>
        <v>Depreciation from capex purchased in 2020</v>
      </c>
      <c r="D162" s="71"/>
      <c r="E162" s="71"/>
      <c r="F162" s="71"/>
      <c r="H162" s="44">
        <f>H144*E161/$D$157</f>
        <v>1949.8571428571429</v>
      </c>
      <c r="I162" s="44">
        <f>$H$144/$D$157</f>
        <v>1949.8571428571429</v>
      </c>
      <c r="J162" s="44">
        <f>$H$144/$D$157</f>
        <v>1949.8571428571429</v>
      </c>
      <c r="K162" s="44">
        <f>$H$144/$D$157</f>
        <v>1949.8571428571429</v>
      </c>
      <c r="M162" s="44"/>
      <c r="Q162" s="74"/>
      <c r="R162" s="74"/>
      <c r="S162" s="74"/>
    </row>
    <row r="163" spans="3:19" ht="15" customHeight="1">
      <c r="C163" t="str">
        <f>"Depreciation from capex purchased in "&amp;I140</f>
        <v>Depreciation from capex purchased in 2021</v>
      </c>
      <c r="D163" s="71"/>
      <c r="E163" s="71"/>
      <c r="F163" s="71"/>
      <c r="I163" s="44">
        <f>I144*E161/$D$157</f>
        <v>1974.1428571428571</v>
      </c>
      <c r="J163" s="42">
        <f>$I$144/$D$157</f>
        <v>1974.1428571428571</v>
      </c>
      <c r="K163" s="42">
        <f>$I$144/$D$157</f>
        <v>1974.1428571428571</v>
      </c>
      <c r="M163" s="42"/>
      <c r="Q163" s="74"/>
      <c r="R163" s="74"/>
      <c r="S163" s="74"/>
    </row>
    <row r="164" spans="3:19" ht="15" customHeight="1">
      <c r="C164" t="str">
        <f>"Depreciation from capex purchased in "&amp;J140</f>
        <v>Depreciation from capex purchased in 2022</v>
      </c>
      <c r="D164" s="71"/>
      <c r="E164" s="71"/>
      <c r="F164" s="71"/>
      <c r="J164" s="44">
        <f ca="1">J144*E161/$D$157</f>
        <v>2081.7859312744299</v>
      </c>
      <c r="K164" s="42">
        <f ca="1">J144/$D$157</f>
        <v>2081.7859312744299</v>
      </c>
      <c r="M164" s="42"/>
      <c r="Q164" s="74"/>
      <c r="R164" s="74"/>
      <c r="S164" s="74"/>
    </row>
    <row r="165" spans="3:19" ht="15" customHeight="1">
      <c r="C165" t="str">
        <f>"Depreciation from capex purchased in "&amp;K140</f>
        <v>Depreciation from capex purchased in 2023</v>
      </c>
      <c r="D165" s="71"/>
      <c r="E165" s="71"/>
      <c r="F165" s="71"/>
      <c r="K165" s="44">
        <f ca="1">K144*E161/$D$157</f>
        <v>2207.2109592833867</v>
      </c>
      <c r="M165" s="44"/>
      <c r="Q165" s="74"/>
      <c r="R165" s="74"/>
      <c r="S165" s="74"/>
    </row>
    <row r="166" spans="3:19" ht="15" customHeight="1">
      <c r="C166" s="27" t="s">
        <v>313</v>
      </c>
      <c r="D166" s="71"/>
      <c r="E166" s="71"/>
      <c r="F166" s="71"/>
      <c r="G166" s="280">
        <f>SUM(G160:G165)</f>
        <v>9065.8571428571431</v>
      </c>
      <c r="H166" s="45">
        <f>SUM(H160:H165)</f>
        <v>8967.7142857142862</v>
      </c>
      <c r="I166" s="45">
        <f>SUM(I160:I165)</f>
        <v>9479</v>
      </c>
      <c r="J166" s="45">
        <f ca="1">SUM(J160:J165)</f>
        <v>10515.887972090757</v>
      </c>
      <c r="K166" s="45">
        <f ca="1">SUM(K160:K165)</f>
        <v>11976.743246242946</v>
      </c>
      <c r="M166" s="45"/>
      <c r="Q166" s="74"/>
      <c r="R166" s="74"/>
      <c r="S166" s="74"/>
    </row>
    <row r="167" spans="3:19" ht="15" customHeight="1">
      <c r="C167" s="30"/>
      <c r="D167" s="71"/>
      <c r="E167" s="71"/>
      <c r="F167" s="71"/>
      <c r="G167" s="63"/>
      <c r="H167" s="63"/>
      <c r="I167" s="63"/>
      <c r="J167" s="63"/>
      <c r="K167" s="63"/>
      <c r="M167" s="63"/>
      <c r="Q167" s="74"/>
      <c r="R167" s="74"/>
      <c r="S167" s="74"/>
    </row>
    <row r="168" spans="3:19" ht="15" customHeight="1">
      <c r="C168" s="75" t="s">
        <v>124</v>
      </c>
      <c r="D168" s="76"/>
      <c r="E168" s="76"/>
      <c r="F168" s="76"/>
      <c r="G168" s="77"/>
      <c r="H168" s="77"/>
      <c r="I168" s="77"/>
      <c r="J168" s="77"/>
      <c r="K168" s="77"/>
      <c r="M168" s="63"/>
      <c r="Q168" s="74"/>
      <c r="R168" s="74"/>
      <c r="S168" s="74"/>
    </row>
    <row r="169" spans="3:19" ht="15" customHeight="1">
      <c r="C169" s="30" t="s">
        <v>125</v>
      </c>
      <c r="D169" s="42">
        <f>D171+D145</f>
        <v>2205</v>
      </c>
      <c r="E169" s="42">
        <f>E171+E145</f>
        <v>1957</v>
      </c>
      <c r="F169" s="42">
        <f>F171+F145</f>
        <v>1603</v>
      </c>
      <c r="G169" s="44">
        <f ca="1">G170*G18</f>
        <v>1526.9253644274177</v>
      </c>
      <c r="H169" s="44">
        <f ca="1">H170*H18</f>
        <v>1601.6829574073306</v>
      </c>
      <c r="I169" s="44">
        <f ca="1">I170*I18</f>
        <v>1680.3314796496511</v>
      </c>
      <c r="J169" s="44">
        <f ca="1">J170*J18</f>
        <v>1771.9540516307495</v>
      </c>
      <c r="K169" s="44">
        <f ca="1">K170*K18</f>
        <v>1878.7120920313373</v>
      </c>
      <c r="M169" s="44"/>
      <c r="O169" t="s">
        <v>126</v>
      </c>
      <c r="Q169" s="74"/>
      <c r="R169" s="74"/>
      <c r="S169" s="74"/>
    </row>
    <row r="170" spans="3:19" ht="15" customHeight="1">
      <c r="C170" s="29" t="s">
        <v>127</v>
      </c>
      <c r="D170" s="51">
        <f>D169/D18</f>
        <v>1.0225423044996499E-2</v>
      </c>
      <c r="E170" s="51">
        <f>E169/E18</f>
        <v>8.537128000209393E-3</v>
      </c>
      <c r="F170" s="51">
        <f>F169/F18</f>
        <v>6.0355051864681188E-3</v>
      </c>
      <c r="G170" s="63">
        <f>F170</f>
        <v>6.0355051864681188E-3</v>
      </c>
      <c r="H170" s="63">
        <f>G170</f>
        <v>6.0355051864681188E-3</v>
      </c>
      <c r="I170" s="63">
        <f>H170</f>
        <v>6.0355051864681188E-3</v>
      </c>
      <c r="J170" s="63">
        <f>I170</f>
        <v>6.0355051864681188E-3</v>
      </c>
      <c r="K170" s="63">
        <f>J170</f>
        <v>6.0355051864681188E-3</v>
      </c>
      <c r="M170" s="63"/>
      <c r="O170" t="s">
        <v>128</v>
      </c>
    </row>
    <row r="171" spans="3:19" ht="15" customHeight="1">
      <c r="C171" s="31" t="s">
        <v>129</v>
      </c>
      <c r="D171" s="45">
        <f>D31</f>
        <v>10505</v>
      </c>
      <c r="E171" s="45">
        <f>E31</f>
        <v>10157</v>
      </c>
      <c r="F171" s="45">
        <f>F31</f>
        <v>10903</v>
      </c>
      <c r="G171" s="41">
        <f ca="1">-G145+G169</f>
        <v>10592.782507284561</v>
      </c>
      <c r="H171" s="41">
        <f ca="1">-H145+H169</f>
        <v>10569.397243121617</v>
      </c>
      <c r="I171" s="41">
        <f ca="1">-I145+I169</f>
        <v>11159.331479649651</v>
      </c>
      <c r="J171" s="41">
        <f ca="1">-J145+J169</f>
        <v>12287.842023721507</v>
      </c>
      <c r="K171" s="41">
        <f ca="1">-K145+K169</f>
        <v>13855.455338274283</v>
      </c>
      <c r="M171" s="41"/>
      <c r="O171" t="s">
        <v>130</v>
      </c>
    </row>
    <row r="172" spans="3:19" ht="15" customHeight="1">
      <c r="C172" s="30"/>
      <c r="D172" s="42"/>
      <c r="E172" s="42"/>
      <c r="F172" s="42"/>
      <c r="H172" s="42"/>
      <c r="I172" s="42"/>
      <c r="J172" s="42"/>
      <c r="K172" s="42"/>
      <c r="M172" s="42"/>
    </row>
    <row r="173" spans="3:19" ht="15" customHeight="1">
      <c r="C173" s="78" t="s">
        <v>131</v>
      </c>
      <c r="D173" s="17"/>
      <c r="E173" s="17"/>
      <c r="F173" s="17"/>
      <c r="H173" s="42"/>
      <c r="I173" s="42"/>
      <c r="J173" s="42"/>
      <c r="K173" s="42"/>
      <c r="M173" s="42"/>
    </row>
    <row r="174" spans="3:19" ht="15" customHeight="1">
      <c r="C174" s="30" t="s">
        <v>114</v>
      </c>
      <c r="D174" s="42"/>
      <c r="G174" s="123">
        <f>F177</f>
        <v>22283</v>
      </c>
      <c r="H174" s="123">
        <f ca="1">G177</f>
        <v>21225.500870577758</v>
      </c>
      <c r="I174" s="123">
        <f ca="1">H177</f>
        <v>22264.692039867467</v>
      </c>
      <c r="J174" s="123">
        <f ca="1">I177</f>
        <v>23357.970281368172</v>
      </c>
      <c r="K174" s="123">
        <f ca="1">J177</f>
        <v>24631.59833592514</v>
      </c>
      <c r="M174" s="44"/>
      <c r="O174" t="s">
        <v>115</v>
      </c>
    </row>
    <row r="175" spans="3:19" ht="15" customHeight="1">
      <c r="C175" s="29" t="s">
        <v>132</v>
      </c>
      <c r="G175" s="42">
        <f ca="1">-(G169)</f>
        <v>-1526.9253644274177</v>
      </c>
      <c r="H175" s="42">
        <f ca="1">-(H169)</f>
        <v>-1601.6829574073306</v>
      </c>
      <c r="I175" s="42">
        <f ca="1">-(I169)</f>
        <v>-1680.3314796496511</v>
      </c>
      <c r="J175" s="42">
        <f ca="1">-(J169)</f>
        <v>-1771.9540516307495</v>
      </c>
      <c r="K175" s="42">
        <f ca="1">-(K169)</f>
        <v>-1878.7120920313373</v>
      </c>
      <c r="M175" s="42"/>
      <c r="O175" t="s">
        <v>133</v>
      </c>
    </row>
    <row r="176" spans="3:19" ht="15" customHeight="1">
      <c r="C176" s="67" t="s">
        <v>134</v>
      </c>
      <c r="D176" s="80"/>
      <c r="E176" s="80"/>
      <c r="F176" s="80"/>
      <c r="G176" s="124">
        <f ca="1">G177-G175-G174</f>
        <v>469.42623500517584</v>
      </c>
      <c r="H176" s="124">
        <f ca="1">H177-H175-H174</f>
        <v>2640.8741266970392</v>
      </c>
      <c r="I176" s="124">
        <f ca="1">I177-I175-I174</f>
        <v>2773.6097211503584</v>
      </c>
      <c r="J176" s="124">
        <f ca="1">J177-J175-J174</f>
        <v>3045.5821061877177</v>
      </c>
      <c r="K176" s="124">
        <f ca="1">K177-K175-K174</f>
        <v>3362.7354321725143</v>
      </c>
      <c r="M176" s="44"/>
      <c r="O176" t="s">
        <v>135</v>
      </c>
    </row>
    <row r="177" spans="3:19" ht="15" customHeight="1">
      <c r="C177" s="70" t="s">
        <v>120</v>
      </c>
      <c r="E177" s="45">
        <f t="shared" ref="E177:K177" si="27">E52</f>
        <v>18177</v>
      </c>
      <c r="F177" s="45">
        <f t="shared" si="27"/>
        <v>22283</v>
      </c>
      <c r="G177" s="45">
        <f t="shared" ca="1" si="27"/>
        <v>21225.500870577758</v>
      </c>
      <c r="H177" s="45">
        <f t="shared" ca="1" si="27"/>
        <v>22264.692039867467</v>
      </c>
      <c r="I177" s="45">
        <f t="shared" ca="1" si="27"/>
        <v>23357.970281368172</v>
      </c>
      <c r="J177" s="45">
        <f t="shared" ca="1" si="27"/>
        <v>24631.59833592514</v>
      </c>
      <c r="K177" s="45">
        <f t="shared" ca="1" si="27"/>
        <v>26115.621676066316</v>
      </c>
      <c r="M177" s="45"/>
      <c r="O177" t="s">
        <v>136</v>
      </c>
    </row>
    <row r="178" spans="3:19" ht="15" customHeight="1">
      <c r="C178" s="29"/>
      <c r="E178" s="42"/>
      <c r="F178" s="42"/>
      <c r="H178" s="42"/>
      <c r="I178" s="42"/>
      <c r="J178" s="42"/>
      <c r="K178" s="42"/>
      <c r="M178" s="42"/>
    </row>
    <row r="179" spans="3:19" ht="15" customHeight="1">
      <c r="C179" s="82" t="s">
        <v>137</v>
      </c>
      <c r="D179" s="78"/>
      <c r="E179" s="78"/>
      <c r="F179" s="78"/>
      <c r="G179" s="17"/>
      <c r="H179" s="17"/>
      <c r="I179" s="17"/>
      <c r="J179" s="17"/>
      <c r="K179" s="17"/>
    </row>
    <row r="180" spans="3:19" ht="15" customHeight="1">
      <c r="C180" s="30" t="s">
        <v>114</v>
      </c>
      <c r="G180" s="42">
        <f>F184</f>
        <v>70400</v>
      </c>
      <c r="H180" s="42">
        <f ca="1">G184</f>
        <v>37510.813510234366</v>
      </c>
      <c r="I180" s="42">
        <f ca="1">H184</f>
        <v>7084.5774505412555</v>
      </c>
      <c r="J180" s="42">
        <f ca="1">I184</f>
        <v>-21430.149819487589</v>
      </c>
      <c r="K180" s="42">
        <f ca="1">J184</f>
        <v>-47843.851706804038</v>
      </c>
      <c r="M180" s="42"/>
      <c r="O180" t="s">
        <v>115</v>
      </c>
    </row>
    <row r="181" spans="3:19" ht="15" customHeight="1">
      <c r="C181" s="29" t="s">
        <v>138</v>
      </c>
      <c r="D181" s="44">
        <f t="shared" ref="D181:K181" si="28">D29</f>
        <v>45687</v>
      </c>
      <c r="E181" s="44">
        <f t="shared" si="28"/>
        <v>48351</v>
      </c>
      <c r="F181" s="44">
        <f t="shared" si="28"/>
        <v>59531</v>
      </c>
      <c r="G181" s="42">
        <f t="shared" ca="1" si="28"/>
        <v>52213.524654506109</v>
      </c>
      <c r="H181" s="42">
        <f t="shared" ca="1" si="28"/>
        <v>55415.155846152702</v>
      </c>
      <c r="I181" s="42">
        <f t="shared" ca="1" si="28"/>
        <v>57899.958662064659</v>
      </c>
      <c r="J181" s="42">
        <f t="shared" ca="1" si="28"/>
        <v>60631.117323481623</v>
      </c>
      <c r="K181" s="42">
        <f t="shared" ca="1" si="28"/>
        <v>63901.764252650741</v>
      </c>
      <c r="M181" s="42"/>
      <c r="O181" t="s">
        <v>139</v>
      </c>
    </row>
    <row r="182" spans="3:19" ht="15" customHeight="1">
      <c r="C182" s="29" t="s">
        <v>140</v>
      </c>
      <c r="D182" s="39">
        <v>-12188</v>
      </c>
      <c r="E182" s="39">
        <v>-12803</v>
      </c>
      <c r="F182" s="39">
        <v>-13735</v>
      </c>
      <c r="G182" s="61">
        <f ca="1">-(G186*G181)</f>
        <v>-12046.711144271749</v>
      </c>
      <c r="H182" s="61">
        <f ca="1">-(H186*H181)</f>
        <v>-12785.391905845818</v>
      </c>
      <c r="I182" s="61">
        <f ca="1">-(I186*I181)</f>
        <v>-13358.6859320935</v>
      </c>
      <c r="J182" s="61">
        <f ca="1">-(J186*J181)</f>
        <v>-13988.819210798074</v>
      </c>
      <c r="K182" s="61">
        <f ca="1">-(K186*K181)</f>
        <v>-14743.423292236952</v>
      </c>
      <c r="M182" s="42"/>
      <c r="O182" t="s">
        <v>314</v>
      </c>
    </row>
    <row r="183" spans="3:19" ht="15" customHeight="1">
      <c r="C183" s="67" t="s">
        <v>142</v>
      </c>
      <c r="D183" s="68">
        <v>-29000</v>
      </c>
      <c r="E183" s="68">
        <v>-33001</v>
      </c>
      <c r="F183" s="68">
        <v>-73056</v>
      </c>
      <c r="G183" s="85">
        <f>F183</f>
        <v>-73056</v>
      </c>
      <c r="H183" s="85">
        <f>G183</f>
        <v>-73056</v>
      </c>
      <c r="I183" s="85">
        <f>H183</f>
        <v>-73056</v>
      </c>
      <c r="J183" s="85">
        <f>I183</f>
        <v>-73056</v>
      </c>
      <c r="K183" s="85">
        <f>J183</f>
        <v>-73056</v>
      </c>
      <c r="M183" s="42"/>
      <c r="O183" t="s">
        <v>143</v>
      </c>
    </row>
    <row r="184" spans="3:19" ht="15" customHeight="1">
      <c r="C184" s="70" t="s">
        <v>120</v>
      </c>
      <c r="D184" s="41">
        <f>D64</f>
        <v>0</v>
      </c>
      <c r="E184" s="41">
        <f>E64</f>
        <v>98330</v>
      </c>
      <c r="F184" s="41">
        <f>F64</f>
        <v>70400</v>
      </c>
      <c r="G184" s="45">
        <f ca="1">SUM(G180:G183)</f>
        <v>37510.813510234366</v>
      </c>
      <c r="H184" s="45">
        <f ca="1">SUM(H180:H183)</f>
        <v>7084.5774505412555</v>
      </c>
      <c r="I184" s="45">
        <f ca="1">SUM(I180:I183)</f>
        <v>-21430.149819487589</v>
      </c>
      <c r="J184" s="45">
        <f ca="1">SUM(J180:J183)</f>
        <v>-47843.851706804038</v>
      </c>
      <c r="K184" s="45">
        <f ca="1">SUM(K180:K183)</f>
        <v>-71741.510746390253</v>
      </c>
      <c r="M184" s="45"/>
      <c r="O184" t="s">
        <v>144</v>
      </c>
    </row>
    <row r="185" spans="3:19" ht="15" customHeight="1">
      <c r="E185" s="40"/>
      <c r="F185" s="40"/>
    </row>
    <row r="186" spans="3:19" ht="15" customHeight="1">
      <c r="C186" s="29" t="s">
        <v>177</v>
      </c>
      <c r="D186" s="51">
        <f>-(D182/D181)</f>
        <v>0.26677172937597127</v>
      </c>
      <c r="E186" s="51">
        <f>-(E182/E181)</f>
        <v>0.2647928688134682</v>
      </c>
      <c r="F186" s="51">
        <f>-(F182/F181)</f>
        <v>0.23072012900841579</v>
      </c>
      <c r="G186" s="156">
        <f>F186</f>
        <v>0.23072012900841579</v>
      </c>
      <c r="H186" s="156">
        <f>G186</f>
        <v>0.23072012900841579</v>
      </c>
      <c r="I186" s="156">
        <f>H186</f>
        <v>0.23072012900841579</v>
      </c>
      <c r="J186" s="156">
        <f>I186</f>
        <v>0.23072012900841579</v>
      </c>
      <c r="K186" s="156">
        <f>J186</f>
        <v>0.23072012900841579</v>
      </c>
      <c r="M186" s="51"/>
      <c r="O186" t="s">
        <v>319</v>
      </c>
    </row>
    <row r="187" spans="3:19" ht="15" customHeight="1">
      <c r="E187" s="40"/>
      <c r="F187" s="40"/>
    </row>
    <row r="188" spans="3:19" ht="15" customHeight="1">
      <c r="C188" s="16" t="s">
        <v>145</v>
      </c>
      <c r="D188" s="17"/>
      <c r="E188" s="17"/>
      <c r="F188" s="17"/>
      <c r="G188" s="17"/>
      <c r="H188" s="17"/>
      <c r="I188" s="17"/>
      <c r="J188" s="17"/>
      <c r="K188" s="17"/>
      <c r="Q188" s="74"/>
      <c r="R188" s="74"/>
    </row>
    <row r="189" spans="3:19" ht="15" customHeight="1">
      <c r="C189" s="36" t="str">
        <f t="shared" ref="C189:K189" si="29">C15</f>
        <v xml:space="preserve">Fiscal year  </v>
      </c>
      <c r="D189" s="37">
        <f t="shared" si="29"/>
        <v>2016</v>
      </c>
      <c r="E189" s="37">
        <f t="shared" si="29"/>
        <v>2017</v>
      </c>
      <c r="F189" s="37">
        <f t="shared" si="29"/>
        <v>2018</v>
      </c>
      <c r="G189" s="65">
        <f t="shared" si="29"/>
        <v>2019</v>
      </c>
      <c r="H189" s="65">
        <f t="shared" si="29"/>
        <v>2020</v>
      </c>
      <c r="I189" s="65">
        <f t="shared" si="29"/>
        <v>2021</v>
      </c>
      <c r="J189" s="65">
        <f t="shared" si="29"/>
        <v>2022</v>
      </c>
      <c r="K189" s="65">
        <f t="shared" si="29"/>
        <v>2023</v>
      </c>
      <c r="M189" s="65"/>
      <c r="Q189" s="74"/>
      <c r="R189" s="74"/>
    </row>
    <row r="190" spans="3:19" ht="15" customHeight="1">
      <c r="C190" s="17" t="str">
        <f t="shared" ref="C190:K190" si="30">C16</f>
        <v>Fiscal year end date</v>
      </c>
      <c r="D190" s="38">
        <f t="shared" si="30"/>
        <v>42643</v>
      </c>
      <c r="E190" s="38">
        <f t="shared" si="30"/>
        <v>43008</v>
      </c>
      <c r="F190" s="38">
        <f t="shared" si="30"/>
        <v>43372</v>
      </c>
      <c r="G190" s="38">
        <f t="shared" si="30"/>
        <v>43738</v>
      </c>
      <c r="H190" s="38">
        <f t="shared" si="30"/>
        <v>44104</v>
      </c>
      <c r="I190" s="38">
        <f t="shared" si="30"/>
        <v>44469</v>
      </c>
      <c r="J190" s="38">
        <f t="shared" si="30"/>
        <v>44834</v>
      </c>
      <c r="K190" s="38">
        <f t="shared" si="30"/>
        <v>45199</v>
      </c>
      <c r="M190" s="161"/>
      <c r="Q190" s="74"/>
      <c r="R190" s="74"/>
    </row>
    <row r="191" spans="3:19" ht="15" customHeight="1">
      <c r="C191" s="27"/>
      <c r="Q191" s="74"/>
      <c r="R191" s="74"/>
    </row>
    <row r="192" spans="3:19" ht="15" customHeight="1">
      <c r="C192" s="32" t="s">
        <v>146</v>
      </c>
      <c r="Q192" s="74"/>
      <c r="R192" s="74"/>
      <c r="S192" s="74"/>
    </row>
    <row r="193" spans="3:21" ht="15" customHeight="1">
      <c r="C193" s="29" t="s">
        <v>147</v>
      </c>
      <c r="G193" s="42">
        <f>F46</f>
        <v>237100</v>
      </c>
      <c r="H193" s="42">
        <f ca="1">G46</f>
        <v>201433.70401680938</v>
      </c>
      <c r="I193" s="42">
        <f ca="1">H46</f>
        <v>173038.87796642023</v>
      </c>
      <c r="J193" s="42">
        <f ca="1">I46</f>
        <v>149494.60025611497</v>
      </c>
      <c r="K193" s="42">
        <f ca="1">J46</f>
        <v>126981.29843531705</v>
      </c>
      <c r="M193" s="42"/>
      <c r="O193" t="s">
        <v>148</v>
      </c>
      <c r="Q193" s="74"/>
      <c r="R193" s="74"/>
    </row>
    <row r="194" spans="3:21" ht="15" customHeight="1">
      <c r="C194" s="29" t="s">
        <v>149</v>
      </c>
      <c r="G194" s="39">
        <v>-50000</v>
      </c>
      <c r="H194" s="39">
        <v>-50000</v>
      </c>
      <c r="I194" s="39">
        <v>-50000</v>
      </c>
      <c r="J194" s="39">
        <v>-50000</v>
      </c>
      <c r="K194" s="39">
        <v>-50000</v>
      </c>
      <c r="M194" s="39"/>
      <c r="O194" t="s">
        <v>150</v>
      </c>
      <c r="Q194" s="74"/>
      <c r="R194" s="74"/>
    </row>
    <row r="195" spans="3:21" ht="15" customHeight="1">
      <c r="C195" s="67" t="s">
        <v>151</v>
      </c>
      <c r="D195" s="80"/>
      <c r="E195" s="80"/>
      <c r="F195" s="80"/>
      <c r="G195" s="85">
        <f ca="1">SUM(G81,G84,G86,G88,G89)</f>
        <v>-35702.295983190634</v>
      </c>
      <c r="H195" s="85">
        <f ca="1">SUM(H81,H84,H86,H88,H89)</f>
        <v>-28394.826050389158</v>
      </c>
      <c r="I195" s="85">
        <f ca="1">SUM(I81,I84,I86,I88,I89)</f>
        <v>-23544.277710305261</v>
      </c>
      <c r="J195" s="85">
        <f ca="1">SUM(J81,J84,J86,J88,J89)</f>
        <v>-22513.301820797918</v>
      </c>
      <c r="K195" s="85">
        <f ca="1">SUM(K81,K84,K86,K88,K89)</f>
        <v>-16358.5774621243</v>
      </c>
      <c r="M195" s="42"/>
      <c r="O195" t="s">
        <v>152</v>
      </c>
    </row>
    <row r="196" spans="3:21" ht="15" customHeight="1">
      <c r="C196" s="70" t="s">
        <v>153</v>
      </c>
      <c r="G196" s="45">
        <f ca="1">SUM(G193:G195)</f>
        <v>151397.70401680935</v>
      </c>
      <c r="H196" s="45">
        <f ca="1">SUM(H193:H195)</f>
        <v>123038.87796642023</v>
      </c>
      <c r="I196" s="45">
        <f ca="1">SUM(I193:I195)</f>
        <v>99494.600256114965</v>
      </c>
      <c r="J196" s="45">
        <f ca="1">SUM(J193:J195)</f>
        <v>76981.298435317047</v>
      </c>
      <c r="K196" s="45">
        <f ca="1">SUM(K193:K195)</f>
        <v>60622.720973192743</v>
      </c>
      <c r="M196" s="45"/>
    </row>
    <row r="198" spans="3:21" ht="15" customHeight="1">
      <c r="C198" s="27" t="s">
        <v>154</v>
      </c>
    </row>
    <row r="199" spans="3:21" ht="15" customHeight="1">
      <c r="C199" s="29" t="s">
        <v>114</v>
      </c>
      <c r="G199" s="42">
        <f>F202</f>
        <v>11964</v>
      </c>
      <c r="H199" s="42">
        <f ca="1">G202</f>
        <v>12000</v>
      </c>
      <c r="I199" s="42">
        <f ca="1">H202</f>
        <v>12000</v>
      </c>
      <c r="J199" s="42">
        <f ca="1">I202</f>
        <v>12000</v>
      </c>
      <c r="K199" s="42">
        <f ca="1">J202</f>
        <v>12000</v>
      </c>
      <c r="M199" s="42"/>
      <c r="O199" t="s">
        <v>115</v>
      </c>
    </row>
    <row r="200" spans="3:21" ht="15" customHeight="1">
      <c r="C200" s="29" t="s">
        <v>155</v>
      </c>
      <c r="G200" s="42">
        <f ca="1">-MIN(G196,G199)</f>
        <v>-11964</v>
      </c>
      <c r="H200" s="42">
        <f ca="1">-MIN(H196,H199)</f>
        <v>-12000</v>
      </c>
      <c r="I200" s="42">
        <f ca="1">-MIN(I196,I199)</f>
        <v>-12000</v>
      </c>
      <c r="J200" s="42">
        <f ca="1">-MIN(J196,J199)</f>
        <v>-12000</v>
      </c>
      <c r="K200" s="42">
        <f ca="1">-MIN(K196,K199)</f>
        <v>-12000</v>
      </c>
      <c r="M200" s="42"/>
      <c r="O200" t="s">
        <v>156</v>
      </c>
    </row>
    <row r="201" spans="3:21" ht="15" customHeight="1">
      <c r="C201" s="67" t="s">
        <v>157</v>
      </c>
      <c r="D201" s="80"/>
      <c r="E201" s="80"/>
      <c r="F201" s="80"/>
      <c r="G201" s="68">
        <v>12000</v>
      </c>
      <c r="H201" s="68">
        <v>12000</v>
      </c>
      <c r="I201" s="68">
        <v>12000</v>
      </c>
      <c r="J201" s="68">
        <v>12000</v>
      </c>
      <c r="K201" s="68">
        <v>12000</v>
      </c>
      <c r="M201" s="39"/>
      <c r="O201" t="s">
        <v>150</v>
      </c>
    </row>
    <row r="202" spans="3:21" ht="15" customHeight="1">
      <c r="C202" s="29" t="s">
        <v>120</v>
      </c>
      <c r="D202" s="85">
        <f>D58</f>
        <v>0</v>
      </c>
      <c r="E202" s="85">
        <f>E58</f>
        <v>11977</v>
      </c>
      <c r="F202" s="85">
        <f>F58</f>
        <v>11964</v>
      </c>
      <c r="G202" s="86">
        <f ca="1">SUM(G199:G201)</f>
        <v>12000</v>
      </c>
      <c r="H202" s="86">
        <f ca="1">SUM(H199:H201)</f>
        <v>12000</v>
      </c>
      <c r="I202" s="86">
        <f ca="1">SUM(I199:I201)</f>
        <v>12000</v>
      </c>
      <c r="J202" s="86">
        <f ca="1">SUM(J199:J201)</f>
        <v>12000</v>
      </c>
      <c r="K202" s="86">
        <f ca="1">SUM(K199:K201)</f>
        <v>12000</v>
      </c>
      <c r="M202" s="45"/>
    </row>
    <row r="203" spans="3:21" ht="15" customHeight="1">
      <c r="C203" s="87" t="s">
        <v>158</v>
      </c>
      <c r="D203" s="88"/>
      <c r="E203" s="88"/>
      <c r="F203" s="89"/>
      <c r="G203" s="90" t="str">
        <f ca="1">IF(G202&lt;0,"Negative Debt","OK")</f>
        <v>OK</v>
      </c>
      <c r="H203" s="90" t="str">
        <f ca="1">IF(H202&lt;0,"Negative Debt","OK")</f>
        <v>OK</v>
      </c>
      <c r="I203" s="90" t="str">
        <f ca="1">IF(I202&lt;0,"Negative Debt","OK")</f>
        <v>OK</v>
      </c>
      <c r="J203" s="90" t="str">
        <f ca="1">IF(J202&lt;0,"Negative Debt","OK")</f>
        <v>OK</v>
      </c>
      <c r="K203" s="91" t="str">
        <f ca="1">IF(K202&lt;0,"Negative Debt","OK")</f>
        <v>OK</v>
      </c>
      <c r="M203" s="93"/>
      <c r="U203" s="40"/>
    </row>
    <row r="204" spans="3:21" ht="15" customHeight="1">
      <c r="D204" s="42"/>
      <c r="E204" s="42"/>
      <c r="F204" s="92"/>
      <c r="G204" s="93"/>
      <c r="H204" s="93"/>
      <c r="I204" s="93"/>
      <c r="J204" s="93"/>
      <c r="K204" s="93"/>
      <c r="M204" s="93"/>
      <c r="U204" s="40"/>
    </row>
    <row r="205" spans="3:21" ht="15" customHeight="1">
      <c r="C205" s="16" t="s">
        <v>159</v>
      </c>
      <c r="D205" s="76"/>
      <c r="E205" s="76"/>
      <c r="F205" s="76"/>
      <c r="G205" s="94"/>
      <c r="H205" s="94"/>
      <c r="I205" s="94"/>
      <c r="J205" s="94"/>
      <c r="K205" s="94"/>
      <c r="M205" s="116"/>
      <c r="T205" s="95"/>
    </row>
    <row r="206" spans="3:21" ht="15" customHeight="1">
      <c r="C206" s="36" t="str">
        <f t="shared" ref="C206:K206" si="31">C15</f>
        <v xml:space="preserve">Fiscal year  </v>
      </c>
      <c r="D206" s="37">
        <f t="shared" si="31"/>
        <v>2016</v>
      </c>
      <c r="E206" s="37">
        <f t="shared" si="31"/>
        <v>2017</v>
      </c>
      <c r="F206" s="37">
        <f t="shared" si="31"/>
        <v>2018</v>
      </c>
      <c r="G206" s="65">
        <f t="shared" si="31"/>
        <v>2019</v>
      </c>
      <c r="H206" s="65">
        <f t="shared" si="31"/>
        <v>2020</v>
      </c>
      <c r="I206" s="65">
        <f t="shared" si="31"/>
        <v>2021</v>
      </c>
      <c r="J206" s="65">
        <f t="shared" si="31"/>
        <v>2022</v>
      </c>
      <c r="K206" s="65">
        <f t="shared" si="31"/>
        <v>2023</v>
      </c>
      <c r="M206" s="65"/>
      <c r="T206" s="95"/>
      <c r="U206" s="40"/>
    </row>
    <row r="207" spans="3:21" ht="15" customHeight="1">
      <c r="C207" s="17" t="str">
        <f t="shared" ref="C207:K207" si="32">C16</f>
        <v>Fiscal year end date</v>
      </c>
      <c r="D207" s="38">
        <f t="shared" si="32"/>
        <v>42643</v>
      </c>
      <c r="E207" s="38">
        <f t="shared" si="32"/>
        <v>43008</v>
      </c>
      <c r="F207" s="38">
        <f t="shared" si="32"/>
        <v>43372</v>
      </c>
      <c r="G207" s="38">
        <f t="shared" si="32"/>
        <v>43738</v>
      </c>
      <c r="H207" s="38">
        <f t="shared" si="32"/>
        <v>44104</v>
      </c>
      <c r="I207" s="38">
        <f t="shared" si="32"/>
        <v>44469</v>
      </c>
      <c r="J207" s="38">
        <f t="shared" si="32"/>
        <v>44834</v>
      </c>
      <c r="K207" s="38">
        <f t="shared" si="32"/>
        <v>45199</v>
      </c>
      <c r="M207" s="161"/>
      <c r="T207" s="95"/>
    </row>
    <row r="208" spans="3:21" ht="15" customHeight="1">
      <c r="C208" s="29"/>
      <c r="D208" s="42"/>
      <c r="E208" s="42"/>
      <c r="F208" s="42"/>
      <c r="G208" s="96"/>
      <c r="H208" s="96"/>
      <c r="I208" s="96"/>
      <c r="J208" s="96"/>
      <c r="K208" s="96"/>
      <c r="M208" s="42"/>
      <c r="T208" s="95"/>
    </row>
    <row r="209" spans="3:20" ht="15" customHeight="1">
      <c r="C209" s="30" t="s">
        <v>160</v>
      </c>
      <c r="D209" s="42">
        <f>-(D25)</f>
        <v>1456</v>
      </c>
      <c r="E209" s="42">
        <f>-(E25)</f>
        <v>2323</v>
      </c>
      <c r="F209" s="42">
        <f>-(F25)</f>
        <v>3240</v>
      </c>
      <c r="G209" s="42">
        <f>G214+G219</f>
        <v>3222.7544651501776</v>
      </c>
      <c r="H209" s="42">
        <f ca="1">H214+H219</f>
        <v>3223.5392651501775</v>
      </c>
      <c r="I209" s="42">
        <f ca="1">I214+I219</f>
        <v>3223.5392651501775</v>
      </c>
      <c r="J209" s="42">
        <f ca="1">J214+J219</f>
        <v>3223.5392651501775</v>
      </c>
      <c r="K209" s="42">
        <f ca="1">K214+K219</f>
        <v>3223.5392651501775</v>
      </c>
      <c r="M209" s="42"/>
      <c r="O209" t="s">
        <v>161</v>
      </c>
      <c r="T209" s="40"/>
    </row>
    <row r="210" spans="3:20" ht="15" customHeight="1">
      <c r="C210" s="97"/>
      <c r="T210" s="40"/>
    </row>
    <row r="211" spans="3:20" ht="15" customHeight="1">
      <c r="C211" s="98" t="s">
        <v>162</v>
      </c>
      <c r="T211" s="40"/>
    </row>
    <row r="212" spans="3:20" ht="15" customHeight="1">
      <c r="C212" s="29" t="s">
        <v>163</v>
      </c>
      <c r="E212" s="99">
        <v>1.2E-2</v>
      </c>
      <c r="F212" s="99">
        <v>2.18E-2</v>
      </c>
      <c r="G212" s="125">
        <f>F212</f>
        <v>2.18E-2</v>
      </c>
      <c r="H212" s="125">
        <f>G212</f>
        <v>2.18E-2</v>
      </c>
      <c r="I212" s="125">
        <f>H212</f>
        <v>2.18E-2</v>
      </c>
      <c r="J212" s="125">
        <f>I212</f>
        <v>2.18E-2</v>
      </c>
      <c r="K212" s="125">
        <f>J212</f>
        <v>2.18E-2</v>
      </c>
      <c r="M212" s="125"/>
      <c r="O212" t="s">
        <v>164</v>
      </c>
    </row>
    <row r="213" spans="3:20" ht="15" customHeight="1">
      <c r="C213" s="29" t="s">
        <v>165</v>
      </c>
      <c r="D213" s="85"/>
      <c r="E213" s="85">
        <f t="shared" ref="E213:K213" si="33">E58</f>
        <v>11977</v>
      </c>
      <c r="F213" s="85">
        <f t="shared" si="33"/>
        <v>11964</v>
      </c>
      <c r="G213" s="42">
        <f t="shared" ca="1" si="33"/>
        <v>12000</v>
      </c>
      <c r="H213" s="42">
        <f t="shared" ca="1" si="33"/>
        <v>12000</v>
      </c>
      <c r="I213" s="42">
        <f t="shared" ca="1" si="33"/>
        <v>12000</v>
      </c>
      <c r="J213" s="42">
        <f t="shared" ca="1" si="33"/>
        <v>12000</v>
      </c>
      <c r="K213" s="42">
        <f t="shared" ca="1" si="33"/>
        <v>12000</v>
      </c>
      <c r="M213" s="42"/>
      <c r="O213" t="s">
        <v>166</v>
      </c>
    </row>
    <row r="214" spans="3:20" ht="15" customHeight="1">
      <c r="C214" s="101" t="s">
        <v>167</v>
      </c>
      <c r="D214" s="42"/>
      <c r="E214" s="45">
        <f>AVERAGE(D213:E213)*E212</f>
        <v>143.72399999999999</v>
      </c>
      <c r="F214" s="45">
        <f>AVERAGE(E213:F213)*F212</f>
        <v>260.95690000000002</v>
      </c>
      <c r="G214" s="119">
        <f>F213*G212</f>
        <v>260.8152</v>
      </c>
      <c r="H214" s="119">
        <f ca="1">G213*H212</f>
        <v>261.60000000000002</v>
      </c>
      <c r="I214" s="119">
        <f ca="1">H213*I212</f>
        <v>261.60000000000002</v>
      </c>
      <c r="J214" s="119">
        <f ca="1">I213*J212</f>
        <v>261.60000000000002</v>
      </c>
      <c r="K214" s="119">
        <f ca="1">J213*K212</f>
        <v>261.60000000000002</v>
      </c>
      <c r="M214" s="41"/>
      <c r="O214" t="s">
        <v>168</v>
      </c>
    </row>
    <row r="215" spans="3:20" ht="15" customHeight="1">
      <c r="C215" s="103"/>
      <c r="D215" s="42"/>
      <c r="E215" s="42"/>
      <c r="F215" s="42"/>
    </row>
    <row r="216" spans="3:20" ht="15" customHeight="1">
      <c r="C216" s="98" t="s">
        <v>105</v>
      </c>
      <c r="D216" s="42"/>
      <c r="E216" s="42"/>
      <c r="F216" s="42"/>
    </row>
    <row r="217" spans="3:20" ht="15" customHeight="1">
      <c r="C217" s="29" t="s">
        <v>165</v>
      </c>
      <c r="D217" s="42"/>
      <c r="E217" s="42">
        <f t="shared" ref="E217:K217" si="34">E59</f>
        <v>103703</v>
      </c>
      <c r="F217" s="42">
        <f t="shared" si="34"/>
        <v>102519</v>
      </c>
      <c r="G217" s="42">
        <f t="shared" si="34"/>
        <v>102519</v>
      </c>
      <c r="H217" s="42">
        <f t="shared" si="34"/>
        <v>102519</v>
      </c>
      <c r="I217" s="42">
        <f t="shared" si="34"/>
        <v>102519</v>
      </c>
      <c r="J217" s="42">
        <f t="shared" si="34"/>
        <v>102519</v>
      </c>
      <c r="K217" s="42">
        <f t="shared" si="34"/>
        <v>102519</v>
      </c>
      <c r="M217" s="42"/>
      <c r="O217" t="s">
        <v>107</v>
      </c>
    </row>
    <row r="218" spans="3:20" ht="15" customHeight="1">
      <c r="C218" s="29" t="s">
        <v>163</v>
      </c>
      <c r="E218" s="51">
        <f>E219/AVERAGE(D217:E217)</f>
        <v>2.101458974185896E-2</v>
      </c>
      <c r="F218" s="51">
        <f>F219/AVERAGE(E217:F217)</f>
        <v>2.8891612921996681E-2</v>
      </c>
      <c r="G218" s="125">
        <f>F218</f>
        <v>2.8891612921996681E-2</v>
      </c>
      <c r="H218" s="125">
        <f>G218</f>
        <v>2.8891612921996681E-2</v>
      </c>
      <c r="I218" s="125">
        <f>H218</f>
        <v>2.8891612921996681E-2</v>
      </c>
      <c r="J218" s="125">
        <f>I218</f>
        <v>2.8891612921996681E-2</v>
      </c>
      <c r="K218" s="125">
        <f>J218</f>
        <v>2.8891612921996681E-2</v>
      </c>
      <c r="M218" s="125"/>
      <c r="O218" t="s">
        <v>164</v>
      </c>
      <c r="T218" s="95"/>
    </row>
    <row r="219" spans="3:20" ht="15" customHeight="1">
      <c r="C219" s="70" t="s">
        <v>169</v>
      </c>
      <c r="D219" s="45"/>
      <c r="E219" s="45">
        <f>E209-E214</f>
        <v>2179.2759999999998</v>
      </c>
      <c r="F219" s="45">
        <f>F209-F214</f>
        <v>2979.0430999999999</v>
      </c>
      <c r="G219" s="41">
        <f>G218*AVERAGE(F217:G217)</f>
        <v>2961.9392651501776</v>
      </c>
      <c r="H219" s="41">
        <f>H218*AVERAGE(G217:H217)</f>
        <v>2961.9392651501776</v>
      </c>
      <c r="I219" s="41">
        <f>I218*AVERAGE(H217:I217)</f>
        <v>2961.9392651501776</v>
      </c>
      <c r="J219" s="41">
        <f>J218*AVERAGE(I217:J217)</f>
        <v>2961.9392651501776</v>
      </c>
      <c r="K219" s="41">
        <f>K218*AVERAGE(J217:K217)</f>
        <v>2961.9392651501776</v>
      </c>
      <c r="M219" s="41"/>
      <c r="O219" t="s">
        <v>170</v>
      </c>
    </row>
    <row r="220" spans="3:20" ht="15" customHeight="1">
      <c r="E220" s="42"/>
    </row>
    <row r="221" spans="3:20" ht="15" customHeight="1">
      <c r="C221" s="97" t="s">
        <v>171</v>
      </c>
      <c r="E221" s="42"/>
      <c r="F221" s="42"/>
    </row>
    <row r="222" spans="3:20" ht="15" customHeight="1">
      <c r="C222" s="29" t="s">
        <v>172</v>
      </c>
      <c r="D222" s="49">
        <v>1.7299999999999999E-2</v>
      </c>
      <c r="E222" s="99">
        <v>1.9900000000000001E-2</v>
      </c>
      <c r="F222" s="99">
        <v>2.1600000000000001E-2</v>
      </c>
      <c r="G222" s="127">
        <f>F222</f>
        <v>2.1600000000000001E-2</v>
      </c>
      <c r="H222" s="127">
        <f>G222</f>
        <v>2.1600000000000001E-2</v>
      </c>
      <c r="I222" s="127">
        <f>H222</f>
        <v>2.1600000000000001E-2</v>
      </c>
      <c r="J222" s="127">
        <f>I222</f>
        <v>2.1600000000000001E-2</v>
      </c>
      <c r="K222" s="127">
        <f>J222</f>
        <v>2.1600000000000001E-2</v>
      </c>
      <c r="M222" s="127"/>
      <c r="O222" t="s">
        <v>164</v>
      </c>
    </row>
    <row r="223" spans="3:20" ht="15" customHeight="1">
      <c r="C223" s="29" t="s">
        <v>19</v>
      </c>
      <c r="D223" s="42">
        <f>D24</f>
        <v>3999</v>
      </c>
      <c r="E223" s="42">
        <f>E24</f>
        <v>5201</v>
      </c>
      <c r="F223" s="42">
        <f>F24</f>
        <v>5686</v>
      </c>
      <c r="G223" s="44">
        <f>G222*F46</f>
        <v>5121.3600000000006</v>
      </c>
      <c r="H223" s="44">
        <f ca="1">H222*G46</f>
        <v>4350.9680067630825</v>
      </c>
      <c r="I223" s="44">
        <f ca="1">I222*H46</f>
        <v>3737.6397640746773</v>
      </c>
      <c r="J223" s="44">
        <f ca="1">J222*I46</f>
        <v>3229.0833655320835</v>
      </c>
      <c r="K223" s="44">
        <f ca="1">K222*J46</f>
        <v>2742.7960462028482</v>
      </c>
      <c r="M223" s="44"/>
      <c r="O223" t="s">
        <v>173</v>
      </c>
    </row>
    <row r="224" spans="3:20" ht="15" customHeight="1">
      <c r="C224" s="50"/>
      <c r="D224" s="51"/>
      <c r="E224" s="51"/>
      <c r="F224" s="51"/>
      <c r="G224" s="51"/>
      <c r="H224" s="51"/>
    </row>
    <row r="225" spans="3:13" ht="15" customHeight="1">
      <c r="C225" s="16" t="s">
        <v>191</v>
      </c>
      <c r="D225" s="16"/>
      <c r="E225" s="16"/>
      <c r="F225" s="16"/>
      <c r="G225" s="16"/>
      <c r="H225" s="16"/>
      <c r="I225" s="16"/>
      <c r="J225" s="16"/>
      <c r="K225" s="16"/>
      <c r="M225" s="27"/>
    </row>
    <row r="226" spans="3:13" ht="15" customHeight="1">
      <c r="C226" s="27"/>
    </row>
    <row r="227" spans="3:13" ht="15.75" customHeight="1">
      <c r="C227" s="128" t="s">
        <v>192</v>
      </c>
      <c r="D227" s="129"/>
      <c r="E227" s="129"/>
      <c r="F227" s="129"/>
      <c r="G227" s="129"/>
      <c r="H227" s="129"/>
      <c r="I227" s="129"/>
    </row>
    <row r="228" spans="3:13" ht="15" customHeight="1">
      <c r="D228" s="27"/>
      <c r="E228" s="2" t="s">
        <v>193</v>
      </c>
      <c r="F228" s="2"/>
      <c r="G228" s="2"/>
      <c r="H228" s="2"/>
      <c r="I228" s="2"/>
    </row>
    <row r="229" spans="3:13" ht="15.75" customHeight="1">
      <c r="D229" s="229">
        <f ca="1">G29</f>
        <v>52213.524654506109</v>
      </c>
      <c r="E229" s="230">
        <v>-0.05</v>
      </c>
      <c r="F229" s="230">
        <v>-2.5000000000000001E-2</v>
      </c>
      <c r="G229" s="230">
        <v>0</v>
      </c>
      <c r="H229" s="230">
        <v>2.5000000000000001E-2</v>
      </c>
      <c r="I229" s="230">
        <v>0.05</v>
      </c>
    </row>
    <row r="230" spans="3:13" ht="15" customHeight="1">
      <c r="C230" s="154"/>
      <c r="D230" s="231">
        <v>0.39</v>
      </c>
      <c r="E230" s="232">
        <v>54599.550636029897</v>
      </c>
      <c r="F230" s="232">
        <v>56004.428668279899</v>
      </c>
      <c r="G230" s="232">
        <v>57409.306700529902</v>
      </c>
      <c r="H230" s="232">
        <v>58814.184732779897</v>
      </c>
      <c r="I230" s="232">
        <v>60219.062765029899</v>
      </c>
    </row>
    <row r="231" spans="3:13" ht="15" customHeight="1">
      <c r="C231" s="135" t="s">
        <v>194</v>
      </c>
      <c r="D231" s="231">
        <v>0.38500000000000001</v>
      </c>
      <c r="E231" s="232">
        <v>53548.6576197799</v>
      </c>
      <c r="F231" s="232">
        <v>54925.880572654904</v>
      </c>
      <c r="G231" s="232">
        <v>56303.103525529899</v>
      </c>
      <c r="H231" s="232">
        <v>57680.326478404902</v>
      </c>
      <c r="I231" s="232">
        <v>59057.549431279898</v>
      </c>
    </row>
    <row r="232" spans="3:13" ht="15" customHeight="1">
      <c r="C232" s="135" t="s">
        <v>195</v>
      </c>
      <c r="D232" s="231">
        <v>0.38</v>
      </c>
      <c r="E232" s="232">
        <v>52497.764603529897</v>
      </c>
      <c r="F232" s="232">
        <v>53847.3324770299</v>
      </c>
      <c r="G232" s="232">
        <v>55196.900350529897</v>
      </c>
      <c r="H232" s="232">
        <v>56546.468224029901</v>
      </c>
      <c r="I232" s="232">
        <v>57896.036097529897</v>
      </c>
    </row>
    <row r="233" spans="3:13" ht="15" customHeight="1">
      <c r="C233" s="135" t="s">
        <v>196</v>
      </c>
      <c r="D233" s="231">
        <v>0.375</v>
      </c>
      <c r="E233" s="232">
        <v>51446.8715872799</v>
      </c>
      <c r="F233" s="232">
        <v>52768.784381404897</v>
      </c>
      <c r="G233" s="232">
        <v>54090.697175529902</v>
      </c>
      <c r="H233" s="232">
        <v>55412.609969654899</v>
      </c>
      <c r="I233" s="232">
        <v>56734.522763779903</v>
      </c>
    </row>
    <row r="234" spans="3:13" ht="15" customHeight="1">
      <c r="D234" s="231">
        <v>0.37</v>
      </c>
      <c r="E234" s="232">
        <v>50395.978571029897</v>
      </c>
      <c r="F234" s="232">
        <v>51690.236285779902</v>
      </c>
      <c r="G234" s="232">
        <v>52984.494000529899</v>
      </c>
      <c r="H234" s="232">
        <v>54278.751715279897</v>
      </c>
      <c r="I234" s="232">
        <v>55573.009430029902</v>
      </c>
    </row>
    <row r="235" spans="3:13" ht="15" customHeight="1">
      <c r="D235" s="231">
        <v>0.36499999999999999</v>
      </c>
      <c r="E235" s="232">
        <v>49345.0855547799</v>
      </c>
      <c r="F235" s="232">
        <v>50611.688190154899</v>
      </c>
      <c r="G235" s="232">
        <v>51878.290825529897</v>
      </c>
      <c r="H235" s="232">
        <v>53144.893460904903</v>
      </c>
      <c r="I235" s="232">
        <v>54411.496096279901</v>
      </c>
    </row>
    <row r="237" spans="3:13" ht="15" customHeight="1">
      <c r="C237" s="16" t="s">
        <v>197</v>
      </c>
      <c r="D237" s="16"/>
      <c r="E237" s="16"/>
      <c r="F237" s="16"/>
      <c r="G237" s="16"/>
      <c r="H237" s="16"/>
      <c r="I237" s="16"/>
      <c r="J237" s="16"/>
      <c r="K237" s="16"/>
      <c r="M237" s="27"/>
    </row>
    <row r="238" spans="3:13" ht="15.75" customHeight="1"/>
    <row r="239" spans="3:13" ht="15.75" customHeight="1">
      <c r="C239" t="s">
        <v>198</v>
      </c>
      <c r="D239" s="136" t="str">
        <f>D12</f>
        <v>Base case</v>
      </c>
      <c r="F239" s="137" t="s">
        <v>199</v>
      </c>
      <c r="G239" s="65">
        <f t="shared" ref="G239:K240" si="35">G15</f>
        <v>2019</v>
      </c>
      <c r="H239" s="65">
        <f t="shared" si="35"/>
        <v>2020</v>
      </c>
      <c r="I239" s="65">
        <f t="shared" si="35"/>
        <v>2021</v>
      </c>
      <c r="J239" s="65">
        <f t="shared" si="35"/>
        <v>2022</v>
      </c>
      <c r="K239" s="65">
        <f t="shared" si="35"/>
        <v>2023</v>
      </c>
      <c r="M239" s="65"/>
    </row>
    <row r="240" spans="3:13" ht="15" customHeight="1">
      <c r="E240" s="138"/>
      <c r="F240" s="139" t="s">
        <v>200</v>
      </c>
      <c r="G240" s="38">
        <f t="shared" si="35"/>
        <v>43738</v>
      </c>
      <c r="H240" s="38">
        <f t="shared" si="35"/>
        <v>44104</v>
      </c>
      <c r="I240" s="38">
        <f t="shared" si="35"/>
        <v>44469</v>
      </c>
      <c r="J240" s="38">
        <f t="shared" si="35"/>
        <v>44834</v>
      </c>
      <c r="K240" s="38">
        <f t="shared" si="35"/>
        <v>45199</v>
      </c>
      <c r="M240" s="161"/>
    </row>
    <row r="241" spans="3:21" ht="15" customHeight="1">
      <c r="C241" s="29" t="s">
        <v>263</v>
      </c>
      <c r="F241" s="274" t="str">
        <f>CHOOSE(MATCH($D$12,$C$248:$C$250,0),F248,F249,F250)</f>
        <v>NM</v>
      </c>
      <c r="G241" s="224">
        <f t="shared" ref="G241:K245" ca="1" si="36">OFFSET(G$247,MATCH($C241,$C$247:$C$266,0)+MATCH($D$239,$C$248:$C$250,0)-1,0)</f>
        <v>792</v>
      </c>
      <c r="H241" s="224">
        <f t="shared" ca="1" si="36"/>
        <v>725</v>
      </c>
      <c r="I241" s="224">
        <f t="shared" ca="1" si="36"/>
        <v>725</v>
      </c>
      <c r="J241" s="224">
        <f t="shared" ca="1" si="36"/>
        <v>725</v>
      </c>
      <c r="K241" s="224">
        <f t="shared" ca="1" si="36"/>
        <v>725</v>
      </c>
      <c r="M241" s="224"/>
      <c r="O241" s="142"/>
      <c r="P241" s="142"/>
      <c r="Q241" s="142"/>
      <c r="R241" s="142"/>
    </row>
    <row r="242" spans="3:21" ht="15" customHeight="1">
      <c r="C242" s="29" t="s">
        <v>316</v>
      </c>
      <c r="F242" s="274" t="str">
        <f>CHOOSE(MATCH($D$12,$C$248:$C$250,0),F252,F253,F254)</f>
        <v>NM</v>
      </c>
      <c r="G242" s="224">
        <f t="shared" ca="1" si="36"/>
        <v>45603</v>
      </c>
      <c r="H242" s="224">
        <f t="shared" ca="1" si="36"/>
        <v>53592</v>
      </c>
      <c r="I242" s="224">
        <f t="shared" ca="1" si="36"/>
        <v>63000</v>
      </c>
      <c r="J242" s="224">
        <f t="shared" ca="1" si="36"/>
        <v>74000</v>
      </c>
      <c r="K242" s="224">
        <f t="shared" ca="1" si="36"/>
        <v>87000</v>
      </c>
      <c r="M242" s="224"/>
      <c r="O242" s="142"/>
      <c r="P242" s="142"/>
      <c r="Q242" s="142"/>
      <c r="R242" s="142"/>
    </row>
    <row r="243" spans="3:21" ht="15" customHeight="1">
      <c r="C243" s="29" t="s">
        <v>31</v>
      </c>
      <c r="F243" s="236" t="str">
        <f>CHOOSE(MATCH($D$12,$C$248:$C$250,0),F256,F257,F258)</f>
        <v>NM</v>
      </c>
      <c r="G243" s="71">
        <f t="shared" ca="1" si="36"/>
        <v>0.378</v>
      </c>
      <c r="H243" s="71">
        <f t="shared" ca="1" si="36"/>
        <v>0.38100000000000001</v>
      </c>
      <c r="I243" s="71">
        <f t="shared" ca="1" si="36"/>
        <v>0.38200000000000001</v>
      </c>
      <c r="J243" s="71">
        <f t="shared" ca="1" si="36"/>
        <v>0.38200000000000001</v>
      </c>
      <c r="K243" s="71">
        <f t="shared" ca="1" si="36"/>
        <v>0.38200000000000001</v>
      </c>
      <c r="M243" s="71"/>
      <c r="O243" s="142"/>
      <c r="P243" s="142"/>
      <c r="Q243" s="142"/>
      <c r="R243" s="142"/>
    </row>
    <row r="244" spans="3:21" ht="15" customHeight="1">
      <c r="C244" s="29" t="s">
        <v>32</v>
      </c>
      <c r="F244" s="236" t="str">
        <f>CHOOSE(MATCH($D$12,$C$248:$C$250,0),F260,F261,F262)</f>
        <v>NM</v>
      </c>
      <c r="G244" s="71">
        <f t="shared" ca="1" si="36"/>
        <v>6.2E-2</v>
      </c>
      <c r="H244" s="71">
        <f t="shared" ca="1" si="36"/>
        <v>6.3E-2</v>
      </c>
      <c r="I244" s="71">
        <f t="shared" ca="1" si="36"/>
        <v>6.3E-2</v>
      </c>
      <c r="J244" s="71">
        <f t="shared" ca="1" si="36"/>
        <v>6.3E-2</v>
      </c>
      <c r="K244" s="71">
        <f t="shared" ca="1" si="36"/>
        <v>6.3E-2</v>
      </c>
      <c r="M244" s="71"/>
      <c r="O244" s="142"/>
      <c r="P244" s="142"/>
      <c r="Q244" s="142"/>
      <c r="R244" s="142"/>
    </row>
    <row r="245" spans="3:21" ht="15" customHeight="1">
      <c r="C245" s="29" t="s">
        <v>33</v>
      </c>
      <c r="F245" s="236" t="str">
        <f>CHOOSE(MATCH($D$12,$C$248:$C$250,0),F264,F265,F266)</f>
        <v>NM</v>
      </c>
      <c r="G245" s="71">
        <f t="shared" ca="1" si="36"/>
        <v>7.3999999999999996E-2</v>
      </c>
      <c r="H245" s="71">
        <f t="shared" ca="1" si="36"/>
        <v>6.9000000000000006E-2</v>
      </c>
      <c r="I245" s="71">
        <f t="shared" ca="1" si="36"/>
        <v>6.9000000000000006E-2</v>
      </c>
      <c r="J245" s="71">
        <f t="shared" ca="1" si="36"/>
        <v>6.9000000000000006E-2</v>
      </c>
      <c r="K245" s="71">
        <f t="shared" ca="1" si="36"/>
        <v>6.9000000000000006E-2</v>
      </c>
      <c r="M245" s="71"/>
      <c r="O245" s="142"/>
      <c r="P245" s="142"/>
      <c r="Q245" s="142"/>
      <c r="R245" s="142"/>
    </row>
    <row r="246" spans="3:21" ht="15" customHeight="1">
      <c r="F246" s="143"/>
    </row>
    <row r="247" spans="3:21" ht="15" customHeight="1">
      <c r="C247" s="70" t="s">
        <v>263</v>
      </c>
      <c r="F247" s="143"/>
    </row>
    <row r="248" spans="3:21" ht="15" customHeight="1">
      <c r="C248" s="103" t="s">
        <v>201</v>
      </c>
      <c r="F248" s="275">
        <v>100</v>
      </c>
      <c r="G248" s="276">
        <f>G249+$F$248</f>
        <v>892</v>
      </c>
      <c r="H248" s="276">
        <f>H249+$F$248</f>
        <v>825</v>
      </c>
      <c r="I248" s="276">
        <f>I249+$F$248</f>
        <v>825</v>
      </c>
      <c r="J248" s="276">
        <f>J249+$F$248</f>
        <v>825</v>
      </c>
      <c r="K248" s="276">
        <f>K249+$F$248</f>
        <v>825</v>
      </c>
      <c r="M248" s="276"/>
    </row>
    <row r="249" spans="3:21" ht="15" customHeight="1">
      <c r="C249" s="103" t="s">
        <v>189</v>
      </c>
      <c r="F249" s="145" t="s">
        <v>202</v>
      </c>
      <c r="G249" s="201">
        <v>792</v>
      </c>
      <c r="H249" s="201">
        <v>725</v>
      </c>
      <c r="I249" s="201">
        <v>725</v>
      </c>
      <c r="J249" s="201">
        <v>725</v>
      </c>
      <c r="K249" s="201">
        <v>725</v>
      </c>
      <c r="M249" s="185"/>
      <c r="O249" t="s">
        <v>84</v>
      </c>
      <c r="Q249" s="35"/>
      <c r="R249" s="35"/>
      <c r="S249" s="35"/>
      <c r="T249" s="35"/>
      <c r="U249" s="35"/>
    </row>
    <row r="250" spans="3:21" ht="15" customHeight="1">
      <c r="C250" s="103" t="s">
        <v>203</v>
      </c>
      <c r="F250" s="275">
        <v>-100</v>
      </c>
      <c r="G250" s="276">
        <f>G249+$F$250</f>
        <v>692</v>
      </c>
      <c r="H250" s="276">
        <f>H249+$F$250</f>
        <v>625</v>
      </c>
      <c r="I250" s="276">
        <f>I249+$F$250</f>
        <v>625</v>
      </c>
      <c r="J250" s="276">
        <f>J249+$F$250</f>
        <v>625</v>
      </c>
      <c r="K250" s="276">
        <f>K249+$F$250</f>
        <v>625</v>
      </c>
      <c r="M250" s="276"/>
      <c r="Q250" s="35"/>
      <c r="R250" s="35"/>
      <c r="S250" s="35"/>
      <c r="T250" s="35"/>
      <c r="U250" s="35"/>
    </row>
    <row r="251" spans="3:21" ht="15" customHeight="1">
      <c r="C251" s="31" t="s">
        <v>316</v>
      </c>
      <c r="F251" s="144"/>
      <c r="G251" s="63"/>
      <c r="H251" s="63"/>
      <c r="I251" s="63"/>
      <c r="J251" s="63"/>
      <c r="K251" s="63"/>
      <c r="M251" s="63"/>
      <c r="Q251" s="35"/>
      <c r="R251" s="35"/>
      <c r="S251" s="35"/>
      <c r="T251" s="35"/>
      <c r="U251" s="35"/>
    </row>
    <row r="252" spans="3:21" ht="15" customHeight="1">
      <c r="C252" s="103" t="s">
        <v>201</v>
      </c>
      <c r="F252" s="275">
        <v>10000</v>
      </c>
      <c r="G252" s="276">
        <f>G253+$F$252</f>
        <v>55603</v>
      </c>
      <c r="H252" s="276">
        <f>H253+$F$252</f>
        <v>63592</v>
      </c>
      <c r="I252" s="276">
        <f>I253+$F$252</f>
        <v>73000</v>
      </c>
      <c r="J252" s="276">
        <f>J253+$F$252</f>
        <v>84000</v>
      </c>
      <c r="K252" s="276">
        <f>K253+$F$252</f>
        <v>97000</v>
      </c>
      <c r="M252" s="276"/>
      <c r="Q252" s="35"/>
      <c r="R252" s="35"/>
      <c r="S252" s="35"/>
      <c r="T252" s="35"/>
      <c r="U252" s="35"/>
    </row>
    <row r="253" spans="3:21" ht="15" customHeight="1">
      <c r="C253" s="103" t="s">
        <v>189</v>
      </c>
      <c r="F253" s="145" t="s">
        <v>202</v>
      </c>
      <c r="G253" s="39">
        <v>45603</v>
      </c>
      <c r="H253" s="39">
        <v>53592</v>
      </c>
      <c r="I253" s="39">
        <v>63000</v>
      </c>
      <c r="J253" s="39">
        <v>74000</v>
      </c>
      <c r="K253" s="39">
        <v>87000</v>
      </c>
      <c r="M253" s="39"/>
      <c r="Q253" s="35"/>
      <c r="R253" s="35"/>
      <c r="S253" s="35"/>
      <c r="T253" s="35"/>
      <c r="U253" s="35"/>
    </row>
    <row r="254" spans="3:21" ht="15" customHeight="1">
      <c r="C254" s="103" t="s">
        <v>203</v>
      </c>
      <c r="F254" s="275">
        <v>-10000</v>
      </c>
      <c r="G254" s="276">
        <f>G253+$F$254</f>
        <v>35603</v>
      </c>
      <c r="H254" s="276">
        <f>H253+$F$254</f>
        <v>43592</v>
      </c>
      <c r="I254" s="276">
        <f>I253+$F$254</f>
        <v>53000</v>
      </c>
      <c r="J254" s="276">
        <f>J253+$F$254</f>
        <v>64000</v>
      </c>
      <c r="K254" s="276">
        <f>K253+$F$254</f>
        <v>77000</v>
      </c>
      <c r="M254" s="276"/>
      <c r="Q254" s="35"/>
      <c r="R254" s="35"/>
      <c r="S254" s="35"/>
      <c r="T254" s="35"/>
      <c r="U254" s="35"/>
    </row>
    <row r="255" spans="3:21" ht="15" customHeight="1">
      <c r="C255" s="70" t="s">
        <v>31</v>
      </c>
      <c r="F255" s="145"/>
      <c r="G255" s="35"/>
      <c r="H255" s="35"/>
      <c r="I255" s="35"/>
      <c r="J255" s="35"/>
      <c r="K255" s="35"/>
      <c r="M255" s="35"/>
      <c r="Q255" s="35"/>
      <c r="R255" s="35"/>
      <c r="S255" s="35"/>
      <c r="T255" s="35"/>
      <c r="U255" s="35"/>
    </row>
    <row r="256" spans="3:21" ht="15" customHeight="1">
      <c r="C256" s="103" t="s">
        <v>201</v>
      </c>
      <c r="F256" s="144">
        <v>0.01</v>
      </c>
      <c r="G256" s="63">
        <f>G257+$F$256</f>
        <v>0.38800000000000001</v>
      </c>
      <c r="H256" s="63">
        <f>H257+$F$256</f>
        <v>0.39100000000000001</v>
      </c>
      <c r="I256" s="63">
        <f>I257+$F$256</f>
        <v>0.39200000000000002</v>
      </c>
      <c r="J256" s="63">
        <f>J257+$F$256</f>
        <v>0.39200000000000002</v>
      </c>
      <c r="K256" s="63">
        <f>K257+$F$256</f>
        <v>0.39200000000000002</v>
      </c>
      <c r="M256" s="63"/>
    </row>
    <row r="257" spans="3:15" ht="15" customHeight="1">
      <c r="C257" s="103" t="s">
        <v>189</v>
      </c>
      <c r="F257" s="145" t="s">
        <v>202</v>
      </c>
      <c r="G257" s="35">
        <v>0.378</v>
      </c>
      <c r="H257" s="35">
        <v>0.38100000000000001</v>
      </c>
      <c r="I257" s="35">
        <v>0.38200000000000001</v>
      </c>
      <c r="J257" s="63">
        <f>I257</f>
        <v>0.38200000000000001</v>
      </c>
      <c r="K257" s="63">
        <f>J257</f>
        <v>0.38200000000000001</v>
      </c>
      <c r="M257" s="63"/>
      <c r="O257" t="s">
        <v>85</v>
      </c>
    </row>
    <row r="258" spans="3:15" ht="15" customHeight="1">
      <c r="C258" s="103" t="s">
        <v>203</v>
      </c>
      <c r="F258" s="144">
        <v>-0.01</v>
      </c>
      <c r="G258" s="63">
        <f>G257+$F$258</f>
        <v>0.36799999999999999</v>
      </c>
      <c r="H258" s="63">
        <f>H257+$F$258</f>
        <v>0.371</v>
      </c>
      <c r="I258" s="63">
        <f>I257+$F$258</f>
        <v>0.372</v>
      </c>
      <c r="J258" s="63">
        <f>J257+$F$258</f>
        <v>0.372</v>
      </c>
      <c r="K258" s="63">
        <f>K257+$F$258</f>
        <v>0.372</v>
      </c>
      <c r="M258" s="63"/>
    </row>
    <row r="259" spans="3:15" ht="15" customHeight="1">
      <c r="C259" s="70" t="s">
        <v>32</v>
      </c>
      <c r="F259" s="145"/>
      <c r="G259" s="146"/>
      <c r="H259" s="146"/>
      <c r="I259" s="146"/>
      <c r="J259" s="146"/>
      <c r="K259" s="146"/>
      <c r="M259" s="146"/>
    </row>
    <row r="260" spans="3:15" ht="15" customHeight="1">
      <c r="C260" s="103" t="s">
        <v>201</v>
      </c>
      <c r="F260" s="144">
        <v>-0.01</v>
      </c>
      <c r="G260" s="63">
        <f>G261+$F$260</f>
        <v>5.1999999999999998E-2</v>
      </c>
      <c r="H260" s="63">
        <f>H261+$F$260</f>
        <v>5.2999999999999999E-2</v>
      </c>
      <c r="I260" s="63">
        <f>I261+$F$260</f>
        <v>5.2999999999999999E-2</v>
      </c>
      <c r="J260" s="63">
        <f>J261+$F$260</f>
        <v>5.2999999999999999E-2</v>
      </c>
      <c r="K260" s="63">
        <f>K261+$F$260</f>
        <v>5.2999999999999999E-2</v>
      </c>
      <c r="M260" s="63"/>
    </row>
    <row r="261" spans="3:15" ht="15" customHeight="1">
      <c r="C261" s="103" t="s">
        <v>189</v>
      </c>
      <c r="F261" s="145" t="s">
        <v>202</v>
      </c>
      <c r="G261" s="35">
        <v>6.2E-2</v>
      </c>
      <c r="H261" s="35">
        <v>6.3E-2</v>
      </c>
      <c r="I261" s="35">
        <v>6.3E-2</v>
      </c>
      <c r="J261" s="63">
        <f>I261</f>
        <v>6.3E-2</v>
      </c>
      <c r="K261" s="63">
        <f>J261</f>
        <v>6.3E-2</v>
      </c>
      <c r="M261" s="63"/>
      <c r="O261" t="s">
        <v>86</v>
      </c>
    </row>
    <row r="262" spans="3:15" ht="15" customHeight="1">
      <c r="C262" s="103" t="s">
        <v>203</v>
      </c>
      <c r="F262" s="144">
        <v>0.01</v>
      </c>
      <c r="G262" s="63">
        <f>G261+$F$262</f>
        <v>7.1999999999999995E-2</v>
      </c>
      <c r="H262" s="63">
        <f>H261+$F$262</f>
        <v>7.2999999999999995E-2</v>
      </c>
      <c r="I262" s="63">
        <f>I261+$F$262</f>
        <v>7.2999999999999995E-2</v>
      </c>
      <c r="J262" s="63">
        <f>J261+$F$262</f>
        <v>7.2999999999999995E-2</v>
      </c>
      <c r="K262" s="63">
        <f>K261+$F$262</f>
        <v>7.2999999999999995E-2</v>
      </c>
      <c r="M262" s="63"/>
    </row>
    <row r="263" spans="3:15" ht="15" customHeight="1">
      <c r="C263" s="70" t="s">
        <v>33</v>
      </c>
      <c r="F263" s="145"/>
      <c r="G263" s="146"/>
      <c r="H263" s="146"/>
      <c r="I263" s="146"/>
      <c r="J263" s="146"/>
      <c r="K263" s="146"/>
      <c r="M263" s="146"/>
    </row>
    <row r="264" spans="3:15" ht="15" customHeight="1">
      <c r="C264" s="103" t="s">
        <v>201</v>
      </c>
      <c r="F264" s="144">
        <v>-0.01</v>
      </c>
      <c r="G264" s="63">
        <f>G265+$F$264</f>
        <v>6.4000000000000001E-2</v>
      </c>
      <c r="H264" s="63">
        <f>H265+$F$264</f>
        <v>5.9000000000000004E-2</v>
      </c>
      <c r="I264" s="63">
        <f>I265+$F$264</f>
        <v>5.9000000000000004E-2</v>
      </c>
      <c r="J264" s="63">
        <f>J265+$F$264</f>
        <v>5.9000000000000004E-2</v>
      </c>
      <c r="K264" s="63">
        <f>K265+$F$264</f>
        <v>5.9000000000000004E-2</v>
      </c>
      <c r="M264" s="63"/>
    </row>
    <row r="265" spans="3:15" ht="15" customHeight="1">
      <c r="C265" s="103" t="s">
        <v>189</v>
      </c>
      <c r="F265" s="145" t="s">
        <v>202</v>
      </c>
      <c r="G265" s="35">
        <v>7.3999999999999996E-2</v>
      </c>
      <c r="H265" s="35">
        <v>6.9000000000000006E-2</v>
      </c>
      <c r="I265" s="35">
        <v>6.9000000000000006E-2</v>
      </c>
      <c r="J265" s="63">
        <f>I265</f>
        <v>6.9000000000000006E-2</v>
      </c>
      <c r="K265" s="63">
        <f>J265</f>
        <v>6.9000000000000006E-2</v>
      </c>
      <c r="M265" s="63"/>
      <c r="O265" t="s">
        <v>86</v>
      </c>
    </row>
    <row r="266" spans="3:15" ht="15.75" customHeight="1">
      <c r="C266" s="103" t="s">
        <v>203</v>
      </c>
      <c r="F266" s="147">
        <v>0.01</v>
      </c>
      <c r="G266" s="63">
        <f>G265+$F$266</f>
        <v>8.3999999999999991E-2</v>
      </c>
      <c r="H266" s="63">
        <f>H265+$F$266</f>
        <v>7.9000000000000001E-2</v>
      </c>
      <c r="I266" s="63">
        <f>I265+$F$266</f>
        <v>7.9000000000000001E-2</v>
      </c>
      <c r="J266" s="63">
        <f>J265+$F$266</f>
        <v>7.9000000000000001E-2</v>
      </c>
      <c r="K266" s="63">
        <f>K265+$F$266</f>
        <v>7.9000000000000001E-2</v>
      </c>
      <c r="M266" s="63"/>
    </row>
    <row r="268" spans="3:15" ht="15" customHeight="1">
      <c r="C268" s="16" t="s">
        <v>204</v>
      </c>
      <c r="D268" s="16"/>
      <c r="E268" s="16"/>
      <c r="F268" s="16"/>
      <c r="G268" s="16"/>
      <c r="H268" s="16"/>
      <c r="I268" s="16"/>
      <c r="J268" s="16"/>
      <c r="K268" s="16"/>
      <c r="M268" s="27"/>
    </row>
    <row r="269" spans="3:15" ht="15" customHeight="1">
      <c r="C269" s="36" t="str">
        <f t="shared" ref="C269:K269" si="37">C15</f>
        <v xml:space="preserve">Fiscal year  </v>
      </c>
      <c r="D269" s="37">
        <f t="shared" si="37"/>
        <v>2016</v>
      </c>
      <c r="E269" s="37">
        <f t="shared" si="37"/>
        <v>2017</v>
      </c>
      <c r="F269" s="37">
        <f t="shared" si="37"/>
        <v>2018</v>
      </c>
      <c r="G269" s="65">
        <f t="shared" si="37"/>
        <v>2019</v>
      </c>
      <c r="H269" s="65">
        <f t="shared" si="37"/>
        <v>2020</v>
      </c>
      <c r="I269" s="65">
        <f t="shared" si="37"/>
        <v>2021</v>
      </c>
      <c r="J269" s="65">
        <f t="shared" si="37"/>
        <v>2022</v>
      </c>
      <c r="K269" s="65">
        <f t="shared" si="37"/>
        <v>2023</v>
      </c>
      <c r="M269" s="65"/>
    </row>
    <row r="270" spans="3:15" ht="15" customHeight="1">
      <c r="C270" s="17" t="str">
        <f t="shared" ref="C270:K270" si="38">C16</f>
        <v>Fiscal year end date</v>
      </c>
      <c r="D270" s="38">
        <f t="shared" si="38"/>
        <v>42643</v>
      </c>
      <c r="E270" s="38">
        <f t="shared" si="38"/>
        <v>43008</v>
      </c>
      <c r="F270" s="38">
        <f t="shared" si="38"/>
        <v>43372</v>
      </c>
      <c r="G270" s="38">
        <f t="shared" si="38"/>
        <v>43738</v>
      </c>
      <c r="H270" s="38">
        <f t="shared" si="38"/>
        <v>44104</v>
      </c>
      <c r="I270" s="38">
        <f t="shared" si="38"/>
        <v>44469</v>
      </c>
      <c r="J270" s="38">
        <f t="shared" si="38"/>
        <v>44834</v>
      </c>
      <c r="K270" s="38">
        <f t="shared" si="38"/>
        <v>45199</v>
      </c>
      <c r="M270" s="161"/>
    </row>
    <row r="271" spans="3:15" ht="15" customHeight="1">
      <c r="G271" s="35"/>
      <c r="H271" s="35"/>
      <c r="I271" s="35"/>
      <c r="J271" s="63"/>
      <c r="K271" s="63"/>
      <c r="M271" s="63"/>
    </row>
    <row r="272" spans="3:15" ht="15" customHeight="1">
      <c r="C272" t="s">
        <v>24</v>
      </c>
      <c r="D272" s="61">
        <f t="shared" ref="D272:K272" si="39">D29</f>
        <v>45687</v>
      </c>
      <c r="E272" s="61">
        <f t="shared" si="39"/>
        <v>48351</v>
      </c>
      <c r="F272" s="61">
        <f t="shared" si="39"/>
        <v>59531</v>
      </c>
      <c r="G272" s="61">
        <f t="shared" ca="1" si="39"/>
        <v>52213.524654506109</v>
      </c>
      <c r="H272" s="61">
        <f t="shared" ca="1" si="39"/>
        <v>55415.155846152702</v>
      </c>
      <c r="I272" s="61">
        <f t="shared" ca="1" si="39"/>
        <v>57899.958662064659</v>
      </c>
      <c r="J272" s="61">
        <f t="shared" ca="1" si="39"/>
        <v>60631.117323481623</v>
      </c>
      <c r="K272" s="61">
        <f t="shared" ca="1" si="39"/>
        <v>63901.764252650741</v>
      </c>
      <c r="M272" s="42"/>
      <c r="O272" t="s">
        <v>205</v>
      </c>
    </row>
    <row r="273" spans="3:15" ht="15" customHeight="1">
      <c r="C273" t="s">
        <v>206</v>
      </c>
      <c r="D273" s="26">
        <v>5470.82</v>
      </c>
      <c r="E273" s="26">
        <v>5217.2420000000002</v>
      </c>
      <c r="F273" s="26">
        <v>4955.3770000000004</v>
      </c>
      <c r="G273" s="61">
        <f ca="1">F273-(G279+G280)/G281</f>
        <v>4577.7690892979917</v>
      </c>
      <c r="H273" s="61">
        <f ca="1">G273-(H279+H280)/H281</f>
        <v>4250.617459330495</v>
      </c>
      <c r="I273" s="61">
        <f ca="1">H273-(I279+I280)/I281</f>
        <v>3967.2383826369164</v>
      </c>
      <c r="J273" s="61">
        <f ca="1">I273-(J279+J280)/J281</f>
        <v>3721.9367154432744</v>
      </c>
      <c r="K273" s="61">
        <f ca="1">J273-(K279+K280)/K281</f>
        <v>3509.7605693271717</v>
      </c>
      <c r="M273" s="42"/>
      <c r="O273" t="s">
        <v>266</v>
      </c>
    </row>
    <row r="274" spans="3:15" ht="15" customHeight="1">
      <c r="C274" s="27" t="s">
        <v>208</v>
      </c>
      <c r="D274" s="149">
        <f t="shared" ref="D274:K274" si="40">D272/D273</f>
        <v>8.3510333003096431</v>
      </c>
      <c r="E274" s="149">
        <f t="shared" si="40"/>
        <v>9.2675402061088974</v>
      </c>
      <c r="F274" s="149">
        <f t="shared" si="40"/>
        <v>12.0134149228202</v>
      </c>
      <c r="G274" s="149">
        <f t="shared" ca="1" si="40"/>
        <v>11.405888684200351</v>
      </c>
      <c r="H274" s="149">
        <f t="shared" ca="1" si="40"/>
        <v>13.036966129358772</v>
      </c>
      <c r="I274" s="149">
        <f t="shared" ca="1" si="40"/>
        <v>14.594524724168483</v>
      </c>
      <c r="J274" s="149">
        <f t="shared" ca="1" si="40"/>
        <v>16.2902064056886</v>
      </c>
      <c r="K274" s="149">
        <f t="shared" ca="1" si="40"/>
        <v>18.206872802409094</v>
      </c>
      <c r="M274" s="277"/>
      <c r="O274" t="s">
        <v>209</v>
      </c>
    </row>
    <row r="275" spans="3:15" ht="15" customHeight="1">
      <c r="D275" s="39"/>
      <c r="E275" s="39"/>
      <c r="F275" s="39"/>
      <c r="G275" s="42"/>
    </row>
    <row r="276" spans="3:15" ht="15" customHeight="1">
      <c r="C276" t="s">
        <v>210</v>
      </c>
      <c r="D276" s="26">
        <v>5500.2809999999999</v>
      </c>
      <c r="E276" s="26">
        <v>5251.692</v>
      </c>
      <c r="F276" s="26">
        <v>5000.1090000000004</v>
      </c>
      <c r="G276" s="61">
        <f ca="1">(F276-F273)+G273</f>
        <v>4622.5010892979917</v>
      </c>
      <c r="H276" s="61">
        <f ca="1">(G276-G273)+H273</f>
        <v>4295.3494593304949</v>
      </c>
      <c r="I276" s="61">
        <f ca="1">(H276-H273)+I273</f>
        <v>4011.9703826369164</v>
      </c>
      <c r="J276" s="61">
        <f ca="1">(I276-I273)+J273</f>
        <v>3766.6687154432743</v>
      </c>
      <c r="K276" s="61">
        <f ca="1">(J276-J273)+K273</f>
        <v>3554.4925693271716</v>
      </c>
      <c r="M276" s="42"/>
      <c r="O276" t="s">
        <v>211</v>
      </c>
    </row>
    <row r="277" spans="3:15" ht="15" customHeight="1">
      <c r="C277" s="27" t="s">
        <v>212</v>
      </c>
      <c r="D277" s="149">
        <f t="shared" ref="D277:K277" si="41">D272/D276</f>
        <v>8.3063028961611227</v>
      </c>
      <c r="E277" s="149">
        <f t="shared" si="41"/>
        <v>9.2067470826545037</v>
      </c>
      <c r="F277" s="149">
        <f t="shared" si="41"/>
        <v>11.905940450498179</v>
      </c>
      <c r="G277" s="149">
        <f t="shared" ca="1" si="41"/>
        <v>11.295513758858984</v>
      </c>
      <c r="H277" s="149">
        <f t="shared" ca="1" si="41"/>
        <v>12.901198463789282</v>
      </c>
      <c r="I277" s="149">
        <f t="shared" ca="1" si="41"/>
        <v>14.431801120129208</v>
      </c>
      <c r="J277" s="149">
        <f t="shared" ca="1" si="41"/>
        <v>16.096748056152411</v>
      </c>
      <c r="K277" s="149">
        <f t="shared" ca="1" si="41"/>
        <v>17.977745910648135</v>
      </c>
      <c r="M277" s="277"/>
      <c r="O277" t="s">
        <v>213</v>
      </c>
    </row>
    <row r="278" spans="3:15" ht="15" customHeight="1">
      <c r="G278" s="151"/>
    </row>
    <row r="279" spans="3:15" ht="15" customHeight="1">
      <c r="C279" t="s">
        <v>214</v>
      </c>
      <c r="G279" s="61">
        <f>-(G183)</f>
        <v>73056</v>
      </c>
      <c r="H279" s="61">
        <f>-(H183)</f>
        <v>73056</v>
      </c>
      <c r="I279" s="61">
        <f>-(I183)</f>
        <v>73056</v>
      </c>
      <c r="J279" s="61">
        <f>-(J183)</f>
        <v>73056</v>
      </c>
      <c r="K279" s="61">
        <f>-(K183)</f>
        <v>73056</v>
      </c>
      <c r="M279" s="42"/>
      <c r="O279" t="s">
        <v>215</v>
      </c>
    </row>
    <row r="280" spans="3:15" ht="15" customHeight="1">
      <c r="C280" t="s">
        <v>216</v>
      </c>
      <c r="G280" s="61">
        <f ca="1">-(G33)</f>
        <v>-5086.5760736384345</v>
      </c>
      <c r="H280" s="61">
        <f ca="1">-(H33)</f>
        <v>-5335.6125967281014</v>
      </c>
      <c r="I280" s="61">
        <f ca="1">-(I33)</f>
        <v>-5597.6107930936605</v>
      </c>
      <c r="J280" s="61">
        <f ca="1">-(J33)</f>
        <v>-5902.8288432365589</v>
      </c>
      <c r="K280" s="61">
        <f ca="1">-(K33)</f>
        <v>-6258.4669815641573</v>
      </c>
      <c r="M280" s="42"/>
      <c r="O280" t="s">
        <v>217</v>
      </c>
    </row>
    <row r="281" spans="3:15" ht="15" customHeight="1">
      <c r="C281" t="s">
        <v>218</v>
      </c>
      <c r="G281" s="152">
        <v>180</v>
      </c>
      <c r="H281" s="157">
        <f>G281*(1+H282)</f>
        <v>206.99999999999997</v>
      </c>
      <c r="I281" s="157">
        <f>H281*(1+I282)</f>
        <v>238.04999999999995</v>
      </c>
      <c r="J281" s="157">
        <f>I281*(1+J282)</f>
        <v>273.75749999999994</v>
      </c>
      <c r="K281" s="157">
        <f>J281*(1+K282)</f>
        <v>314.82112499999988</v>
      </c>
      <c r="M281" s="151"/>
      <c r="O281" t="s">
        <v>219</v>
      </c>
    </row>
    <row r="282" spans="3:15" ht="15" customHeight="1">
      <c r="C282" t="s">
        <v>220</v>
      </c>
      <c r="H282" s="116">
        <v>0.15</v>
      </c>
      <c r="I282" s="116">
        <v>0.15</v>
      </c>
      <c r="J282" s="116">
        <v>0.15</v>
      </c>
      <c r="K282" s="116">
        <v>0.15</v>
      </c>
      <c r="M282" s="116"/>
      <c r="O282" t="s">
        <v>150</v>
      </c>
    </row>
    <row r="286" spans="3:15" ht="15" customHeight="1">
      <c r="D286" s="42"/>
      <c r="E286" s="42"/>
      <c r="F286" s="42"/>
    </row>
    <row r="287" spans="3:15" ht="15" customHeight="1">
      <c r="F287" s="42"/>
    </row>
  </sheetData>
  <mergeCells count="6">
    <mergeCell ref="E228:I228"/>
    <mergeCell ref="E98:F98"/>
    <mergeCell ref="G98:K98"/>
    <mergeCell ref="E110:F110"/>
    <mergeCell ref="G110:K110"/>
    <mergeCell ref="G142:K142"/>
  </mergeCells>
  <conditionalFormatting sqref="C40">
    <cfRule type="expression" dxfId="6" priority="4">
      <formula>#REF!=$C40</formula>
    </cfRule>
  </conditionalFormatting>
  <conditionalFormatting sqref="C245">
    <cfRule type="expression" dxfId="5" priority="2">
      <formula>#REF!=$C245</formula>
    </cfRule>
  </conditionalFormatting>
  <conditionalFormatting sqref="C263">
    <cfRule type="expression" dxfId="4" priority="3">
      <formula>#REF!=$C263</formula>
    </cfRule>
  </conditionalFormatting>
  <dataValidations count="5">
    <dataValidation type="list" allowBlank="1" showInputMessage="1" showErrorMessage="1" sqref="C3" xr:uid="{00000000-0002-0000-1000-000000000000}">
      <formula1>"$ bns except per share,$ mm except per share,$ in thousands except per share"</formula1>
      <formula2>0</formula2>
    </dataValidation>
    <dataValidation type="list" allowBlank="1" showInputMessage="1" showErrorMessage="1" sqref="D12" xr:uid="{00000000-0002-0000-1000-000001000000}">
      <formula1>$C$248:$C$250</formula1>
      <formula2>0</formula2>
    </dataValidation>
    <dataValidation type="list" allowBlank="1" showInputMessage="1" showErrorMessage="1" sqref="D7" xr:uid="{00000000-0002-0000-1000-000002000000}">
      <formula1>"0,1"</formula1>
      <formula2>0</formula2>
    </dataValidation>
    <dataValidation type="list" allowBlank="1" showInputMessage="1" showErrorMessage="1" sqref="G105 G115" xr:uid="{00000000-0002-0000-1000-000003000000}">
      <formula1>"1,2"</formula1>
      <formula2>0</formula2>
    </dataValidation>
    <dataValidation type="list" allowBlank="1" showInputMessage="1" showErrorMessage="1" sqref="E161" xr:uid="{00000000-0002-0000-1000-000004000000}">
      <formula1>"1,.5"</formula1>
      <formula2>0</formula2>
    </dataValidation>
  </dataValidations>
  <pageMargins left="0.7" right="0.7" top="0.75" bottom="0.75" header="0.511811023622047" footer="0.511811023622047"/>
  <pageSetup orientation="portrait" horizontalDpi="300" verticalDpi="300"/>
  <legacy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C1:U180"/>
  <sheetViews>
    <sheetView zoomScaleNormal="100" workbookViewId="0">
      <selection activeCell="P26" sqref="P26"/>
    </sheetView>
  </sheetViews>
  <sheetFormatPr baseColWidth="10" defaultColWidth="8.83203125" defaultRowHeight="15"/>
  <cols>
    <col min="1" max="2" width="1.6640625" customWidth="1"/>
    <col min="3" max="3" width="46.6640625" customWidth="1"/>
    <col min="4" max="11" width="11.5" customWidth="1"/>
    <col min="12" max="12" width="9.5" customWidth="1"/>
    <col min="13" max="13" width="1.6640625" customWidth="1"/>
    <col min="14" max="14" width="11.83203125" customWidth="1"/>
    <col min="15" max="17" width="10.33203125" customWidth="1"/>
    <col min="18" max="19" width="9.5" customWidth="1"/>
  </cols>
  <sheetData>
    <row r="1" spans="3:20" ht="15.75" customHeight="1"/>
    <row r="2" spans="3:20" ht="15.75" customHeight="1">
      <c r="C2" s="4" t="str">
        <f>"Financial Statement Model for "&amp;D5</f>
        <v>Financial Statement Model for Apple</v>
      </c>
      <c r="D2" s="5"/>
      <c r="E2" s="5"/>
      <c r="F2" s="5"/>
      <c r="G2" s="5"/>
      <c r="H2" s="5"/>
      <c r="I2" s="5"/>
      <c r="J2" s="5"/>
      <c r="K2" s="5"/>
    </row>
    <row r="3" spans="3:20" ht="15" customHeight="1">
      <c r="C3" s="6" t="s">
        <v>0</v>
      </c>
      <c r="D3" s="7"/>
      <c r="E3" s="7"/>
      <c r="F3" s="7"/>
      <c r="G3" s="7"/>
      <c r="H3" s="7"/>
    </row>
    <row r="5" spans="3:20" ht="15" customHeight="1">
      <c r="C5" s="8" t="s">
        <v>1</v>
      </c>
      <c r="D5" s="9" t="s">
        <v>2</v>
      </c>
    </row>
    <row r="6" spans="3:20" ht="15" customHeight="1">
      <c r="C6" s="8" t="s">
        <v>3</v>
      </c>
      <c r="D6" s="9" t="s">
        <v>4</v>
      </c>
    </row>
    <row r="7" spans="3:20" ht="15" customHeight="1">
      <c r="C7" t="s">
        <v>5</v>
      </c>
      <c r="D7" s="10">
        <v>0</v>
      </c>
    </row>
    <row r="8" spans="3:20" ht="15" customHeight="1">
      <c r="C8" t="s">
        <v>6</v>
      </c>
      <c r="D8" s="11">
        <v>293.64999999999998</v>
      </c>
    </row>
    <row r="9" spans="3:20" ht="15" customHeight="1">
      <c r="C9" t="s">
        <v>7</v>
      </c>
      <c r="D9" s="12">
        <v>43830</v>
      </c>
    </row>
    <row r="10" spans="3:20" ht="15" customHeight="1">
      <c r="C10" s="8" t="s">
        <v>8</v>
      </c>
      <c r="D10" s="13">
        <v>43737</v>
      </c>
    </row>
    <row r="11" spans="3:20" ht="15" customHeight="1">
      <c r="C11" t="s">
        <v>9</v>
      </c>
      <c r="D11" s="54">
        <v>4745.3980000000001</v>
      </c>
    </row>
    <row r="13" spans="3:20" ht="15" customHeight="1">
      <c r="C13" s="16" t="s">
        <v>10</v>
      </c>
      <c r="D13" s="17"/>
      <c r="E13" s="17"/>
      <c r="F13" s="17"/>
      <c r="G13" s="17"/>
      <c r="H13" s="17"/>
      <c r="I13" s="17"/>
      <c r="J13" s="17"/>
      <c r="K13" s="17"/>
      <c r="L13" s="17"/>
    </row>
    <row r="14" spans="3:20" ht="15" customHeight="1">
      <c r="C14" t="s">
        <v>11</v>
      </c>
      <c r="D14" s="18">
        <f>E14-1</f>
        <v>2016</v>
      </c>
      <c r="E14" s="18">
        <f>F14-1</f>
        <v>2017</v>
      </c>
      <c r="F14" s="18">
        <f>G14-1</f>
        <v>2018</v>
      </c>
      <c r="G14" s="18">
        <f>YEAR(D10)</f>
        <v>2019</v>
      </c>
      <c r="H14" s="55">
        <f>G14+1</f>
        <v>2020</v>
      </c>
      <c r="I14" s="55">
        <f>H14+1</f>
        <v>2021</v>
      </c>
      <c r="J14" s="55">
        <f>I14+1</f>
        <v>2022</v>
      </c>
      <c r="K14" s="55">
        <f>J14+1</f>
        <v>2023</v>
      </c>
      <c r="L14" s="55">
        <f>K14+1</f>
        <v>2024</v>
      </c>
      <c r="M14" s="281"/>
    </row>
    <row r="15" spans="3:20" ht="15" customHeight="1">
      <c r="C15" s="19" t="s">
        <v>12</v>
      </c>
      <c r="D15" s="20">
        <f>EOMONTH(E15,-12)</f>
        <v>43008</v>
      </c>
      <c r="E15" s="20">
        <f>EOMONTH(F15,-12)</f>
        <v>43373</v>
      </c>
      <c r="F15" s="20">
        <v>43737</v>
      </c>
      <c r="G15" s="20">
        <f>D10</f>
        <v>43737</v>
      </c>
      <c r="H15" s="20">
        <f>EOMONTH(G15,12)</f>
        <v>44104</v>
      </c>
      <c r="I15" s="20">
        <f>EOMONTH(H15,12)</f>
        <v>44469</v>
      </c>
      <c r="J15" s="20">
        <f>EOMONTH(I15,12)</f>
        <v>44834</v>
      </c>
      <c r="K15" s="20">
        <f>EOMONTH(J15,12)</f>
        <v>45199</v>
      </c>
      <c r="L15" s="20">
        <f>EOMONTH(K15,12)</f>
        <v>45565</v>
      </c>
      <c r="N15" s="16" t="s">
        <v>66</v>
      </c>
      <c r="O15" s="17"/>
      <c r="P15" s="17"/>
      <c r="Q15" s="17"/>
      <c r="R15" s="17"/>
      <c r="S15" s="17"/>
      <c r="T15" s="17"/>
    </row>
    <row r="16" spans="3:20" ht="15" customHeight="1">
      <c r="C16" s="23"/>
      <c r="D16" s="23"/>
      <c r="E16" s="24"/>
      <c r="F16" s="25"/>
      <c r="G16" s="25"/>
      <c r="H16" s="56"/>
      <c r="I16" s="57"/>
      <c r="J16" s="57"/>
      <c r="K16" s="25"/>
      <c r="L16" s="25"/>
    </row>
    <row r="17" spans="3:15" ht="15" customHeight="1">
      <c r="C17" t="s">
        <v>13</v>
      </c>
      <c r="D17" s="39">
        <v>215639</v>
      </c>
      <c r="E17" s="39">
        <v>229234</v>
      </c>
      <c r="F17" s="39">
        <v>265595</v>
      </c>
      <c r="G17" s="39">
        <v>260174</v>
      </c>
      <c r="H17" s="44">
        <f>G17*(1+H36)</f>
        <v>275784.44</v>
      </c>
      <c r="I17" s="44">
        <f>H17*(1+I36)</f>
        <v>294813.56636</v>
      </c>
      <c r="J17" s="44">
        <f>I17*(1+J36)</f>
        <v>315155.70243884</v>
      </c>
      <c r="K17" s="44">
        <f>J17*(1+K36)</f>
        <v>336901.44590711995</v>
      </c>
      <c r="L17" s="44">
        <f>K17*(1+L36)</f>
        <v>360147.64567471121</v>
      </c>
      <c r="N17" t="s">
        <v>67</v>
      </c>
    </row>
    <row r="18" spans="3:15" ht="15" customHeight="1">
      <c r="C18" t="s">
        <v>14</v>
      </c>
      <c r="D18" s="39">
        <v>-131376</v>
      </c>
      <c r="E18" s="39">
        <v>-141048</v>
      </c>
      <c r="F18" s="39">
        <v>-163756</v>
      </c>
      <c r="G18" s="39"/>
      <c r="H18" s="44">
        <f>H19-H17</f>
        <v>0</v>
      </c>
      <c r="I18" s="44">
        <f>I19-I17</f>
        <v>0</v>
      </c>
      <c r="J18" s="44">
        <f>J19-J17</f>
        <v>0</v>
      </c>
      <c r="K18" s="44">
        <f>K19-K17</f>
        <v>0</v>
      </c>
      <c r="L18" s="44">
        <f>L19-L17</f>
        <v>0</v>
      </c>
      <c r="N18" t="s">
        <v>68</v>
      </c>
    </row>
    <row r="19" spans="3:15" ht="15" customHeight="1">
      <c r="C19" s="27" t="s">
        <v>15</v>
      </c>
      <c r="D19" s="41">
        <f>SUM(D17:D18)</f>
        <v>84263</v>
      </c>
      <c r="E19" s="41">
        <f>SUM(E17:E18)</f>
        <v>88186</v>
      </c>
      <c r="F19" s="41">
        <f>SUM(F17:F18)</f>
        <v>101839</v>
      </c>
      <c r="G19" s="41">
        <f>SUM(G17:G18)</f>
        <v>260174</v>
      </c>
      <c r="H19" s="41">
        <f>H17*H37</f>
        <v>275784.44</v>
      </c>
      <c r="I19" s="41">
        <f>I17*I37</f>
        <v>294813.56636</v>
      </c>
      <c r="J19" s="41">
        <f>J17*J37</f>
        <v>315155.70243884</v>
      </c>
      <c r="K19" s="41">
        <f>K17*K37</f>
        <v>336901.44590711995</v>
      </c>
      <c r="L19" s="41">
        <f>L17*L37</f>
        <v>360147.64567471121</v>
      </c>
      <c r="N19" t="s">
        <v>69</v>
      </c>
    </row>
    <row r="20" spans="3:15" ht="15" customHeight="1">
      <c r="C20" t="s">
        <v>16</v>
      </c>
      <c r="D20" s="39">
        <v>-10045</v>
      </c>
      <c r="E20" s="39">
        <v>-11581</v>
      </c>
      <c r="F20" s="39">
        <v>-14236</v>
      </c>
      <c r="G20" s="39"/>
      <c r="H20" s="44">
        <f>-H38*H17</f>
        <v>0</v>
      </c>
      <c r="I20" s="44">
        <f>-I38*I17</f>
        <v>0</v>
      </c>
      <c r="J20" s="44">
        <f>-J38*J17</f>
        <v>0</v>
      </c>
      <c r="K20" s="44">
        <f>-K38*K17</f>
        <v>0</v>
      </c>
      <c r="L20" s="44">
        <f>-L38*L17</f>
        <v>0</v>
      </c>
      <c r="N20" t="s">
        <v>70</v>
      </c>
    </row>
    <row r="21" spans="3:15" ht="15" customHeight="1">
      <c r="C21" t="s">
        <v>17</v>
      </c>
      <c r="D21" s="39">
        <v>-14194</v>
      </c>
      <c r="E21" s="39">
        <v>-15261</v>
      </c>
      <c r="F21" s="39">
        <v>-16705</v>
      </c>
      <c r="G21" s="39"/>
      <c r="H21" s="44">
        <f>-H17*H39</f>
        <v>0</v>
      </c>
      <c r="I21" s="44">
        <f>-I17*I39</f>
        <v>0</v>
      </c>
      <c r="J21" s="44">
        <f>-J17*J39</f>
        <v>0</v>
      </c>
      <c r="K21" s="44">
        <f>-K17*K39</f>
        <v>0</v>
      </c>
      <c r="L21" s="44">
        <f>-L17*L39</f>
        <v>0</v>
      </c>
      <c r="N21" t="s">
        <v>71</v>
      </c>
    </row>
    <row r="22" spans="3:15" ht="15" customHeight="1">
      <c r="C22" s="27" t="s">
        <v>18</v>
      </c>
      <c r="D22" s="41">
        <f t="shared" ref="D22:L22" si="0">D19+D20+D21</f>
        <v>60024</v>
      </c>
      <c r="E22" s="41">
        <f t="shared" si="0"/>
        <v>61344</v>
      </c>
      <c r="F22" s="41">
        <f t="shared" si="0"/>
        <v>70898</v>
      </c>
      <c r="G22" s="41">
        <f t="shared" si="0"/>
        <v>260174</v>
      </c>
      <c r="H22" s="41">
        <f t="shared" si="0"/>
        <v>275784.44</v>
      </c>
      <c r="I22" s="41">
        <f t="shared" si="0"/>
        <v>294813.56636</v>
      </c>
      <c r="J22" s="41">
        <f t="shared" si="0"/>
        <v>315155.70243884</v>
      </c>
      <c r="K22" s="41">
        <f t="shared" si="0"/>
        <v>336901.44590711995</v>
      </c>
      <c r="L22" s="41">
        <f t="shared" si="0"/>
        <v>360147.64567471121</v>
      </c>
      <c r="N22" s="27" t="s">
        <v>72</v>
      </c>
    </row>
    <row r="23" spans="3:15" ht="15" customHeight="1">
      <c r="C23" t="s">
        <v>19</v>
      </c>
      <c r="D23" s="39">
        <v>3999</v>
      </c>
      <c r="E23" s="39">
        <v>5201</v>
      </c>
      <c r="F23" s="39">
        <v>5686</v>
      </c>
      <c r="G23" s="39"/>
      <c r="H23" s="42">
        <f>H156</f>
        <v>0</v>
      </c>
      <c r="I23" s="42">
        <f>I156</f>
        <v>0</v>
      </c>
      <c r="J23" s="42">
        <f>J156</f>
        <v>0</v>
      </c>
      <c r="K23" s="42">
        <f>K156</f>
        <v>0</v>
      </c>
      <c r="L23" s="42">
        <f>L156</f>
        <v>0</v>
      </c>
      <c r="N23" t="s">
        <v>73</v>
      </c>
    </row>
    <row r="24" spans="3:15" ht="15" customHeight="1">
      <c r="C24" t="s">
        <v>20</v>
      </c>
      <c r="D24" s="39">
        <v>-1456</v>
      </c>
      <c r="E24" s="39">
        <v>-2323</v>
      </c>
      <c r="F24" s="39">
        <v>-3240</v>
      </c>
      <c r="G24" s="39"/>
      <c r="H24" s="42">
        <f>-H142</f>
        <v>0</v>
      </c>
      <c r="I24" s="42">
        <f>-I142</f>
        <v>0</v>
      </c>
      <c r="J24" s="42">
        <f>-J142</f>
        <v>0</v>
      </c>
      <c r="K24" s="42">
        <f>-K142</f>
        <v>0</v>
      </c>
      <c r="L24" s="42">
        <f>-L142</f>
        <v>0</v>
      </c>
      <c r="N24" t="s">
        <v>74</v>
      </c>
    </row>
    <row r="25" spans="3:15" ht="15" customHeight="1">
      <c r="C25" t="s">
        <v>21</v>
      </c>
      <c r="D25" s="39">
        <v>-1195</v>
      </c>
      <c r="E25" s="39">
        <v>-133</v>
      </c>
      <c r="F25" s="39">
        <v>-441</v>
      </c>
      <c r="G25" s="39"/>
      <c r="H25" s="42">
        <f>G25</f>
        <v>0</v>
      </c>
      <c r="I25" s="42">
        <f>H25</f>
        <v>0</v>
      </c>
      <c r="J25" s="42">
        <f>I25</f>
        <v>0</v>
      </c>
      <c r="K25" s="42">
        <f>J25</f>
        <v>0</v>
      </c>
      <c r="L25" s="42">
        <f>K25</f>
        <v>0</v>
      </c>
      <c r="N25" t="s">
        <v>75</v>
      </c>
    </row>
    <row r="26" spans="3:15" ht="15" customHeight="1">
      <c r="C26" s="27" t="s">
        <v>22</v>
      </c>
      <c r="D26" s="41">
        <f t="shared" ref="D26:L26" si="1">SUM(D22:D25)</f>
        <v>61372</v>
      </c>
      <c r="E26" s="41">
        <f t="shared" si="1"/>
        <v>64089</v>
      </c>
      <c r="F26" s="41">
        <f t="shared" si="1"/>
        <v>72903</v>
      </c>
      <c r="G26" s="41">
        <f t="shared" si="1"/>
        <v>260174</v>
      </c>
      <c r="H26" s="41">
        <f t="shared" si="1"/>
        <v>275784.44</v>
      </c>
      <c r="I26" s="41">
        <f t="shared" si="1"/>
        <v>294813.56636</v>
      </c>
      <c r="J26" s="41">
        <f t="shared" si="1"/>
        <v>315155.70243884</v>
      </c>
      <c r="K26" s="41">
        <f t="shared" si="1"/>
        <v>336901.44590711995</v>
      </c>
      <c r="L26" s="41">
        <f t="shared" si="1"/>
        <v>360147.64567471121</v>
      </c>
      <c r="N26" s="27" t="s">
        <v>76</v>
      </c>
      <c r="O26" s="27"/>
    </row>
    <row r="27" spans="3:15" ht="15" customHeight="1">
      <c r="C27" t="s">
        <v>23</v>
      </c>
      <c r="D27" s="39">
        <v>-15685</v>
      </c>
      <c r="E27" s="39">
        <v>-15738</v>
      </c>
      <c r="F27" s="39">
        <v>-13372</v>
      </c>
      <c r="G27" s="39"/>
      <c r="H27" s="44">
        <f>-H40*H26</f>
        <v>0</v>
      </c>
      <c r="I27" s="44">
        <f>-I40*I26</f>
        <v>0</v>
      </c>
      <c r="J27" s="44">
        <f>-J40*J26</f>
        <v>0</v>
      </c>
      <c r="K27" s="44">
        <f>-K40*K26</f>
        <v>0</v>
      </c>
      <c r="L27" s="44">
        <f>-L40*L26</f>
        <v>0</v>
      </c>
      <c r="N27" t="s">
        <v>77</v>
      </c>
    </row>
    <row r="28" spans="3:15" ht="15" customHeight="1">
      <c r="C28" s="27" t="s">
        <v>24</v>
      </c>
      <c r="D28" s="41">
        <f t="shared" ref="D28:L28" si="2">SUM(D26:D27)</f>
        <v>45687</v>
      </c>
      <c r="E28" s="41">
        <f t="shared" si="2"/>
        <v>48351</v>
      </c>
      <c r="F28" s="41">
        <f t="shared" si="2"/>
        <v>59531</v>
      </c>
      <c r="G28" s="41">
        <f t="shared" si="2"/>
        <v>260174</v>
      </c>
      <c r="H28" s="41">
        <f t="shared" si="2"/>
        <v>275784.44</v>
      </c>
      <c r="I28" s="41">
        <f t="shared" si="2"/>
        <v>294813.56636</v>
      </c>
      <c r="J28" s="41">
        <f t="shared" si="2"/>
        <v>315155.70243884</v>
      </c>
      <c r="K28" s="41">
        <f t="shared" si="2"/>
        <v>336901.44590711995</v>
      </c>
      <c r="L28" s="41">
        <f t="shared" si="2"/>
        <v>360147.64567471121</v>
      </c>
      <c r="N28" s="27" t="s">
        <v>78</v>
      </c>
    </row>
    <row r="29" spans="3:15" ht="15" customHeight="1">
      <c r="C29" s="29"/>
      <c r="D29" s="42"/>
      <c r="E29" s="42"/>
      <c r="F29" s="42"/>
      <c r="G29" s="42"/>
      <c r="H29" s="42"/>
      <c r="I29" s="42"/>
      <c r="J29" s="42"/>
      <c r="K29" s="42"/>
      <c r="L29" s="42"/>
    </row>
    <row r="30" spans="3:15" ht="15" customHeight="1">
      <c r="C30" s="30" t="s">
        <v>25</v>
      </c>
      <c r="D30" s="39">
        <v>10505</v>
      </c>
      <c r="E30" s="39">
        <v>10157</v>
      </c>
      <c r="F30" s="39">
        <v>10903</v>
      </c>
      <c r="G30" s="39"/>
      <c r="H30" s="42">
        <f>H106</f>
        <v>-311.85982873882676</v>
      </c>
      <c r="I30" s="42">
        <f>I106</f>
        <v>-457.52405513407757</v>
      </c>
      <c r="J30" s="42">
        <f>J106</f>
        <v>-782.72389007691709</v>
      </c>
      <c r="K30" s="42">
        <f>K106</f>
        <v>-541.28161849222488</v>
      </c>
      <c r="L30" s="42">
        <f>L106</f>
        <v>-262.79376498818783</v>
      </c>
      <c r="N30" t="s">
        <v>79</v>
      </c>
    </row>
    <row r="31" spans="3:15" ht="15" customHeight="1">
      <c r="C31" s="31" t="s">
        <v>26</v>
      </c>
      <c r="D31" s="41">
        <f t="shared" ref="D31:L31" si="3">D22+D30</f>
        <v>70529</v>
      </c>
      <c r="E31" s="41">
        <f t="shared" si="3"/>
        <v>71501</v>
      </c>
      <c r="F31" s="41">
        <f t="shared" si="3"/>
        <v>81801</v>
      </c>
      <c r="G31" s="41">
        <f t="shared" si="3"/>
        <v>260174</v>
      </c>
      <c r="H31" s="41">
        <f t="shared" si="3"/>
        <v>275472.58017126116</v>
      </c>
      <c r="I31" s="41">
        <f t="shared" si="3"/>
        <v>294356.0423048659</v>
      </c>
      <c r="J31" s="41">
        <f t="shared" si="3"/>
        <v>314372.97854876309</v>
      </c>
      <c r="K31" s="41">
        <f t="shared" si="3"/>
        <v>336360.16428862774</v>
      </c>
      <c r="L31" s="41">
        <f t="shared" si="3"/>
        <v>359884.85190972302</v>
      </c>
      <c r="N31" s="27" t="s">
        <v>80</v>
      </c>
    </row>
    <row r="32" spans="3:15" ht="15" customHeight="1">
      <c r="C32" s="30" t="s">
        <v>27</v>
      </c>
      <c r="D32" s="39">
        <v>4210</v>
      </c>
      <c r="E32" s="39">
        <v>4840</v>
      </c>
      <c r="F32" s="39">
        <v>5340</v>
      </c>
      <c r="G32" s="39"/>
      <c r="H32" s="42">
        <f>G32*(1+H36)</f>
        <v>0</v>
      </c>
      <c r="I32" s="42">
        <f>H32*(1+I36)</f>
        <v>0</v>
      </c>
      <c r="J32" s="42">
        <f>I32*(1+J36)</f>
        <v>0</v>
      </c>
      <c r="K32" s="42">
        <f>J32*(1+K36)</f>
        <v>0</v>
      </c>
      <c r="L32" s="42">
        <f>K32*(1+L36)</f>
        <v>0</v>
      </c>
      <c r="N32" t="s">
        <v>81</v>
      </c>
    </row>
    <row r="33" spans="3:21" ht="15" customHeight="1">
      <c r="C33" s="31" t="s">
        <v>28</v>
      </c>
      <c r="D33" s="41">
        <f t="shared" ref="D33:L33" si="4">SUM(D31:D32)</f>
        <v>74739</v>
      </c>
      <c r="E33" s="41">
        <f t="shared" si="4"/>
        <v>76341</v>
      </c>
      <c r="F33" s="41">
        <f t="shared" si="4"/>
        <v>87141</v>
      </c>
      <c r="G33" s="41">
        <f t="shared" si="4"/>
        <v>260174</v>
      </c>
      <c r="H33" s="41">
        <f t="shared" si="4"/>
        <v>275472.58017126116</v>
      </c>
      <c r="I33" s="41">
        <f t="shared" si="4"/>
        <v>294356.0423048659</v>
      </c>
      <c r="J33" s="41">
        <f t="shared" si="4"/>
        <v>314372.97854876309</v>
      </c>
      <c r="K33" s="41">
        <f t="shared" si="4"/>
        <v>336360.16428862774</v>
      </c>
      <c r="L33" s="41">
        <f t="shared" si="4"/>
        <v>359884.85190972302</v>
      </c>
      <c r="N33" s="27" t="s">
        <v>82</v>
      </c>
    </row>
    <row r="34" spans="3:21" ht="15" customHeight="1">
      <c r="C34" s="29"/>
      <c r="D34" s="29"/>
      <c r="H34" s="62"/>
    </row>
    <row r="35" spans="3:21" ht="15" customHeight="1">
      <c r="C35" s="32" t="s">
        <v>83</v>
      </c>
      <c r="D35" s="32"/>
    </row>
    <row r="36" spans="3:21" ht="15" customHeight="1">
      <c r="C36" s="29" t="s">
        <v>30</v>
      </c>
      <c r="D36" s="63"/>
      <c r="E36" s="63">
        <f>E17/D17-1</f>
        <v>6.304518199398057E-2</v>
      </c>
      <c r="F36" s="63">
        <f>F17/E17-1</f>
        <v>0.15861957650261305</v>
      </c>
      <c r="G36" s="63">
        <f>G17/F17-1</f>
        <v>-2.04107758052674E-2</v>
      </c>
      <c r="H36" s="35">
        <v>0.06</v>
      </c>
      <c r="I36" s="35">
        <v>6.9000000000000006E-2</v>
      </c>
      <c r="J36" s="63">
        <f t="shared" ref="J36:L40" si="5">I36</f>
        <v>6.9000000000000006E-2</v>
      </c>
      <c r="K36" s="63">
        <f t="shared" si="5"/>
        <v>6.9000000000000006E-2</v>
      </c>
      <c r="L36" s="63">
        <f t="shared" si="5"/>
        <v>6.9000000000000006E-2</v>
      </c>
      <c r="N36" t="s">
        <v>84</v>
      </c>
      <c r="P36" s="35"/>
      <c r="Q36" s="35"/>
      <c r="R36" s="35"/>
      <c r="S36" s="35"/>
      <c r="T36" s="35"/>
      <c r="U36" s="35"/>
    </row>
    <row r="37" spans="3:21" ht="15" customHeight="1">
      <c r="C37" s="29" t="s">
        <v>31</v>
      </c>
      <c r="D37" s="63">
        <f>D19/D17</f>
        <v>0.39075955648097049</v>
      </c>
      <c r="E37" s="63">
        <f>E19/E17</f>
        <v>0.38469860491899105</v>
      </c>
      <c r="F37" s="63">
        <f>F19/F17</f>
        <v>0.38343718820007905</v>
      </c>
      <c r="G37" s="63">
        <f>G19/G17</f>
        <v>1</v>
      </c>
      <c r="H37" s="35">
        <f t="shared" ref="H37:I40" si="6">G37</f>
        <v>1</v>
      </c>
      <c r="I37" s="35">
        <f t="shared" si="6"/>
        <v>1</v>
      </c>
      <c r="J37" s="35">
        <f t="shared" si="5"/>
        <v>1</v>
      </c>
      <c r="K37" s="63">
        <f t="shared" si="5"/>
        <v>1</v>
      </c>
      <c r="L37" s="63">
        <f t="shared" si="5"/>
        <v>1</v>
      </c>
      <c r="N37" t="s">
        <v>85</v>
      </c>
      <c r="P37" s="35"/>
      <c r="Q37" s="35"/>
      <c r="R37" s="35"/>
      <c r="S37" s="35"/>
      <c r="T37" s="35"/>
      <c r="U37" s="35"/>
    </row>
    <row r="38" spans="3:21" ht="15" customHeight="1">
      <c r="C38" s="29" t="s">
        <v>32</v>
      </c>
      <c r="D38" s="63">
        <f>-D20/D17</f>
        <v>4.6582482760539605E-2</v>
      </c>
      <c r="E38" s="63">
        <f>-E20/E17</f>
        <v>5.0520428906706681E-2</v>
      </c>
      <c r="F38" s="63">
        <f>-F20/F17</f>
        <v>5.3600406634161032E-2</v>
      </c>
      <c r="G38" s="63">
        <f>-G20/G17</f>
        <v>0</v>
      </c>
      <c r="H38" s="35">
        <f t="shared" si="6"/>
        <v>0</v>
      </c>
      <c r="I38" s="35">
        <f t="shared" si="6"/>
        <v>0</v>
      </c>
      <c r="J38" s="35">
        <f t="shared" si="5"/>
        <v>0</v>
      </c>
      <c r="K38" s="63">
        <f t="shared" si="5"/>
        <v>0</v>
      </c>
      <c r="L38" s="63">
        <f t="shared" si="5"/>
        <v>0</v>
      </c>
      <c r="N38" t="s">
        <v>86</v>
      </c>
      <c r="P38" s="35"/>
      <c r="Q38" s="35"/>
      <c r="R38" s="35"/>
      <c r="S38" s="35"/>
      <c r="T38" s="35"/>
      <c r="U38" s="35"/>
    </row>
    <row r="39" spans="3:21" ht="15" customHeight="1">
      <c r="C39" s="29" t="s">
        <v>33</v>
      </c>
      <c r="D39" s="63">
        <f>-D21/D17</f>
        <v>6.5822972653369755E-2</v>
      </c>
      <c r="E39" s="63">
        <f>-E21/E17</f>
        <v>6.6573893924984945E-2</v>
      </c>
      <c r="F39" s="63">
        <f>-F21/F17</f>
        <v>6.2896515371147807E-2</v>
      </c>
      <c r="G39" s="63">
        <f>-G21/G17</f>
        <v>0</v>
      </c>
      <c r="H39" s="35">
        <f t="shared" si="6"/>
        <v>0</v>
      </c>
      <c r="I39" s="35">
        <f t="shared" si="6"/>
        <v>0</v>
      </c>
      <c r="J39" s="35">
        <f t="shared" si="5"/>
        <v>0</v>
      </c>
      <c r="K39" s="63">
        <f t="shared" si="5"/>
        <v>0</v>
      </c>
      <c r="L39" s="63">
        <f t="shared" si="5"/>
        <v>0</v>
      </c>
      <c r="N39" t="s">
        <v>86</v>
      </c>
      <c r="P39" s="35"/>
      <c r="Q39" s="35"/>
      <c r="R39" s="35"/>
      <c r="S39" s="35"/>
      <c r="T39" s="35"/>
      <c r="U39" s="35"/>
    </row>
    <row r="40" spans="3:21" ht="15" customHeight="1">
      <c r="C40" s="29" t="s">
        <v>34</v>
      </c>
      <c r="D40" s="63">
        <f>-(D27/D26)</f>
        <v>0.25557257381216192</v>
      </c>
      <c r="E40" s="63">
        <f>-(E27/E26)</f>
        <v>0.24556476150353415</v>
      </c>
      <c r="F40" s="63">
        <f>-(F27/F26)</f>
        <v>0.18342180705869443</v>
      </c>
      <c r="G40" s="63">
        <f>-(G27/G26)</f>
        <v>0</v>
      </c>
      <c r="H40" s="35">
        <f t="shared" si="6"/>
        <v>0</v>
      </c>
      <c r="I40" s="35">
        <f t="shared" si="6"/>
        <v>0</v>
      </c>
      <c r="J40" s="35">
        <f t="shared" si="5"/>
        <v>0</v>
      </c>
      <c r="K40" s="63">
        <f t="shared" si="5"/>
        <v>0</v>
      </c>
      <c r="L40" s="63">
        <f t="shared" si="5"/>
        <v>0</v>
      </c>
      <c r="N40" t="s">
        <v>86</v>
      </c>
      <c r="P40" s="35"/>
      <c r="Q40" s="35"/>
      <c r="R40" s="35"/>
      <c r="S40" s="35"/>
      <c r="T40" s="35"/>
      <c r="U40" s="35"/>
    </row>
    <row r="41" spans="3:21" ht="15" customHeight="1">
      <c r="C41" s="29"/>
      <c r="D41" s="29"/>
      <c r="H41" s="62"/>
    </row>
    <row r="42" spans="3:21" ht="15" customHeight="1">
      <c r="C42" s="16" t="s">
        <v>35</v>
      </c>
      <c r="D42" s="16"/>
      <c r="E42" s="20"/>
      <c r="F42" s="20"/>
      <c r="G42" s="20"/>
      <c r="H42" s="17"/>
      <c r="I42" s="17"/>
      <c r="J42" s="17"/>
      <c r="K42" s="17"/>
      <c r="L42" s="17"/>
    </row>
    <row r="43" spans="3:21" ht="15" customHeight="1">
      <c r="C43" s="36" t="str">
        <f>C14</f>
        <v xml:space="preserve">Fiscal year  </v>
      </c>
      <c r="D43" s="36"/>
      <c r="E43" s="37"/>
      <c r="F43" s="37">
        <f t="shared" ref="F43:L44" si="7">F14</f>
        <v>2018</v>
      </c>
      <c r="G43" s="37">
        <f t="shared" si="7"/>
        <v>2019</v>
      </c>
      <c r="H43" s="65">
        <f t="shared" si="7"/>
        <v>2020</v>
      </c>
      <c r="I43" s="65">
        <f t="shared" si="7"/>
        <v>2021</v>
      </c>
      <c r="J43" s="65">
        <f t="shared" si="7"/>
        <v>2022</v>
      </c>
      <c r="K43" s="65">
        <f t="shared" si="7"/>
        <v>2023</v>
      </c>
      <c r="L43" s="65">
        <f t="shared" si="7"/>
        <v>2024</v>
      </c>
    </row>
    <row r="44" spans="3:21" ht="15" customHeight="1">
      <c r="C44" s="17" t="str">
        <f>C15</f>
        <v>Fiscal year end date</v>
      </c>
      <c r="D44" s="17"/>
      <c r="E44" s="38"/>
      <c r="F44" s="38">
        <f t="shared" si="7"/>
        <v>43737</v>
      </c>
      <c r="G44" s="38">
        <f t="shared" si="7"/>
        <v>43737</v>
      </c>
      <c r="H44" s="38">
        <f t="shared" si="7"/>
        <v>44104</v>
      </c>
      <c r="I44" s="38">
        <f t="shared" si="7"/>
        <v>44469</v>
      </c>
      <c r="J44" s="38">
        <f t="shared" si="7"/>
        <v>44834</v>
      </c>
      <c r="K44" s="38">
        <f t="shared" si="7"/>
        <v>45199</v>
      </c>
      <c r="L44" s="38">
        <f t="shared" si="7"/>
        <v>45565</v>
      </c>
    </row>
    <row r="45" spans="3:21" ht="15" customHeight="1">
      <c r="C45" t="s">
        <v>38</v>
      </c>
      <c r="E45" s="39">
        <f>20289+53892+194714</f>
        <v>268895</v>
      </c>
      <c r="F45" s="39">
        <f>25913+40388+170799</f>
        <v>237100</v>
      </c>
      <c r="G45" s="39"/>
      <c r="H45" s="42" t="e">
        <f>H90+G45</f>
        <v>#DIV/0!</v>
      </c>
      <c r="I45" s="42" t="e">
        <f>I90+H45</f>
        <v>#DIV/0!</v>
      </c>
      <c r="J45" s="42" t="e">
        <f>J90+I45</f>
        <v>#DIV/0!</v>
      </c>
      <c r="K45" s="42" t="e">
        <f>K90+J45</f>
        <v>#DIV/0!</v>
      </c>
      <c r="L45" s="42" t="e">
        <f>L90+K45</f>
        <v>#DIV/0!</v>
      </c>
      <c r="N45" t="s">
        <v>87</v>
      </c>
    </row>
    <row r="46" spans="3:21" ht="15" customHeight="1">
      <c r="C46" t="s">
        <v>39</v>
      </c>
      <c r="E46" s="39">
        <v>17874</v>
      </c>
      <c r="F46" s="39">
        <v>23186</v>
      </c>
      <c r="G46" s="39"/>
      <c r="H46" s="42">
        <f>G46*(1+H36)</f>
        <v>0</v>
      </c>
      <c r="I46" s="42">
        <f>H46*(1+I36)</f>
        <v>0</v>
      </c>
      <c r="J46" s="42">
        <f>I46*(1+J36)</f>
        <v>0</v>
      </c>
      <c r="K46" s="42">
        <f>J46*(1+K36)</f>
        <v>0</v>
      </c>
      <c r="L46" s="42">
        <f>K46*(1+L36)</f>
        <v>0</v>
      </c>
      <c r="N46" t="s">
        <v>88</v>
      </c>
    </row>
    <row r="47" spans="3:21" ht="15" customHeight="1">
      <c r="C47" t="s">
        <v>40</v>
      </c>
      <c r="E47" s="39">
        <v>4855</v>
      </c>
      <c r="F47" s="39">
        <v>3956</v>
      </c>
      <c r="G47" s="39"/>
      <c r="H47" s="42" t="e">
        <f>G47*H18/G18</f>
        <v>#DIV/0!</v>
      </c>
      <c r="I47" s="42" t="e">
        <f>H47*I18/H18</f>
        <v>#DIV/0!</v>
      </c>
      <c r="J47" s="42" t="e">
        <f>I47*J18/I18</f>
        <v>#DIV/0!</v>
      </c>
      <c r="K47" s="42" t="e">
        <f>J47*K18/J18</f>
        <v>#DIV/0!</v>
      </c>
      <c r="L47" s="42" t="e">
        <f>K47*L18/K18</f>
        <v>#DIV/0!</v>
      </c>
      <c r="N47" t="s">
        <v>89</v>
      </c>
    </row>
    <row r="48" spans="3:21" ht="15" customHeight="1">
      <c r="C48" t="s">
        <v>41</v>
      </c>
      <c r="E48" s="39">
        <f>17799+13936</f>
        <v>31735</v>
      </c>
      <c r="F48" s="39">
        <f>25809+12087</f>
        <v>37896</v>
      </c>
      <c r="G48" s="39"/>
      <c r="H48" s="42">
        <f>G48*(1+H36)</f>
        <v>0</v>
      </c>
      <c r="I48" s="42">
        <f>H48*(1+I36)</f>
        <v>0</v>
      </c>
      <c r="J48" s="42">
        <f>I48*(1+J36)</f>
        <v>0</v>
      </c>
      <c r="K48" s="42">
        <f>J48*(1+K36)</f>
        <v>0</v>
      </c>
      <c r="L48" s="42">
        <f>K48*(1+L36)</f>
        <v>0</v>
      </c>
      <c r="N48" t="s">
        <v>88</v>
      </c>
      <c r="O48" s="42"/>
    </row>
    <row r="49" spans="3:15" ht="15" customHeight="1">
      <c r="C49" t="s">
        <v>42</v>
      </c>
      <c r="E49" s="39">
        <v>33783</v>
      </c>
      <c r="F49" s="39">
        <v>41304</v>
      </c>
      <c r="G49" s="39"/>
      <c r="H49" s="42">
        <f>H99</f>
        <v>3738.8598287388268</v>
      </c>
      <c r="I49" s="42">
        <f>I99</f>
        <v>7307.181883872905</v>
      </c>
      <c r="J49" s="42">
        <f>J99</f>
        <v>10643.567835949822</v>
      </c>
      <c r="K49" s="42">
        <f>K99</f>
        <v>13914.714198720043</v>
      </c>
      <c r="L49" s="42">
        <f>L99</f>
        <v>17095.733375341413</v>
      </c>
      <c r="N49" t="s">
        <v>90</v>
      </c>
    </row>
    <row r="50" spans="3:15" ht="15" customHeight="1">
      <c r="C50" t="s">
        <v>43</v>
      </c>
      <c r="E50" s="39">
        <v>18177</v>
      </c>
      <c r="F50" s="39">
        <v>22283</v>
      </c>
      <c r="G50" s="39"/>
      <c r="H50" s="42">
        <f>G50*(1+H36)</f>
        <v>0</v>
      </c>
      <c r="I50" s="42">
        <f>H50*(1+I36)</f>
        <v>0</v>
      </c>
      <c r="J50" s="42">
        <f>I50*(1+J36)</f>
        <v>0</v>
      </c>
      <c r="K50" s="42">
        <f>J50*(1+K36)</f>
        <v>0</v>
      </c>
      <c r="L50" s="42">
        <f>K50*(1+L36)</f>
        <v>0</v>
      </c>
      <c r="N50" t="s">
        <v>88</v>
      </c>
    </row>
    <row r="51" spans="3:15" ht="15" customHeight="1">
      <c r="C51" s="31" t="s">
        <v>44</v>
      </c>
      <c r="D51" s="31"/>
      <c r="E51" s="41">
        <f t="shared" ref="E51:L51" si="8">SUM(E45:E50)</f>
        <v>375319</v>
      </c>
      <c r="F51" s="41">
        <f t="shared" si="8"/>
        <v>365725</v>
      </c>
      <c r="G51" s="41">
        <f t="shared" si="8"/>
        <v>0</v>
      </c>
      <c r="H51" s="45" t="e">
        <f t="shared" si="8"/>
        <v>#DIV/0!</v>
      </c>
      <c r="I51" s="45" t="e">
        <f t="shared" si="8"/>
        <v>#DIV/0!</v>
      </c>
      <c r="J51" s="45" t="e">
        <f t="shared" si="8"/>
        <v>#DIV/0!</v>
      </c>
      <c r="K51" s="45" t="e">
        <f t="shared" si="8"/>
        <v>#DIV/0!</v>
      </c>
      <c r="L51" s="45" t="e">
        <f t="shared" si="8"/>
        <v>#DIV/0!</v>
      </c>
    </row>
    <row r="52" spans="3:15" ht="15" customHeight="1">
      <c r="C52" s="30"/>
      <c r="D52" s="30"/>
      <c r="E52" s="42"/>
      <c r="F52" s="42"/>
      <c r="G52" s="42"/>
      <c r="H52" s="42"/>
      <c r="I52" s="42"/>
      <c r="J52" s="42"/>
      <c r="K52" s="42"/>
      <c r="L52" s="42"/>
    </row>
    <row r="53" spans="3:15" ht="15" customHeight="1">
      <c r="C53" s="30" t="s">
        <v>45</v>
      </c>
      <c r="D53" s="30"/>
      <c r="E53" s="39">
        <v>44242</v>
      </c>
      <c r="F53" s="39">
        <v>55888</v>
      </c>
      <c r="G53" s="39"/>
      <c r="H53" s="42" t="e">
        <f>G53*H18/G18</f>
        <v>#DIV/0!</v>
      </c>
      <c r="I53" s="42" t="e">
        <f>H53*I18/H18</f>
        <v>#DIV/0!</v>
      </c>
      <c r="J53" s="42" t="e">
        <f>I53*J18/I18</f>
        <v>#DIV/0!</v>
      </c>
      <c r="K53" s="42" t="e">
        <f>J53*K18/J18</f>
        <v>#DIV/0!</v>
      </c>
      <c r="L53" s="42" t="e">
        <f>K53*L18/K18</f>
        <v>#DIV/0!</v>
      </c>
      <c r="N53" t="s">
        <v>89</v>
      </c>
    </row>
    <row r="54" spans="3:15" ht="15" customHeight="1">
      <c r="C54" s="30" t="s">
        <v>46</v>
      </c>
      <c r="D54" s="30"/>
      <c r="E54" s="39">
        <v>30551</v>
      </c>
      <c r="F54" s="39">
        <v>32687</v>
      </c>
      <c r="G54" s="39"/>
      <c r="H54" s="42">
        <f>G54*(1+H36)</f>
        <v>0</v>
      </c>
      <c r="I54" s="42">
        <f>H54*(1+I36)</f>
        <v>0</v>
      </c>
      <c r="J54" s="42">
        <f>I54*(1+J36)</f>
        <v>0</v>
      </c>
      <c r="K54" s="42">
        <f>J54*(1+K36)</f>
        <v>0</v>
      </c>
      <c r="L54" s="42">
        <f>K54*(1+L36)</f>
        <v>0</v>
      </c>
      <c r="N54" t="s">
        <v>88</v>
      </c>
    </row>
    <row r="55" spans="3:15" ht="15" customHeight="1">
      <c r="C55" s="30" t="s">
        <v>47</v>
      </c>
      <c r="D55" s="30"/>
      <c r="E55" s="39">
        <f>7548+2836</f>
        <v>10384</v>
      </c>
      <c r="F55" s="39">
        <f>7543+2797</f>
        <v>10340</v>
      </c>
      <c r="G55" s="39"/>
      <c r="H55" s="42">
        <f>G55*(1+H36)</f>
        <v>0</v>
      </c>
      <c r="I55" s="42">
        <f>H55*(1+I36)</f>
        <v>0</v>
      </c>
      <c r="J55" s="42">
        <f>I55*(1+J36)</f>
        <v>0</v>
      </c>
      <c r="K55" s="42">
        <f>J55*(1+K36)</f>
        <v>0</v>
      </c>
      <c r="L55" s="42">
        <f>K55*(1+L36)</f>
        <v>0</v>
      </c>
      <c r="N55" t="s">
        <v>88</v>
      </c>
      <c r="O55" s="42"/>
    </row>
    <row r="56" spans="3:15" ht="15" customHeight="1">
      <c r="C56" s="30" t="s">
        <v>48</v>
      </c>
      <c r="D56" s="30"/>
      <c r="E56" s="39">
        <v>11977</v>
      </c>
      <c r="F56" s="39">
        <v>11964</v>
      </c>
      <c r="G56" s="39"/>
      <c r="H56" s="42" t="e">
        <f>H135</f>
        <v>#DIV/0!</v>
      </c>
      <c r="I56" s="42" t="e">
        <f>I135</f>
        <v>#DIV/0!</v>
      </c>
      <c r="J56" s="42" t="e">
        <f>J135</f>
        <v>#DIV/0!</v>
      </c>
      <c r="K56" s="42" t="e">
        <f>K135</f>
        <v>#DIV/0!</v>
      </c>
      <c r="L56" s="42" t="e">
        <f>L135</f>
        <v>#DIV/0!</v>
      </c>
      <c r="N56" t="s">
        <v>91</v>
      </c>
    </row>
    <row r="57" spans="3:15" ht="15" customHeight="1">
      <c r="C57" s="30" t="s">
        <v>92</v>
      </c>
      <c r="D57" s="30"/>
      <c r="E57" s="39">
        <f>6496+97207</f>
        <v>103703</v>
      </c>
      <c r="F57" s="39">
        <f>8784+93735</f>
        <v>102519</v>
      </c>
      <c r="G57" s="39"/>
      <c r="H57" s="42">
        <f>G57</f>
        <v>0</v>
      </c>
      <c r="I57" s="42">
        <f>H57</f>
        <v>0</v>
      </c>
      <c r="J57" s="42">
        <f>I57</f>
        <v>0</v>
      </c>
      <c r="K57" s="42">
        <f>J57</f>
        <v>0</v>
      </c>
      <c r="L57" s="42">
        <f>K57</f>
        <v>0</v>
      </c>
      <c r="N57" t="s">
        <v>93</v>
      </c>
    </row>
    <row r="58" spans="3:15" ht="15.75" customHeight="1">
      <c r="C58" s="30" t="s">
        <v>50</v>
      </c>
      <c r="D58" s="30"/>
      <c r="E58" s="39">
        <v>40415</v>
      </c>
      <c r="F58" s="39">
        <v>45180</v>
      </c>
      <c r="G58" s="39"/>
      <c r="H58" s="42">
        <f>G58*(1+H36)</f>
        <v>0</v>
      </c>
      <c r="I58" s="42">
        <f>H58*(1+I36)</f>
        <v>0</v>
      </c>
      <c r="J58" s="42">
        <f>I58*(1+J36)</f>
        <v>0</v>
      </c>
      <c r="K58" s="42">
        <f>J58*(1+K36)</f>
        <v>0</v>
      </c>
      <c r="L58" s="42">
        <f>K58*(1+L36)</f>
        <v>0</v>
      </c>
      <c r="N58" t="s">
        <v>88</v>
      </c>
    </row>
    <row r="59" spans="3:15" ht="15" customHeight="1">
      <c r="C59" s="31" t="s">
        <v>51</v>
      </c>
      <c r="D59" s="31"/>
      <c r="E59" s="41">
        <f t="shared" ref="E59:L59" si="9">SUM(E53:E58)</f>
        <v>241272</v>
      </c>
      <c r="F59" s="41">
        <f t="shared" si="9"/>
        <v>258578</v>
      </c>
      <c r="G59" s="41">
        <f t="shared" si="9"/>
        <v>0</v>
      </c>
      <c r="H59" s="45" t="e">
        <f t="shared" si="9"/>
        <v>#DIV/0!</v>
      </c>
      <c r="I59" s="45" t="e">
        <f t="shared" si="9"/>
        <v>#DIV/0!</v>
      </c>
      <c r="J59" s="45" t="e">
        <f t="shared" si="9"/>
        <v>#DIV/0!</v>
      </c>
      <c r="K59" s="45" t="e">
        <f t="shared" si="9"/>
        <v>#DIV/0!</v>
      </c>
      <c r="L59" s="45" t="e">
        <f t="shared" si="9"/>
        <v>#DIV/0!</v>
      </c>
    </row>
    <row r="60" spans="3:15" ht="15" customHeight="1">
      <c r="C60" s="31"/>
      <c r="D60" s="31"/>
      <c r="E60" s="41"/>
      <c r="F60" s="41"/>
      <c r="G60" s="41"/>
      <c r="H60" s="42"/>
      <c r="I60" s="42"/>
      <c r="J60" s="42"/>
      <c r="K60" s="42"/>
      <c r="L60" s="42"/>
    </row>
    <row r="61" spans="3:15" ht="15" customHeight="1">
      <c r="C61" s="30" t="s">
        <v>52</v>
      </c>
      <c r="D61" s="30"/>
      <c r="E61" s="39">
        <v>35867</v>
      </c>
      <c r="F61" s="39">
        <v>40201</v>
      </c>
      <c r="G61" s="39"/>
      <c r="H61" s="42">
        <f>G61+H32</f>
        <v>0</v>
      </c>
      <c r="I61" s="42">
        <f>H61+I32</f>
        <v>0</v>
      </c>
      <c r="J61" s="42">
        <f>I61+J32</f>
        <v>0</v>
      </c>
      <c r="K61" s="42">
        <f>J61+K32</f>
        <v>0</v>
      </c>
      <c r="L61" s="42">
        <f>K61+L32</f>
        <v>0</v>
      </c>
      <c r="N61" t="s">
        <v>94</v>
      </c>
    </row>
    <row r="62" spans="3:15" ht="15.75" customHeight="1">
      <c r="C62" s="30" t="s">
        <v>53</v>
      </c>
      <c r="D62" s="30"/>
      <c r="E62" s="44">
        <f>98330</f>
        <v>98330</v>
      </c>
      <c r="F62" s="39">
        <v>70400</v>
      </c>
      <c r="G62" s="39"/>
      <c r="H62" s="42">
        <f>H119</f>
        <v>188993.44</v>
      </c>
      <c r="I62" s="42">
        <f>I119</f>
        <v>397016.00636</v>
      </c>
      <c r="J62" s="42">
        <f>J119</f>
        <v>625380.70879883994</v>
      </c>
      <c r="K62" s="42">
        <f>K119</f>
        <v>875491.15470595984</v>
      </c>
      <c r="L62" s="42">
        <f>L119</f>
        <v>1148847.8003806709</v>
      </c>
      <c r="N62" t="s">
        <v>95</v>
      </c>
      <c r="O62" s="42"/>
    </row>
    <row r="63" spans="3:15" ht="15.75" customHeight="1">
      <c r="C63" s="30" t="s">
        <v>54</v>
      </c>
      <c r="D63" s="30"/>
      <c r="E63" s="39">
        <v>-150</v>
      </c>
      <c r="F63" s="39">
        <v>-3454</v>
      </c>
      <c r="G63" s="39"/>
      <c r="H63" s="42">
        <f>G63</f>
        <v>0</v>
      </c>
      <c r="I63" s="42">
        <f>H63</f>
        <v>0</v>
      </c>
      <c r="J63" s="42">
        <f>I63</f>
        <v>0</v>
      </c>
      <c r="K63" s="42">
        <f>J63</f>
        <v>0</v>
      </c>
      <c r="L63" s="42">
        <f>K63</f>
        <v>0</v>
      </c>
      <c r="N63" t="s">
        <v>93</v>
      </c>
    </row>
    <row r="64" spans="3:15" ht="15" customHeight="1">
      <c r="C64" s="31" t="s">
        <v>55</v>
      </c>
      <c r="D64" s="31"/>
      <c r="E64" s="45">
        <f t="shared" ref="E64:L64" si="10">SUM(E61:E63)</f>
        <v>134047</v>
      </c>
      <c r="F64" s="45">
        <f t="shared" si="10"/>
        <v>107147</v>
      </c>
      <c r="G64" s="45">
        <f t="shared" si="10"/>
        <v>0</v>
      </c>
      <c r="H64" s="45">
        <f t="shared" si="10"/>
        <v>188993.44</v>
      </c>
      <c r="I64" s="45">
        <f t="shared" si="10"/>
        <v>397016.00636</v>
      </c>
      <c r="J64" s="45">
        <f t="shared" si="10"/>
        <v>625380.70879883994</v>
      </c>
      <c r="K64" s="45">
        <f t="shared" si="10"/>
        <v>875491.15470595984</v>
      </c>
      <c r="L64" s="45">
        <f t="shared" si="10"/>
        <v>1148847.8003806709</v>
      </c>
    </row>
    <row r="65" spans="3:14" ht="15" customHeight="1">
      <c r="E65" s="42"/>
      <c r="F65" s="42"/>
      <c r="G65" s="42"/>
    </row>
    <row r="66" spans="3:14" ht="15" customHeight="1">
      <c r="C66" s="23" t="s">
        <v>56</v>
      </c>
      <c r="D66" s="23"/>
      <c r="E66" s="46">
        <f t="shared" ref="E66:L66" si="11">ROUND(E51-E59-E64,3)</f>
        <v>0</v>
      </c>
      <c r="F66" s="46">
        <f t="shared" si="11"/>
        <v>0</v>
      </c>
      <c r="G66" s="46">
        <f t="shared" si="11"/>
        <v>0</v>
      </c>
      <c r="H66" s="46" t="e">
        <f t="shared" si="11"/>
        <v>#DIV/0!</v>
      </c>
      <c r="I66" s="46" t="e">
        <f t="shared" si="11"/>
        <v>#DIV/0!</v>
      </c>
      <c r="J66" s="46" t="e">
        <f t="shared" si="11"/>
        <v>#DIV/0!</v>
      </c>
      <c r="K66" s="46" t="e">
        <f t="shared" si="11"/>
        <v>#DIV/0!</v>
      </c>
      <c r="L66" s="46" t="e">
        <f t="shared" si="11"/>
        <v>#DIV/0!</v>
      </c>
    </row>
    <row r="67" spans="3:14" ht="15" customHeight="1">
      <c r="F67" s="42"/>
      <c r="G67" s="42"/>
      <c r="I67" s="42"/>
      <c r="J67" s="42"/>
      <c r="K67" s="42"/>
      <c r="L67" s="42"/>
    </row>
    <row r="68" spans="3:14" ht="15" customHeight="1">
      <c r="C68" s="16" t="s">
        <v>96</v>
      </c>
      <c r="D68" s="16"/>
      <c r="E68" s="20"/>
      <c r="F68" s="20"/>
      <c r="G68" s="20"/>
      <c r="H68" s="20"/>
      <c r="I68" s="20"/>
      <c r="J68" s="20"/>
      <c r="K68" s="20"/>
      <c r="L68" s="20"/>
    </row>
    <row r="69" spans="3:14" ht="15" customHeight="1">
      <c r="C69" s="36" t="str">
        <f>C14</f>
        <v xml:space="preserve">Fiscal year  </v>
      </c>
      <c r="D69" s="36"/>
      <c r="E69" s="37"/>
      <c r="F69" s="37"/>
      <c r="G69" s="37"/>
      <c r="H69" s="65">
        <f t="shared" ref="H69:L70" si="12">H14</f>
        <v>2020</v>
      </c>
      <c r="I69" s="65">
        <f t="shared" si="12"/>
        <v>2021</v>
      </c>
      <c r="J69" s="65">
        <f t="shared" si="12"/>
        <v>2022</v>
      </c>
      <c r="K69" s="65">
        <f t="shared" si="12"/>
        <v>2023</v>
      </c>
      <c r="L69" s="65">
        <f t="shared" si="12"/>
        <v>2024</v>
      </c>
    </row>
    <row r="70" spans="3:14" ht="15" customHeight="1">
      <c r="C70" s="17" t="str">
        <f>C15</f>
        <v>Fiscal year end date</v>
      </c>
      <c r="D70" s="17"/>
      <c r="E70" s="38"/>
      <c r="F70" s="38"/>
      <c r="G70" s="38"/>
      <c r="H70" s="38">
        <f t="shared" si="12"/>
        <v>44104</v>
      </c>
      <c r="I70" s="38">
        <f t="shared" si="12"/>
        <v>44469</v>
      </c>
      <c r="J70" s="38">
        <f t="shared" si="12"/>
        <v>44834</v>
      </c>
      <c r="K70" s="38">
        <f t="shared" si="12"/>
        <v>45199</v>
      </c>
      <c r="L70" s="38">
        <f t="shared" si="12"/>
        <v>45565</v>
      </c>
    </row>
    <row r="72" spans="3:14" ht="15" customHeight="1">
      <c r="C72" t="s">
        <v>24</v>
      </c>
      <c r="E72" s="40"/>
      <c r="F72" s="40"/>
      <c r="G72" s="40"/>
      <c r="H72" s="42">
        <f>H28</f>
        <v>275784.44</v>
      </c>
      <c r="I72" s="42">
        <f>I28</f>
        <v>294813.56636</v>
      </c>
      <c r="J72" s="42">
        <f>J28</f>
        <v>315155.70243884</v>
      </c>
      <c r="K72" s="42">
        <f>K28</f>
        <v>336901.44590711995</v>
      </c>
      <c r="L72" s="42">
        <f>L28</f>
        <v>360147.64567471121</v>
      </c>
      <c r="N72" s="27"/>
    </row>
    <row r="73" spans="3:14" ht="15" customHeight="1">
      <c r="C73" t="s">
        <v>97</v>
      </c>
      <c r="E73" s="40"/>
      <c r="F73" s="40"/>
      <c r="G73" s="40"/>
      <c r="H73" s="42">
        <f>H30</f>
        <v>-311.85982873882676</v>
      </c>
      <c r="I73" s="42">
        <f>I30</f>
        <v>-457.52405513407757</v>
      </c>
      <c r="J73" s="42">
        <f>J30</f>
        <v>-782.72389007691709</v>
      </c>
      <c r="K73" s="42">
        <f>K30</f>
        <v>-541.28161849222488</v>
      </c>
      <c r="L73" s="42">
        <f>L30</f>
        <v>-262.79376498818783</v>
      </c>
      <c r="N73" t="s">
        <v>98</v>
      </c>
    </row>
    <row r="74" spans="3:14" ht="15" customHeight="1">
      <c r="C74" t="s">
        <v>27</v>
      </c>
      <c r="E74" s="40"/>
      <c r="F74" s="40"/>
      <c r="G74" s="40"/>
      <c r="H74" s="42">
        <f>H32</f>
        <v>0</v>
      </c>
      <c r="I74" s="42">
        <f>I32</f>
        <v>0</v>
      </c>
      <c r="J74" s="42">
        <f>J32</f>
        <v>0</v>
      </c>
      <c r="K74" s="42">
        <f>K32</f>
        <v>0</v>
      </c>
      <c r="L74" s="42">
        <f>L32</f>
        <v>0</v>
      </c>
    </row>
    <row r="75" spans="3:14" ht="15" customHeight="1">
      <c r="C75" t="s">
        <v>99</v>
      </c>
      <c r="E75" s="42"/>
      <c r="F75" s="42"/>
      <c r="G75" s="42"/>
      <c r="H75" s="42" t="e">
        <f>SUM(G46:G48)-SUM(H46:H48)</f>
        <v>#DIV/0!</v>
      </c>
      <c r="I75" s="42" t="e">
        <f>SUM(H46:H48)-SUM(I46:I48)</f>
        <v>#DIV/0!</v>
      </c>
      <c r="J75" s="42" t="e">
        <f>SUM(I46:I48)-SUM(J46:J48)</f>
        <v>#DIV/0!</v>
      </c>
      <c r="K75" s="42" t="e">
        <f>SUM(J46:J48)-SUM(K46:K48)</f>
        <v>#DIV/0!</v>
      </c>
      <c r="L75" s="42" t="e">
        <f>SUM(K46:K48)-SUM(L46:L48)</f>
        <v>#DIV/0!</v>
      </c>
    </row>
    <row r="76" spans="3:14" ht="15" customHeight="1">
      <c r="C76" t="s">
        <v>100</v>
      </c>
      <c r="E76" s="42"/>
      <c r="F76" s="42"/>
      <c r="G76" s="42"/>
      <c r="H76" s="42" t="e">
        <f>SUM(H53:H55)-SUM(G53:G55)</f>
        <v>#DIV/0!</v>
      </c>
      <c r="I76" s="42" t="e">
        <f>SUM(I53:I55)-SUM(H53:H55)</f>
        <v>#DIV/0!</v>
      </c>
      <c r="J76" s="42" t="e">
        <f>SUM(J53:J55)-SUM(I53:I55)</f>
        <v>#DIV/0!</v>
      </c>
      <c r="K76" s="42" t="e">
        <f>SUM(K53:K55)-SUM(J53:J55)</f>
        <v>#DIV/0!</v>
      </c>
      <c r="L76" s="42" t="e">
        <f>SUM(L53:L55)-SUM(K53:K55)</f>
        <v>#DIV/0!</v>
      </c>
    </row>
    <row r="77" spans="3:14" ht="15" customHeight="1">
      <c r="C77" t="s">
        <v>43</v>
      </c>
      <c r="H77" s="42">
        <f>-H111</f>
        <v>9858</v>
      </c>
      <c r="I77" s="42">
        <f>-I111</f>
        <v>10538.201999999999</v>
      </c>
      <c r="J77" s="42">
        <f>-J111</f>
        <v>11265.337938000001</v>
      </c>
      <c r="K77" s="42">
        <f>-K111</f>
        <v>12042.646255722</v>
      </c>
      <c r="L77" s="42">
        <f>-L111</f>
        <v>12873.588847366816</v>
      </c>
      <c r="N77" t="s">
        <v>101</v>
      </c>
    </row>
    <row r="78" spans="3:14" ht="15" customHeight="1">
      <c r="C78" t="s">
        <v>50</v>
      </c>
      <c r="H78" s="42">
        <f>H58-G58</f>
        <v>0</v>
      </c>
      <c r="I78" s="42">
        <f>I58-H58</f>
        <v>0</v>
      </c>
      <c r="J78" s="42">
        <f>J58-I58</f>
        <v>0</v>
      </c>
      <c r="K78" s="42">
        <f>K58-J58</f>
        <v>0</v>
      </c>
      <c r="L78" s="42">
        <f>L58-K58</f>
        <v>0</v>
      </c>
      <c r="N78" s="27"/>
    </row>
    <row r="79" spans="3:14" ht="15" customHeight="1">
      <c r="C79" s="27" t="s">
        <v>102</v>
      </c>
      <c r="D79" s="27"/>
      <c r="H79" s="45" t="e">
        <f>SUM(H72:H78)</f>
        <v>#DIV/0!</v>
      </c>
      <c r="I79" s="45" t="e">
        <f>SUM(I72:I78)</f>
        <v>#DIV/0!</v>
      </c>
      <c r="J79" s="45" t="e">
        <f>SUM(J72:J78)</f>
        <v>#DIV/0!</v>
      </c>
      <c r="K79" s="45" t="e">
        <f>SUM(K72:K78)</f>
        <v>#DIV/0!</v>
      </c>
      <c r="L79" s="45" t="e">
        <f>SUM(L72:L78)</f>
        <v>#DIV/0!</v>
      </c>
    </row>
    <row r="80" spans="3:14" ht="15" customHeight="1">
      <c r="H80" s="42"/>
      <c r="I80" s="42"/>
      <c r="J80" s="42"/>
      <c r="K80" s="42"/>
      <c r="L80" s="42"/>
    </row>
    <row r="81" spans="3:14" ht="15" customHeight="1">
      <c r="C81" t="s">
        <v>103</v>
      </c>
      <c r="H81" s="42">
        <f>-(H97)</f>
        <v>-13285</v>
      </c>
      <c r="I81" s="42">
        <f>-(I97)</f>
        <v>-13649</v>
      </c>
      <c r="J81" s="42">
        <f>-(J97)</f>
        <v>-13819</v>
      </c>
      <c r="K81" s="42">
        <f>-(K97)</f>
        <v>-14772.510999999999</v>
      </c>
      <c r="L81" s="42">
        <f>-(L97)</f>
        <v>-15791.814258999997</v>
      </c>
      <c r="N81" t="s">
        <v>90</v>
      </c>
    </row>
    <row r="82" spans="3:14" ht="15" customHeight="1">
      <c r="C82" s="27" t="s">
        <v>104</v>
      </c>
      <c r="D82" s="27"/>
      <c r="H82" s="45">
        <f>IFERROR(H81,"NA")</f>
        <v>-13285</v>
      </c>
      <c r="I82" s="45">
        <f>IFERROR(I81,"NA")</f>
        <v>-13649</v>
      </c>
      <c r="J82" s="45">
        <f>IFERROR(J81,"NA")</f>
        <v>-13819</v>
      </c>
      <c r="K82" s="45">
        <f>IFERROR(K81,"NA")</f>
        <v>-14772.510999999999</v>
      </c>
      <c r="L82" s="45">
        <f>IFERROR(L81,"NA")</f>
        <v>-15791.814258999997</v>
      </c>
    </row>
    <row r="83" spans="3:14" ht="15" customHeight="1">
      <c r="H83" s="42"/>
      <c r="I83" s="42"/>
      <c r="J83" s="42"/>
      <c r="K83" s="42"/>
      <c r="L83" s="42"/>
    </row>
    <row r="84" spans="3:14" ht="15" customHeight="1">
      <c r="C84" t="s">
        <v>105</v>
      </c>
      <c r="H84" s="42">
        <f>H57-G57</f>
        <v>0</v>
      </c>
      <c r="I84" s="42">
        <f>I57-H57</f>
        <v>0</v>
      </c>
      <c r="J84" s="42">
        <f>J57-I57</f>
        <v>0</v>
      </c>
      <c r="K84" s="42">
        <f>K57-J57</f>
        <v>0</v>
      </c>
      <c r="L84" s="42">
        <f>L57-K57</f>
        <v>0</v>
      </c>
    </row>
    <row r="85" spans="3:14" ht="15" customHeight="1">
      <c r="C85" t="s">
        <v>186</v>
      </c>
      <c r="H85" s="42" t="e">
        <f>H56-G56</f>
        <v>#DIV/0!</v>
      </c>
      <c r="I85" s="42" t="e">
        <f>I56-H56</f>
        <v>#DIV/0!</v>
      </c>
      <c r="J85" s="42" t="e">
        <f>J56-I56</f>
        <v>#DIV/0!</v>
      </c>
      <c r="K85" s="42" t="e">
        <f>K56-J56</f>
        <v>#DIV/0!</v>
      </c>
      <c r="L85" s="42" t="e">
        <f>L56-K56</f>
        <v>#DIV/0!</v>
      </c>
      <c r="N85" t="s">
        <v>107</v>
      </c>
    </row>
    <row r="86" spans="3:14" ht="15" customHeight="1">
      <c r="C86" t="s">
        <v>108</v>
      </c>
      <c r="H86" s="42">
        <f>H118</f>
        <v>-73056</v>
      </c>
      <c r="I86" s="42">
        <f>I118</f>
        <v>-73056</v>
      </c>
      <c r="J86" s="42">
        <f>J118</f>
        <v>-73056</v>
      </c>
      <c r="K86" s="42">
        <f>K118</f>
        <v>-73056</v>
      </c>
      <c r="L86" s="42">
        <f>L118</f>
        <v>-73056</v>
      </c>
      <c r="N86" t="s">
        <v>95</v>
      </c>
    </row>
    <row r="87" spans="3:14" ht="15" customHeight="1">
      <c r="C87" t="s">
        <v>109</v>
      </c>
      <c r="H87" s="42">
        <f>H117</f>
        <v>-13735</v>
      </c>
      <c r="I87" s="42">
        <f>I117</f>
        <v>-13735</v>
      </c>
      <c r="J87" s="42">
        <f>J117</f>
        <v>-13735</v>
      </c>
      <c r="K87" s="42">
        <f>K117</f>
        <v>-13735</v>
      </c>
      <c r="L87" s="42">
        <f>L117</f>
        <v>-13735</v>
      </c>
      <c r="N87" t="s">
        <v>95</v>
      </c>
    </row>
    <row r="88" spans="3:14" ht="15" customHeight="1">
      <c r="C88" s="27" t="s">
        <v>110</v>
      </c>
      <c r="D88" s="27"/>
      <c r="H88" s="45" t="e">
        <f>SUM(H84:H87)</f>
        <v>#DIV/0!</v>
      </c>
      <c r="I88" s="45" t="e">
        <f>SUM(I84:I87)</f>
        <v>#DIV/0!</v>
      </c>
      <c r="J88" s="45" t="e">
        <f>SUM(J84:J87)</f>
        <v>#DIV/0!</v>
      </c>
      <c r="K88" s="45" t="e">
        <f>SUM(K84:K87)</f>
        <v>#DIV/0!</v>
      </c>
      <c r="L88" s="45" t="e">
        <f>SUM(L84:L87)</f>
        <v>#DIV/0!</v>
      </c>
    </row>
    <row r="89" spans="3:14" ht="15" customHeight="1">
      <c r="H89" s="42"/>
      <c r="I89" s="42"/>
      <c r="J89" s="42"/>
      <c r="K89" s="42"/>
      <c r="L89" s="42"/>
    </row>
    <row r="90" spans="3:14" ht="15" customHeight="1">
      <c r="C90" s="27" t="s">
        <v>111</v>
      </c>
      <c r="D90" s="27"/>
      <c r="H90" s="45" t="e">
        <f>H79+H82+H88</f>
        <v>#DIV/0!</v>
      </c>
      <c r="I90" s="45" t="e">
        <f>I79+I82+I88</f>
        <v>#DIV/0!</v>
      </c>
      <c r="J90" s="45" t="e">
        <f>J79+J82+J88</f>
        <v>#DIV/0!</v>
      </c>
      <c r="K90" s="45" t="e">
        <f>K79+K82+K88</f>
        <v>#DIV/0!</v>
      </c>
      <c r="L90" s="45" t="e">
        <f>L79+L82+L88</f>
        <v>#DIV/0!</v>
      </c>
    </row>
    <row r="92" spans="3:14" ht="15" customHeight="1">
      <c r="C92" s="16" t="s">
        <v>112</v>
      </c>
      <c r="D92" s="16"/>
      <c r="E92" s="17"/>
      <c r="F92" s="17"/>
      <c r="G92" s="17"/>
      <c r="H92" s="17"/>
      <c r="I92" s="17"/>
      <c r="J92" s="17"/>
      <c r="K92" s="17"/>
      <c r="L92" s="17"/>
    </row>
    <row r="93" spans="3:14" ht="15" customHeight="1">
      <c r="C93" s="36" t="str">
        <f>C14</f>
        <v xml:space="preserve">Fiscal year  </v>
      </c>
      <c r="D93" s="36"/>
      <c r="E93" s="37">
        <f t="shared" ref="E93:L94" si="13">E14</f>
        <v>2017</v>
      </c>
      <c r="F93" s="37">
        <f t="shared" si="13"/>
        <v>2018</v>
      </c>
      <c r="G93" s="37">
        <f t="shared" si="13"/>
        <v>2019</v>
      </c>
      <c r="H93" s="65">
        <f t="shared" si="13"/>
        <v>2020</v>
      </c>
      <c r="I93" s="65">
        <f t="shared" si="13"/>
        <v>2021</v>
      </c>
      <c r="J93" s="65">
        <f t="shared" si="13"/>
        <v>2022</v>
      </c>
      <c r="K93" s="65">
        <f t="shared" si="13"/>
        <v>2023</v>
      </c>
      <c r="L93" s="65">
        <f t="shared" si="13"/>
        <v>2024</v>
      </c>
    </row>
    <row r="94" spans="3:14" ht="15" customHeight="1">
      <c r="C94" s="17" t="str">
        <f>C15</f>
        <v>Fiscal year end date</v>
      </c>
      <c r="D94" s="17"/>
      <c r="E94" s="38">
        <f t="shared" si="13"/>
        <v>43373</v>
      </c>
      <c r="F94" s="38">
        <f t="shared" si="13"/>
        <v>43737</v>
      </c>
      <c r="G94" s="38">
        <f t="shared" si="13"/>
        <v>43737</v>
      </c>
      <c r="H94" s="38">
        <f t="shared" si="13"/>
        <v>44104</v>
      </c>
      <c r="I94" s="38">
        <f t="shared" si="13"/>
        <v>44469</v>
      </c>
      <c r="J94" s="38">
        <f t="shared" si="13"/>
        <v>44834</v>
      </c>
      <c r="K94" s="38">
        <f t="shared" si="13"/>
        <v>45199</v>
      </c>
      <c r="L94" s="38">
        <f t="shared" si="13"/>
        <v>45565</v>
      </c>
    </row>
    <row r="95" spans="3:14" ht="15" customHeight="1">
      <c r="C95" s="27"/>
      <c r="D95" s="27"/>
      <c r="H95" s="3" t="s">
        <v>113</v>
      </c>
      <c r="I95" s="3"/>
      <c r="J95" s="3"/>
      <c r="K95" s="3"/>
      <c r="L95" s="3"/>
    </row>
    <row r="96" spans="3:14" ht="15" customHeight="1">
      <c r="C96" s="30" t="s">
        <v>114</v>
      </c>
      <c r="D96" s="30"/>
      <c r="H96" s="42">
        <f>G99</f>
        <v>0</v>
      </c>
      <c r="I96" s="42">
        <f>H99</f>
        <v>3738.8598287388268</v>
      </c>
      <c r="J96" s="42">
        <f>I99</f>
        <v>7307.181883872905</v>
      </c>
      <c r="K96" s="42">
        <f>J99</f>
        <v>10643.567835949822</v>
      </c>
      <c r="L96" s="42">
        <f>K99</f>
        <v>13914.714198720043</v>
      </c>
      <c r="N96" t="s">
        <v>115</v>
      </c>
    </row>
    <row r="97" spans="3:18" ht="15" customHeight="1">
      <c r="C97" s="29" t="s">
        <v>116</v>
      </c>
      <c r="D97" s="29"/>
      <c r="E97" s="39">
        <v>12734</v>
      </c>
      <c r="F97" s="39">
        <v>12451</v>
      </c>
      <c r="G97" s="39">
        <v>13313</v>
      </c>
      <c r="H97" s="39">
        <v>13285</v>
      </c>
      <c r="I97" s="39">
        <v>13649</v>
      </c>
      <c r="J97" s="39">
        <v>13819</v>
      </c>
      <c r="K97" s="39">
        <f>J97*(1+K36)</f>
        <v>14772.510999999999</v>
      </c>
      <c r="L97" s="39">
        <f>K97*(1+L36)</f>
        <v>15791.814258999997</v>
      </c>
      <c r="N97" t="s">
        <v>117</v>
      </c>
    </row>
    <row r="98" spans="3:18" ht="15" customHeight="1">
      <c r="C98" s="67" t="s">
        <v>118</v>
      </c>
      <c r="D98" s="67"/>
      <c r="E98" s="68">
        <v>-8300</v>
      </c>
      <c r="F98" s="68">
        <v>-8200</v>
      </c>
      <c r="G98" s="68">
        <v>-9300</v>
      </c>
      <c r="H98" s="85">
        <f>-(H101*H97)</f>
        <v>-9546.1401712611732</v>
      </c>
      <c r="I98" s="85">
        <f>-(I101*I97)</f>
        <v>-10080.677944865922</v>
      </c>
      <c r="J98" s="85">
        <f>-(J101*J97)</f>
        <v>-10482.614047923083</v>
      </c>
      <c r="K98" s="85">
        <f>-(K101*K97)</f>
        <v>-11501.364637229775</v>
      </c>
      <c r="L98" s="85">
        <f>-(L101*L97)</f>
        <v>-12610.795082378629</v>
      </c>
      <c r="N98" t="s">
        <v>119</v>
      </c>
    </row>
    <row r="99" spans="3:18" ht="15" customHeight="1">
      <c r="C99" s="70" t="s">
        <v>120</v>
      </c>
      <c r="D99" s="70"/>
      <c r="E99" s="45"/>
      <c r="F99" s="45">
        <f>F49</f>
        <v>41304</v>
      </c>
      <c r="G99" s="45">
        <f>G49</f>
        <v>0</v>
      </c>
      <c r="H99" s="45">
        <f>SUM(H96:H98)</f>
        <v>3738.8598287388268</v>
      </c>
      <c r="I99" s="45">
        <f>SUM(I96:I98)</f>
        <v>7307.181883872905</v>
      </c>
      <c r="J99" s="45">
        <f>SUM(J96:J98)</f>
        <v>10643.567835949822</v>
      </c>
      <c r="K99" s="45">
        <f>SUM(K96:K98)</f>
        <v>13914.714198720043</v>
      </c>
      <c r="L99" s="45">
        <f>SUM(L96:L98)</f>
        <v>17095.733375341413</v>
      </c>
      <c r="N99" t="s">
        <v>121</v>
      </c>
    </row>
    <row r="100" spans="3:18" ht="15" customHeight="1">
      <c r="C100" s="30"/>
      <c r="D100" s="30"/>
      <c r="N100" s="32" t="s">
        <v>122</v>
      </c>
    </row>
    <row r="101" spans="3:18" ht="15" customHeight="1">
      <c r="C101" s="30" t="s">
        <v>123</v>
      </c>
      <c r="D101" s="30"/>
      <c r="E101" s="71">
        <f>-(E98/E97)</f>
        <v>0.65179833516569818</v>
      </c>
      <c r="F101" s="71">
        <f>-(F98/F97)</f>
        <v>0.6585816400289134</v>
      </c>
      <c r="G101" s="71">
        <f>-(G98/G97)</f>
        <v>0.69856531210095396</v>
      </c>
      <c r="H101" s="63">
        <f>G101+$N$101</f>
        <v>0.71856531210095398</v>
      </c>
      <c r="I101" s="63">
        <f>H101+$N$101</f>
        <v>0.738565312100954</v>
      </c>
      <c r="J101" s="63">
        <f>I101+$N$101</f>
        <v>0.75856531210095401</v>
      </c>
      <c r="K101" s="63">
        <f>J101+$N$101</f>
        <v>0.77856531210095403</v>
      </c>
      <c r="L101" s="63">
        <f>K101+$N$101</f>
        <v>0.79856531210095405</v>
      </c>
      <c r="N101" s="115">
        <v>0.02</v>
      </c>
      <c r="P101" s="74"/>
      <c r="Q101" s="74"/>
      <c r="R101" s="74"/>
    </row>
    <row r="102" spans="3:18" ht="15" customHeight="1">
      <c r="C102" s="30"/>
      <c r="D102" s="30"/>
      <c r="E102" s="71"/>
      <c r="F102" s="71"/>
      <c r="G102" s="71"/>
      <c r="H102" s="63"/>
      <c r="I102" s="63"/>
      <c r="J102" s="63"/>
      <c r="K102" s="63"/>
      <c r="L102" s="63"/>
      <c r="P102" s="74"/>
      <c r="Q102" s="74"/>
      <c r="R102" s="74"/>
    </row>
    <row r="103" spans="3:18" ht="15" customHeight="1">
      <c r="C103" s="75" t="s">
        <v>124</v>
      </c>
      <c r="D103" s="75"/>
      <c r="E103" s="76"/>
      <c r="F103" s="76"/>
      <c r="G103" s="76"/>
      <c r="H103" s="77"/>
      <c r="I103" s="77"/>
      <c r="J103" s="77"/>
      <c r="K103" s="77"/>
      <c r="L103" s="77"/>
      <c r="P103" s="74"/>
      <c r="Q103" s="74"/>
      <c r="R103" s="74"/>
    </row>
    <row r="104" spans="3:18" ht="15" customHeight="1">
      <c r="C104" s="30" t="s">
        <v>125</v>
      </c>
      <c r="D104" s="30"/>
      <c r="E104" s="42">
        <f>E106+E98</f>
        <v>1857</v>
      </c>
      <c r="F104" s="42">
        <f>F106+F98</f>
        <v>2703</v>
      </c>
      <c r="G104" s="42">
        <f>G106+G98</f>
        <v>-9300</v>
      </c>
      <c r="H104" s="44">
        <f>H105*H17</f>
        <v>-9858</v>
      </c>
      <c r="I104" s="44">
        <f>I105*I17</f>
        <v>-10538.201999999999</v>
      </c>
      <c r="J104" s="44">
        <f>J105*J17</f>
        <v>-11265.337938000001</v>
      </c>
      <c r="K104" s="44">
        <f>K105*K17</f>
        <v>-12042.646255722</v>
      </c>
      <c r="L104" s="44">
        <f>L105*L17</f>
        <v>-12873.588847366816</v>
      </c>
      <c r="N104" t="s">
        <v>126</v>
      </c>
      <c r="P104" s="74"/>
      <c r="Q104" s="74"/>
      <c r="R104" s="74"/>
    </row>
    <row r="105" spans="3:18" ht="15" customHeight="1">
      <c r="C105" s="29" t="s">
        <v>127</v>
      </c>
      <c r="D105" s="29"/>
      <c r="E105" s="51">
        <f>E104/E17</f>
        <v>8.10089253775618E-3</v>
      </c>
      <c r="F105" s="51">
        <f>F104/F17</f>
        <v>1.0177149419228525E-2</v>
      </c>
      <c r="G105" s="51">
        <f>G104/G17</f>
        <v>-3.5745308908653441E-2</v>
      </c>
      <c r="H105" s="63">
        <f>G105</f>
        <v>-3.5745308908653441E-2</v>
      </c>
      <c r="I105" s="63">
        <f>H105</f>
        <v>-3.5745308908653441E-2</v>
      </c>
      <c r="J105" s="63">
        <f>I105</f>
        <v>-3.5745308908653441E-2</v>
      </c>
      <c r="K105" s="63">
        <f>J105</f>
        <v>-3.5745308908653441E-2</v>
      </c>
      <c r="L105" s="63">
        <f>K105</f>
        <v>-3.5745308908653441E-2</v>
      </c>
      <c r="N105" t="s">
        <v>128</v>
      </c>
    </row>
    <row r="106" spans="3:18" ht="15" customHeight="1">
      <c r="C106" s="31" t="s">
        <v>129</v>
      </c>
      <c r="D106" s="31"/>
      <c r="E106" s="45">
        <f>E30</f>
        <v>10157</v>
      </c>
      <c r="F106" s="45">
        <f>F30</f>
        <v>10903</v>
      </c>
      <c r="G106" s="45">
        <f>G30</f>
        <v>0</v>
      </c>
      <c r="H106" s="41">
        <f>-H98+H104</f>
        <v>-311.85982873882676</v>
      </c>
      <c r="I106" s="41">
        <f>-I98+I104</f>
        <v>-457.52405513407757</v>
      </c>
      <c r="J106" s="41">
        <f>-J98+J104</f>
        <v>-782.72389007691709</v>
      </c>
      <c r="K106" s="41">
        <f>-K98+K104</f>
        <v>-541.28161849222488</v>
      </c>
      <c r="L106" s="41">
        <f>-L98+L104</f>
        <v>-262.79376498818783</v>
      </c>
      <c r="N106" t="s">
        <v>130</v>
      </c>
    </row>
    <row r="107" spans="3:18" ht="15" customHeight="1">
      <c r="C107" s="30"/>
      <c r="D107" s="30"/>
      <c r="E107" s="42"/>
      <c r="F107" s="42"/>
      <c r="G107" s="42"/>
      <c r="I107" s="42"/>
      <c r="J107" s="42"/>
      <c r="K107" s="42"/>
      <c r="L107" s="42"/>
    </row>
    <row r="108" spans="3:18" ht="15" customHeight="1">
      <c r="C108" s="78" t="s">
        <v>131</v>
      </c>
      <c r="D108" s="78"/>
      <c r="E108" s="17"/>
      <c r="F108" s="17"/>
      <c r="G108" s="17"/>
      <c r="I108" s="42"/>
      <c r="J108" s="42"/>
      <c r="K108" s="42"/>
      <c r="L108" s="42"/>
    </row>
    <row r="109" spans="3:18" ht="15" customHeight="1">
      <c r="C109" s="30" t="s">
        <v>114</v>
      </c>
      <c r="D109" s="30"/>
      <c r="E109" s="42"/>
      <c r="H109" s="123">
        <f>G112</f>
        <v>0</v>
      </c>
      <c r="I109" s="123">
        <f>H112</f>
        <v>0</v>
      </c>
      <c r="J109" s="123">
        <f>I112</f>
        <v>0</v>
      </c>
      <c r="K109" s="123">
        <f>J112</f>
        <v>0</v>
      </c>
      <c r="L109" s="123">
        <f>K112</f>
        <v>0</v>
      </c>
      <c r="N109" t="s">
        <v>115</v>
      </c>
    </row>
    <row r="110" spans="3:18" ht="15" customHeight="1">
      <c r="C110" s="29" t="s">
        <v>132</v>
      </c>
      <c r="D110" s="29"/>
      <c r="H110" s="42">
        <f>-(H104)</f>
        <v>9858</v>
      </c>
      <c r="I110" s="42">
        <f>-(I104)</f>
        <v>10538.201999999999</v>
      </c>
      <c r="J110" s="42">
        <f>-(J104)</f>
        <v>11265.337938000001</v>
      </c>
      <c r="K110" s="42">
        <f>-(K104)</f>
        <v>12042.646255722</v>
      </c>
      <c r="L110" s="42">
        <f>-(L104)</f>
        <v>12873.588847366816</v>
      </c>
      <c r="N110" t="s">
        <v>133</v>
      </c>
    </row>
    <row r="111" spans="3:18" ht="15" customHeight="1">
      <c r="C111" s="67" t="s">
        <v>134</v>
      </c>
      <c r="D111" s="67"/>
      <c r="E111" s="80"/>
      <c r="F111" s="80"/>
      <c r="G111" s="80"/>
      <c r="H111" s="124">
        <f>H112-H110-H109</f>
        <v>-9858</v>
      </c>
      <c r="I111" s="124">
        <f>I112-I110-I109</f>
        <v>-10538.201999999999</v>
      </c>
      <c r="J111" s="124">
        <f>J112-J110-J109</f>
        <v>-11265.337938000001</v>
      </c>
      <c r="K111" s="124">
        <f>K112-K110-K109</f>
        <v>-12042.646255722</v>
      </c>
      <c r="L111" s="124">
        <f>L112-L110-L109</f>
        <v>-12873.588847366816</v>
      </c>
      <c r="N111" t="s">
        <v>135</v>
      </c>
    </row>
    <row r="112" spans="3:18" ht="15" customHeight="1">
      <c r="C112" s="70" t="s">
        <v>120</v>
      </c>
      <c r="D112" s="70"/>
      <c r="F112" s="45">
        <f t="shared" ref="F112:L112" si="14">F50</f>
        <v>22283</v>
      </c>
      <c r="G112" s="45">
        <f t="shared" si="14"/>
        <v>0</v>
      </c>
      <c r="H112" s="45">
        <f t="shared" si="14"/>
        <v>0</v>
      </c>
      <c r="I112" s="45">
        <f t="shared" si="14"/>
        <v>0</v>
      </c>
      <c r="J112" s="45">
        <f t="shared" si="14"/>
        <v>0</v>
      </c>
      <c r="K112" s="45">
        <f t="shared" si="14"/>
        <v>0</v>
      </c>
      <c r="L112" s="45">
        <f t="shared" si="14"/>
        <v>0</v>
      </c>
      <c r="N112" t="s">
        <v>136</v>
      </c>
    </row>
    <row r="113" spans="3:18" ht="15" customHeight="1">
      <c r="C113" s="29"/>
      <c r="D113" s="29"/>
      <c r="F113" s="42"/>
      <c r="G113" s="42"/>
      <c r="I113" s="42"/>
      <c r="J113" s="42"/>
      <c r="K113" s="42"/>
      <c r="L113" s="42"/>
    </row>
    <row r="114" spans="3:18" ht="15" customHeight="1">
      <c r="C114" s="82" t="s">
        <v>137</v>
      </c>
      <c r="D114" s="82"/>
      <c r="E114" s="78"/>
      <c r="F114" s="78"/>
      <c r="G114" s="78"/>
      <c r="H114" s="17"/>
      <c r="I114" s="17"/>
      <c r="J114" s="17"/>
      <c r="K114" s="17"/>
      <c r="L114" s="17"/>
    </row>
    <row r="115" spans="3:18" ht="15" customHeight="1">
      <c r="C115" s="30" t="s">
        <v>114</v>
      </c>
      <c r="D115" s="30"/>
      <c r="H115" s="42">
        <f>G119</f>
        <v>0</v>
      </c>
      <c r="I115" s="42">
        <f>H119</f>
        <v>188993.44</v>
      </c>
      <c r="J115" s="42">
        <f>I119</f>
        <v>397016.00636</v>
      </c>
      <c r="K115" s="42">
        <f>J119</f>
        <v>625380.70879883994</v>
      </c>
      <c r="L115" s="42">
        <f>K119</f>
        <v>875491.15470595984</v>
      </c>
      <c r="N115" t="s">
        <v>115</v>
      </c>
    </row>
    <row r="116" spans="3:18" ht="15" customHeight="1">
      <c r="C116" s="29" t="s">
        <v>138</v>
      </c>
      <c r="D116" s="29"/>
      <c r="E116" s="44">
        <f t="shared" ref="E116:L116" si="15">E28</f>
        <v>48351</v>
      </c>
      <c r="F116" s="44">
        <f t="shared" si="15"/>
        <v>59531</v>
      </c>
      <c r="G116" s="44">
        <f t="shared" si="15"/>
        <v>260174</v>
      </c>
      <c r="H116" s="42">
        <f t="shared" si="15"/>
        <v>275784.44</v>
      </c>
      <c r="I116" s="42">
        <f t="shared" si="15"/>
        <v>294813.56636</v>
      </c>
      <c r="J116" s="42">
        <f t="shared" si="15"/>
        <v>315155.70243884</v>
      </c>
      <c r="K116" s="42">
        <f t="shared" si="15"/>
        <v>336901.44590711995</v>
      </c>
      <c r="L116" s="42">
        <f t="shared" si="15"/>
        <v>360147.64567471121</v>
      </c>
      <c r="N116" t="s">
        <v>139</v>
      </c>
    </row>
    <row r="117" spans="3:18" ht="15" customHeight="1">
      <c r="C117" s="29" t="s">
        <v>140</v>
      </c>
      <c r="D117" s="29"/>
      <c r="E117" s="39">
        <v>-12188</v>
      </c>
      <c r="F117" s="39">
        <v>-12803</v>
      </c>
      <c r="G117" s="39">
        <v>-13735</v>
      </c>
      <c r="H117" s="42">
        <f t="shared" ref="H117:L118" si="16">G117</f>
        <v>-13735</v>
      </c>
      <c r="I117" s="42">
        <f t="shared" si="16"/>
        <v>-13735</v>
      </c>
      <c r="J117" s="42">
        <f t="shared" si="16"/>
        <v>-13735</v>
      </c>
      <c r="K117" s="42">
        <f t="shared" si="16"/>
        <v>-13735</v>
      </c>
      <c r="L117" s="42">
        <f t="shared" si="16"/>
        <v>-13735</v>
      </c>
      <c r="N117" t="s">
        <v>141</v>
      </c>
    </row>
    <row r="118" spans="3:18" ht="15" customHeight="1">
      <c r="C118" s="67" t="s">
        <v>142</v>
      </c>
      <c r="D118" s="67"/>
      <c r="E118" s="68">
        <v>-29000</v>
      </c>
      <c r="F118" s="68">
        <v>-33001</v>
      </c>
      <c r="G118" s="68">
        <v>-73056</v>
      </c>
      <c r="H118" s="85">
        <f t="shared" si="16"/>
        <v>-73056</v>
      </c>
      <c r="I118" s="85">
        <f t="shared" si="16"/>
        <v>-73056</v>
      </c>
      <c r="J118" s="85">
        <f t="shared" si="16"/>
        <v>-73056</v>
      </c>
      <c r="K118" s="85">
        <f t="shared" si="16"/>
        <v>-73056</v>
      </c>
      <c r="L118" s="85">
        <f t="shared" si="16"/>
        <v>-73056</v>
      </c>
      <c r="N118" t="s">
        <v>143</v>
      </c>
    </row>
    <row r="119" spans="3:18" ht="15" customHeight="1">
      <c r="C119" s="70" t="s">
        <v>120</v>
      </c>
      <c r="D119" s="70"/>
      <c r="E119" s="41">
        <f>E62</f>
        <v>98330</v>
      </c>
      <c r="F119" s="41">
        <f>F62</f>
        <v>70400</v>
      </c>
      <c r="G119" s="41">
        <f>G62</f>
        <v>0</v>
      </c>
      <c r="H119" s="45">
        <f>SUM(H115:H118)</f>
        <v>188993.44</v>
      </c>
      <c r="I119" s="45">
        <f>SUM(I115:I118)</f>
        <v>397016.00636</v>
      </c>
      <c r="J119" s="45">
        <f>SUM(J115:J118)</f>
        <v>625380.70879883994</v>
      </c>
      <c r="K119" s="45">
        <f>SUM(K115:K118)</f>
        <v>875491.15470595984</v>
      </c>
      <c r="L119" s="45">
        <f>SUM(L115:L118)</f>
        <v>1148847.8003806709</v>
      </c>
      <c r="N119" t="s">
        <v>144</v>
      </c>
    </row>
    <row r="120" spans="3:18" ht="15" customHeight="1">
      <c r="F120" s="40"/>
      <c r="G120" s="40"/>
    </row>
    <row r="121" spans="3:18" ht="15" customHeight="1">
      <c r="C121" s="16" t="s">
        <v>145</v>
      </c>
      <c r="D121" s="16"/>
      <c r="E121" s="17"/>
      <c r="F121" s="17"/>
      <c r="G121" s="17"/>
      <c r="H121" s="17"/>
      <c r="I121" s="17"/>
      <c r="J121" s="17"/>
      <c r="K121" s="17"/>
      <c r="L121" s="17"/>
      <c r="P121" s="74"/>
      <c r="Q121" s="74"/>
    </row>
    <row r="122" spans="3:18" ht="15" customHeight="1">
      <c r="C122" s="36" t="str">
        <f>C14</f>
        <v xml:space="preserve">Fiscal year  </v>
      </c>
      <c r="D122" s="36"/>
      <c r="E122" s="37">
        <f t="shared" ref="E122:L123" si="17">E14</f>
        <v>2017</v>
      </c>
      <c r="F122" s="37">
        <f t="shared" si="17"/>
        <v>2018</v>
      </c>
      <c r="G122" s="37">
        <f t="shared" si="17"/>
        <v>2019</v>
      </c>
      <c r="H122" s="65">
        <f t="shared" si="17"/>
        <v>2020</v>
      </c>
      <c r="I122" s="65">
        <f t="shared" si="17"/>
        <v>2021</v>
      </c>
      <c r="J122" s="65">
        <f t="shared" si="17"/>
        <v>2022</v>
      </c>
      <c r="K122" s="65">
        <f t="shared" si="17"/>
        <v>2023</v>
      </c>
      <c r="L122" s="65">
        <f t="shared" si="17"/>
        <v>2024</v>
      </c>
      <c r="P122" s="74"/>
      <c r="Q122" s="74"/>
    </row>
    <row r="123" spans="3:18" ht="15" customHeight="1">
      <c r="C123" s="17" t="str">
        <f>C15</f>
        <v>Fiscal year end date</v>
      </c>
      <c r="D123" s="17"/>
      <c r="E123" s="38">
        <f t="shared" si="17"/>
        <v>43373</v>
      </c>
      <c r="F123" s="38">
        <f t="shared" si="17"/>
        <v>43737</v>
      </c>
      <c r="G123" s="38">
        <f t="shared" si="17"/>
        <v>43737</v>
      </c>
      <c r="H123" s="38">
        <f t="shared" si="17"/>
        <v>44104</v>
      </c>
      <c r="I123" s="38">
        <f t="shared" si="17"/>
        <v>44469</v>
      </c>
      <c r="J123" s="38">
        <f t="shared" si="17"/>
        <v>44834</v>
      </c>
      <c r="K123" s="38">
        <f t="shared" si="17"/>
        <v>45199</v>
      </c>
      <c r="L123" s="38">
        <f t="shared" si="17"/>
        <v>45565</v>
      </c>
      <c r="P123" s="74"/>
      <c r="Q123" s="74"/>
    </row>
    <row r="124" spans="3:18" ht="15" customHeight="1">
      <c r="C124" s="27"/>
      <c r="D124" s="27"/>
      <c r="P124" s="74"/>
      <c r="Q124" s="74"/>
    </row>
    <row r="125" spans="3:18" ht="15" customHeight="1">
      <c r="C125" s="32" t="s">
        <v>146</v>
      </c>
      <c r="D125" s="32"/>
      <c r="P125" s="74"/>
      <c r="Q125" s="74"/>
      <c r="R125" s="74"/>
    </row>
    <row r="126" spans="3:18" ht="15" customHeight="1">
      <c r="C126" s="29" t="s">
        <v>147</v>
      </c>
      <c r="D126" s="29"/>
      <c r="H126" s="42">
        <f>G45</f>
        <v>0</v>
      </c>
      <c r="I126" s="42" t="e">
        <f>H45</f>
        <v>#DIV/0!</v>
      </c>
      <c r="J126" s="42" t="e">
        <f>I45</f>
        <v>#DIV/0!</v>
      </c>
      <c r="K126" s="42" t="e">
        <f>J45</f>
        <v>#DIV/0!</v>
      </c>
      <c r="L126" s="42" t="e">
        <f>K45</f>
        <v>#DIV/0!</v>
      </c>
      <c r="N126" t="s">
        <v>148</v>
      </c>
      <c r="P126" s="74"/>
      <c r="Q126" s="74"/>
    </row>
    <row r="127" spans="3:18" ht="15" customHeight="1">
      <c r="C127" s="29" t="s">
        <v>149</v>
      </c>
      <c r="D127" s="29"/>
      <c r="H127" s="39">
        <v>-50000</v>
      </c>
      <c r="I127" s="39">
        <v>-50000</v>
      </c>
      <c r="J127" s="39">
        <v>-50000</v>
      </c>
      <c r="K127" s="39">
        <v>-50000</v>
      </c>
      <c r="L127" s="39">
        <v>-50000</v>
      </c>
      <c r="N127" t="s">
        <v>150</v>
      </c>
      <c r="P127" s="74"/>
      <c r="Q127" s="74"/>
    </row>
    <row r="128" spans="3:18" ht="15" customHeight="1">
      <c r="C128" s="67" t="s">
        <v>151</v>
      </c>
      <c r="D128" s="67"/>
      <c r="E128" s="80"/>
      <c r="F128" s="80"/>
      <c r="G128" s="80"/>
      <c r="H128" s="85" t="e">
        <f>SUM(H79,H82,H84,H86,H87)</f>
        <v>#DIV/0!</v>
      </c>
      <c r="I128" s="85" t="e">
        <f>SUM(I79,I82,I84,I86,I87)</f>
        <v>#DIV/0!</v>
      </c>
      <c r="J128" s="85" t="e">
        <f>SUM(J79,J82,J84,J86,J87)</f>
        <v>#DIV/0!</v>
      </c>
      <c r="K128" s="85" t="e">
        <f>SUM(K79,K82,K84,K86,K87)</f>
        <v>#DIV/0!</v>
      </c>
      <c r="L128" s="85" t="e">
        <f>SUM(L79,L82,L84,L86,L87)</f>
        <v>#DIV/0!</v>
      </c>
      <c r="N128" t="s">
        <v>152</v>
      </c>
    </row>
    <row r="129" spans="3:20" ht="15" customHeight="1">
      <c r="C129" s="70" t="s">
        <v>153</v>
      </c>
      <c r="D129" s="70"/>
      <c r="H129" s="45" t="e">
        <f>SUM(H126:H128)</f>
        <v>#DIV/0!</v>
      </c>
      <c r="I129" s="45" t="e">
        <f>SUM(I126:I128)</f>
        <v>#DIV/0!</v>
      </c>
      <c r="J129" s="45" t="e">
        <f>SUM(J126:J128)</f>
        <v>#DIV/0!</v>
      </c>
      <c r="K129" s="45" t="e">
        <f>SUM(K126:K128)</f>
        <v>#DIV/0!</v>
      </c>
      <c r="L129" s="45" t="e">
        <f>SUM(L126:L128)</f>
        <v>#DIV/0!</v>
      </c>
    </row>
    <row r="131" spans="3:20" ht="15" customHeight="1">
      <c r="C131" s="27" t="s">
        <v>154</v>
      </c>
      <c r="D131" s="27"/>
    </row>
    <row r="132" spans="3:20" ht="15" customHeight="1">
      <c r="C132" s="29" t="s">
        <v>114</v>
      </c>
      <c r="D132" s="29"/>
      <c r="H132" s="42">
        <f>G135</f>
        <v>0</v>
      </c>
      <c r="I132" s="42" t="e">
        <f>H135</f>
        <v>#DIV/0!</v>
      </c>
      <c r="J132" s="42" t="e">
        <f>I135</f>
        <v>#DIV/0!</v>
      </c>
      <c r="K132" s="42" t="e">
        <f>J135</f>
        <v>#DIV/0!</v>
      </c>
      <c r="L132" s="42" t="e">
        <f>K135</f>
        <v>#DIV/0!</v>
      </c>
      <c r="N132" t="s">
        <v>115</v>
      </c>
    </row>
    <row r="133" spans="3:20" ht="15" customHeight="1">
      <c r="C133" s="29" t="s">
        <v>155</v>
      </c>
      <c r="D133" s="29"/>
      <c r="H133" s="42" t="e">
        <f>-MIN(H129,H132)</f>
        <v>#DIV/0!</v>
      </c>
      <c r="I133" s="42" t="e">
        <f>-MIN(I129,I132)</f>
        <v>#DIV/0!</v>
      </c>
      <c r="J133" s="42" t="e">
        <f>-MIN(J129,J132)</f>
        <v>#DIV/0!</v>
      </c>
      <c r="K133" s="42" t="e">
        <f>-MIN(K129,K132)</f>
        <v>#DIV/0!</v>
      </c>
      <c r="L133" s="42" t="e">
        <f>-MIN(L129,L132)</f>
        <v>#DIV/0!</v>
      </c>
      <c r="N133" t="s">
        <v>156</v>
      </c>
    </row>
    <row r="134" spans="3:20" ht="15" customHeight="1">
      <c r="C134" s="67" t="s">
        <v>157</v>
      </c>
      <c r="D134" s="67"/>
      <c r="E134" s="80"/>
      <c r="F134" s="80"/>
      <c r="G134" s="80"/>
      <c r="H134" s="68">
        <v>12000</v>
      </c>
      <c r="I134" s="68">
        <v>12000</v>
      </c>
      <c r="J134" s="68">
        <v>12000</v>
      </c>
      <c r="K134" s="68">
        <v>12000</v>
      </c>
      <c r="L134" s="68">
        <v>12000</v>
      </c>
      <c r="N134" t="s">
        <v>150</v>
      </c>
    </row>
    <row r="135" spans="3:20" ht="15" customHeight="1">
      <c r="C135" s="29" t="s">
        <v>120</v>
      </c>
      <c r="D135" s="29"/>
      <c r="E135" s="85">
        <f>E56</f>
        <v>11977</v>
      </c>
      <c r="F135" s="85">
        <f>F56</f>
        <v>11964</v>
      </c>
      <c r="G135" s="85">
        <f>G56</f>
        <v>0</v>
      </c>
      <c r="H135" s="86" t="e">
        <f>SUM(H132:H134)</f>
        <v>#DIV/0!</v>
      </c>
      <c r="I135" s="86" t="e">
        <f>SUM(I132:I134)</f>
        <v>#DIV/0!</v>
      </c>
      <c r="J135" s="86" t="e">
        <f>SUM(J132:J134)</f>
        <v>#DIV/0!</v>
      </c>
      <c r="K135" s="86" t="e">
        <f>SUM(K132:K134)</f>
        <v>#DIV/0!</v>
      </c>
      <c r="L135" s="86" t="e">
        <f>SUM(L132:L134)</f>
        <v>#DIV/0!</v>
      </c>
    </row>
    <row r="136" spans="3:20" ht="15" customHeight="1">
      <c r="C136" s="87" t="s">
        <v>158</v>
      </c>
      <c r="D136" s="282"/>
      <c r="E136" s="88"/>
      <c r="F136" s="88"/>
      <c r="G136" s="89"/>
      <c r="H136" s="90" t="e">
        <f>IF(H135&lt;0,"Negative Debt","OK")</f>
        <v>#DIV/0!</v>
      </c>
      <c r="I136" s="90" t="e">
        <f>IF(I135&lt;0,"Negative Debt","OK")</f>
        <v>#DIV/0!</v>
      </c>
      <c r="J136" s="90" t="e">
        <f>IF(J135&lt;0,"Negative Debt","OK")</f>
        <v>#DIV/0!</v>
      </c>
      <c r="K136" s="90" t="e">
        <f>IF(K135&lt;0,"Negative Debt","OK")</f>
        <v>#DIV/0!</v>
      </c>
      <c r="L136" s="91" t="e">
        <f>IF(L135&lt;0,"Negative Debt","OK")</f>
        <v>#DIV/0!</v>
      </c>
      <c r="T136" s="40"/>
    </row>
    <row r="137" spans="3:20" ht="15" customHeight="1">
      <c r="E137" s="42"/>
      <c r="F137" s="42"/>
      <c r="G137" s="92"/>
      <c r="H137" s="93"/>
      <c r="I137" s="93"/>
      <c r="J137" s="93"/>
      <c r="K137" s="93"/>
      <c r="L137" s="93"/>
      <c r="T137" s="40"/>
    </row>
    <row r="138" spans="3:20" ht="15" customHeight="1">
      <c r="C138" s="16" t="s">
        <v>159</v>
      </c>
      <c r="D138" s="16"/>
      <c r="E138" s="76"/>
      <c r="F138" s="76"/>
      <c r="G138" s="76"/>
      <c r="H138" s="94"/>
      <c r="I138" s="94"/>
      <c r="J138" s="94"/>
      <c r="K138" s="94"/>
      <c r="L138" s="94"/>
      <c r="S138" s="95"/>
    </row>
    <row r="139" spans="3:20" ht="15" customHeight="1">
      <c r="C139" s="36" t="str">
        <f>C14</f>
        <v xml:space="preserve">Fiscal year  </v>
      </c>
      <c r="D139" s="36"/>
      <c r="E139" s="37">
        <f t="shared" ref="E139:L140" si="18">E14</f>
        <v>2017</v>
      </c>
      <c r="F139" s="37">
        <f t="shared" si="18"/>
        <v>2018</v>
      </c>
      <c r="G139" s="37">
        <f t="shared" si="18"/>
        <v>2019</v>
      </c>
      <c r="H139" s="65">
        <f t="shared" si="18"/>
        <v>2020</v>
      </c>
      <c r="I139" s="65">
        <f t="shared" si="18"/>
        <v>2021</v>
      </c>
      <c r="J139" s="65">
        <f t="shared" si="18"/>
        <v>2022</v>
      </c>
      <c r="K139" s="65">
        <f t="shared" si="18"/>
        <v>2023</v>
      </c>
      <c r="L139" s="65">
        <f t="shared" si="18"/>
        <v>2024</v>
      </c>
      <c r="S139" s="95"/>
      <c r="T139" s="40"/>
    </row>
    <row r="140" spans="3:20" ht="15" customHeight="1">
      <c r="C140" s="17" t="str">
        <f>C15</f>
        <v>Fiscal year end date</v>
      </c>
      <c r="D140" s="17"/>
      <c r="E140" s="38">
        <f t="shared" si="18"/>
        <v>43373</v>
      </c>
      <c r="F140" s="38">
        <f t="shared" si="18"/>
        <v>43737</v>
      </c>
      <c r="G140" s="38">
        <f t="shared" si="18"/>
        <v>43737</v>
      </c>
      <c r="H140" s="38">
        <f t="shared" si="18"/>
        <v>44104</v>
      </c>
      <c r="I140" s="38">
        <f t="shared" si="18"/>
        <v>44469</v>
      </c>
      <c r="J140" s="38">
        <f t="shared" si="18"/>
        <v>44834</v>
      </c>
      <c r="K140" s="38">
        <f t="shared" si="18"/>
        <v>45199</v>
      </c>
      <c r="L140" s="38">
        <f t="shared" si="18"/>
        <v>45565</v>
      </c>
      <c r="S140" s="95"/>
    </row>
    <row r="141" spans="3:20" ht="15" customHeight="1">
      <c r="C141" s="29"/>
      <c r="D141" s="29"/>
      <c r="E141" s="42"/>
      <c r="F141" s="42"/>
      <c r="G141" s="42"/>
      <c r="H141" s="96"/>
      <c r="I141" s="96"/>
      <c r="J141" s="96"/>
      <c r="K141" s="96"/>
      <c r="L141" s="96"/>
      <c r="S141" s="95"/>
    </row>
    <row r="142" spans="3:20" ht="15" customHeight="1">
      <c r="C142" s="30" t="s">
        <v>160</v>
      </c>
      <c r="D142" s="30"/>
      <c r="E142" s="42">
        <f>-(E24)</f>
        <v>2323</v>
      </c>
      <c r="F142" s="42">
        <f>-(F24)</f>
        <v>3240</v>
      </c>
      <c r="G142" s="42">
        <f>-(G24)</f>
        <v>0</v>
      </c>
      <c r="H142" s="42">
        <f>H147+H152</f>
        <v>0</v>
      </c>
      <c r="I142" s="42">
        <f>I147+I152</f>
        <v>0</v>
      </c>
      <c r="J142" s="42">
        <f>J147+J152</f>
        <v>0</v>
      </c>
      <c r="K142" s="42">
        <f>K147+K152</f>
        <v>0</v>
      </c>
      <c r="L142" s="42">
        <f>L147+L152</f>
        <v>0</v>
      </c>
      <c r="N142" t="s">
        <v>161</v>
      </c>
      <c r="S142" s="40"/>
    </row>
    <row r="143" spans="3:20" ht="15" customHeight="1">
      <c r="C143" s="97"/>
      <c r="D143" s="97"/>
      <c r="S143" s="40"/>
    </row>
    <row r="144" spans="3:20" ht="15" customHeight="1">
      <c r="C144" s="98" t="s">
        <v>162</v>
      </c>
      <c r="D144" s="98"/>
      <c r="S144" s="40"/>
    </row>
    <row r="145" spans="3:19" ht="15" customHeight="1">
      <c r="C145" s="29" t="s">
        <v>163</v>
      </c>
      <c r="D145" s="29"/>
      <c r="F145" s="99">
        <v>1.2E-2</v>
      </c>
      <c r="G145" s="99">
        <v>2.18E-2</v>
      </c>
      <c r="H145" s="125">
        <f>G145</f>
        <v>2.18E-2</v>
      </c>
      <c r="I145" s="125">
        <f>H145</f>
        <v>2.18E-2</v>
      </c>
      <c r="J145" s="125">
        <f>I145</f>
        <v>2.18E-2</v>
      </c>
      <c r="K145" s="125">
        <f>J145</f>
        <v>2.18E-2</v>
      </c>
      <c r="L145" s="125">
        <f>K145</f>
        <v>2.18E-2</v>
      </c>
      <c r="N145" t="s">
        <v>164</v>
      </c>
    </row>
    <row r="146" spans="3:19" ht="15" customHeight="1">
      <c r="C146" s="29" t="s">
        <v>165</v>
      </c>
      <c r="D146" s="29"/>
      <c r="E146" s="85"/>
      <c r="F146" s="85">
        <f t="shared" ref="F146:L146" si="19">F56</f>
        <v>11964</v>
      </c>
      <c r="G146" s="85">
        <f t="shared" si="19"/>
        <v>0</v>
      </c>
      <c r="H146" s="42" t="e">
        <f t="shared" si="19"/>
        <v>#DIV/0!</v>
      </c>
      <c r="I146" s="42" t="e">
        <f t="shared" si="19"/>
        <v>#DIV/0!</v>
      </c>
      <c r="J146" s="42" t="e">
        <f t="shared" si="19"/>
        <v>#DIV/0!</v>
      </c>
      <c r="K146" s="42" t="e">
        <f t="shared" si="19"/>
        <v>#DIV/0!</v>
      </c>
      <c r="L146" s="42" t="e">
        <f t="shared" si="19"/>
        <v>#DIV/0!</v>
      </c>
      <c r="N146" t="s">
        <v>166</v>
      </c>
    </row>
    <row r="147" spans="3:19" ht="15" customHeight="1">
      <c r="C147" s="101" t="s">
        <v>167</v>
      </c>
      <c r="D147" s="283"/>
      <c r="E147" s="42"/>
      <c r="F147" s="45">
        <f>AVERAGE(E146:F146)*F145</f>
        <v>143.56800000000001</v>
      </c>
      <c r="G147" s="45">
        <f>AVERAGE(F146:G146)*G145</f>
        <v>130.4076</v>
      </c>
      <c r="H147" s="119">
        <f>IF($D$7=1,AVERAGE(G146,H146)*H145,0)</f>
        <v>0</v>
      </c>
      <c r="I147" s="119">
        <f>IF($D$7=1,AVERAGE(H146,I146)*I145,0)</f>
        <v>0</v>
      </c>
      <c r="J147" s="119">
        <f>IF($D$7=1,AVERAGE(I146,J146)*J145,0)</f>
        <v>0</v>
      </c>
      <c r="K147" s="119">
        <f>IF($D$7=1,AVERAGE(J146,K146)*K145,0)</f>
        <v>0</v>
      </c>
      <c r="L147" s="119">
        <f>IF($D$7=1,AVERAGE(K146,L146)*L145,0)</f>
        <v>0</v>
      </c>
      <c r="N147" t="s">
        <v>168</v>
      </c>
    </row>
    <row r="148" spans="3:19" ht="15" customHeight="1">
      <c r="C148" s="103"/>
      <c r="D148" s="103"/>
      <c r="E148" s="42"/>
      <c r="F148" s="42"/>
      <c r="G148" s="42"/>
    </row>
    <row r="149" spans="3:19" ht="15" customHeight="1">
      <c r="C149" s="98" t="s">
        <v>105</v>
      </c>
      <c r="D149" s="98"/>
      <c r="E149" s="42"/>
      <c r="F149" s="42"/>
      <c r="G149" s="42"/>
    </row>
    <row r="150" spans="3:19" ht="15" customHeight="1">
      <c r="C150" s="29" t="s">
        <v>165</v>
      </c>
      <c r="D150" s="29"/>
      <c r="E150" s="42"/>
      <c r="F150" s="42">
        <f t="shared" ref="F150:L150" si="20">F57</f>
        <v>102519</v>
      </c>
      <c r="G150" s="42">
        <f t="shared" si="20"/>
        <v>0</v>
      </c>
      <c r="H150" s="42">
        <f t="shared" si="20"/>
        <v>0</v>
      </c>
      <c r="I150" s="42">
        <f t="shared" si="20"/>
        <v>0</v>
      </c>
      <c r="J150" s="42">
        <f t="shared" si="20"/>
        <v>0</v>
      </c>
      <c r="K150" s="42">
        <f t="shared" si="20"/>
        <v>0</v>
      </c>
      <c r="L150" s="42">
        <f t="shared" si="20"/>
        <v>0</v>
      </c>
      <c r="N150" t="s">
        <v>107</v>
      </c>
    </row>
    <row r="151" spans="3:19" ht="15" customHeight="1">
      <c r="C151" s="29" t="s">
        <v>163</v>
      </c>
      <c r="D151" s="29"/>
      <c r="F151" s="51">
        <f>F152/AVERAGE(E150:F150)</f>
        <v>3.0203493986480551E-2</v>
      </c>
      <c r="G151" s="51">
        <f>G152/AVERAGE(F150:G150)</f>
        <v>-2.5440669534427763E-3</v>
      </c>
      <c r="H151" s="126">
        <f>G151</f>
        <v>-2.5440669534427763E-3</v>
      </c>
      <c r="I151" s="126">
        <f>H151</f>
        <v>-2.5440669534427763E-3</v>
      </c>
      <c r="J151" s="126">
        <f>I151</f>
        <v>-2.5440669534427763E-3</v>
      </c>
      <c r="K151" s="126">
        <f>J151</f>
        <v>-2.5440669534427763E-3</v>
      </c>
      <c r="L151" s="126">
        <f>K151</f>
        <v>-2.5440669534427763E-3</v>
      </c>
      <c r="N151" t="s">
        <v>164</v>
      </c>
      <c r="S151" s="95"/>
    </row>
    <row r="152" spans="3:19" ht="15" customHeight="1">
      <c r="C152" s="70" t="s">
        <v>169</v>
      </c>
      <c r="D152" s="70"/>
      <c r="E152" s="45"/>
      <c r="F152" s="45">
        <f>F142-F147</f>
        <v>3096.4319999999998</v>
      </c>
      <c r="G152" s="45">
        <f>G142-G147</f>
        <v>-130.4076</v>
      </c>
      <c r="H152" s="41">
        <f>H151*AVERAGE(G150:H150)</f>
        <v>0</v>
      </c>
      <c r="I152" s="41">
        <f>I151*AVERAGE(H150:I150)</f>
        <v>0</v>
      </c>
      <c r="J152" s="41">
        <f>J151*AVERAGE(I150:J150)</f>
        <v>0</v>
      </c>
      <c r="K152" s="41">
        <f>K151*AVERAGE(J150:K150)</f>
        <v>0</v>
      </c>
      <c r="L152" s="41">
        <f>L151*AVERAGE(K150:L150)</f>
        <v>0</v>
      </c>
      <c r="N152" t="s">
        <v>170</v>
      </c>
    </row>
    <row r="153" spans="3:19" ht="15" customHeight="1">
      <c r="F153" s="42"/>
    </row>
    <row r="154" spans="3:19" ht="15" customHeight="1">
      <c r="C154" s="97" t="s">
        <v>171</v>
      </c>
      <c r="D154" s="97"/>
      <c r="F154" s="42"/>
      <c r="G154" s="42"/>
    </row>
    <row r="155" spans="3:19" ht="15" customHeight="1">
      <c r="C155" s="29" t="s">
        <v>172</v>
      </c>
      <c r="D155" s="29"/>
      <c r="E155" s="49">
        <v>1.7299999999999999E-2</v>
      </c>
      <c r="F155" s="99">
        <v>1.9900000000000001E-2</v>
      </c>
      <c r="G155" s="99">
        <v>2.1600000000000001E-2</v>
      </c>
      <c r="H155" s="127">
        <f>G155</f>
        <v>2.1600000000000001E-2</v>
      </c>
      <c r="I155" s="127">
        <f>H155</f>
        <v>2.1600000000000001E-2</v>
      </c>
      <c r="J155" s="127">
        <f>I155</f>
        <v>2.1600000000000001E-2</v>
      </c>
      <c r="K155" s="127">
        <f>J155</f>
        <v>2.1600000000000001E-2</v>
      </c>
      <c r="L155" s="127">
        <f>K155</f>
        <v>2.1600000000000001E-2</v>
      </c>
      <c r="N155" t="s">
        <v>164</v>
      </c>
    </row>
    <row r="156" spans="3:19" ht="15" customHeight="1">
      <c r="C156" s="29" t="s">
        <v>19</v>
      </c>
      <c r="D156" s="29"/>
      <c r="E156" s="42">
        <f>E23</f>
        <v>5201</v>
      </c>
      <c r="F156" s="42">
        <f>F23</f>
        <v>5686</v>
      </c>
      <c r="G156" s="42">
        <f>G23</f>
        <v>0</v>
      </c>
      <c r="H156" s="44">
        <f>IF($D$7=1,AVERAGE(G45,H45)*H155,0)</f>
        <v>0</v>
      </c>
      <c r="I156" s="44">
        <f>IF($D$7=1,AVERAGE(H45,I45)*I155,0)</f>
        <v>0</v>
      </c>
      <c r="J156" s="44">
        <f>IF($D$7=1,AVERAGE(I45,J45)*J155,0)</f>
        <v>0</v>
      </c>
      <c r="K156" s="44">
        <f>IF($D$7=1,AVERAGE(J45,K45)*K155,0)</f>
        <v>0</v>
      </c>
      <c r="L156" s="44">
        <f>IF($D$7=1,AVERAGE(K45,L45)*L155,0)</f>
        <v>0</v>
      </c>
      <c r="N156" t="s">
        <v>173</v>
      </c>
    </row>
    <row r="157" spans="3:19" ht="15" customHeight="1">
      <c r="C157" s="50"/>
      <c r="D157" s="50"/>
      <c r="E157" s="51"/>
      <c r="F157" s="51"/>
      <c r="G157" s="51"/>
      <c r="H157" s="51"/>
      <c r="I157" s="51"/>
    </row>
    <row r="158" spans="3:19" ht="15" customHeight="1">
      <c r="C158" s="16" t="s">
        <v>204</v>
      </c>
      <c r="D158" s="16"/>
      <c r="E158" s="16"/>
      <c r="F158" s="16"/>
      <c r="G158" s="16"/>
      <c r="H158" s="16"/>
      <c r="I158" s="16"/>
      <c r="J158" s="16"/>
      <c r="K158" s="16"/>
      <c r="L158" s="16"/>
    </row>
    <row r="159" spans="3:19" ht="15" customHeight="1">
      <c r="C159" s="36" t="str">
        <f>C14</f>
        <v xml:space="preserve">Fiscal year  </v>
      </c>
      <c r="D159" s="36"/>
      <c r="E159" s="37">
        <f t="shared" ref="E159:L160" si="21">E14</f>
        <v>2017</v>
      </c>
      <c r="F159" s="37">
        <f t="shared" si="21"/>
        <v>2018</v>
      </c>
      <c r="G159" s="37">
        <f t="shared" si="21"/>
        <v>2019</v>
      </c>
      <c r="H159" s="65">
        <f t="shared" si="21"/>
        <v>2020</v>
      </c>
      <c r="I159" s="65">
        <f t="shared" si="21"/>
        <v>2021</v>
      </c>
      <c r="J159" s="65">
        <f t="shared" si="21"/>
        <v>2022</v>
      </c>
      <c r="K159" s="65">
        <f t="shared" si="21"/>
        <v>2023</v>
      </c>
      <c r="L159" s="65">
        <f t="shared" si="21"/>
        <v>2024</v>
      </c>
    </row>
    <row r="160" spans="3:19" ht="15" customHeight="1">
      <c r="C160" s="17" t="str">
        <f>C15</f>
        <v>Fiscal year end date</v>
      </c>
      <c r="D160" s="17"/>
      <c r="E160" s="38">
        <f t="shared" si="21"/>
        <v>43373</v>
      </c>
      <c r="F160" s="38">
        <f t="shared" si="21"/>
        <v>43737</v>
      </c>
      <c r="G160" s="38">
        <f t="shared" si="21"/>
        <v>43737</v>
      </c>
      <c r="H160" s="38">
        <f t="shared" si="21"/>
        <v>44104</v>
      </c>
      <c r="I160" s="38">
        <f t="shared" si="21"/>
        <v>44469</v>
      </c>
      <c r="J160" s="38">
        <f t="shared" si="21"/>
        <v>44834</v>
      </c>
      <c r="K160" s="38">
        <f t="shared" si="21"/>
        <v>45199</v>
      </c>
      <c r="L160" s="38">
        <f t="shared" si="21"/>
        <v>45565</v>
      </c>
    </row>
    <row r="161" spans="3:14" ht="15" customHeight="1">
      <c r="H161" s="35"/>
      <c r="I161" s="35"/>
      <c r="J161" s="35"/>
      <c r="K161" s="63"/>
      <c r="L161" s="63"/>
    </row>
    <row r="162" spans="3:14" ht="15" customHeight="1">
      <c r="C162" t="s">
        <v>24</v>
      </c>
      <c r="E162" s="42">
        <f t="shared" ref="E162:L162" si="22">E28</f>
        <v>48351</v>
      </c>
      <c r="F162" s="42">
        <f t="shared" si="22"/>
        <v>59531</v>
      </c>
      <c r="G162" s="42">
        <f t="shared" si="22"/>
        <v>260174</v>
      </c>
      <c r="H162" s="42">
        <f t="shared" si="22"/>
        <v>275784.44</v>
      </c>
      <c r="I162" s="42">
        <f t="shared" si="22"/>
        <v>294813.56636</v>
      </c>
      <c r="J162" s="42">
        <f t="shared" si="22"/>
        <v>315155.70243884</v>
      </c>
      <c r="K162" s="42">
        <f t="shared" si="22"/>
        <v>336901.44590711995</v>
      </c>
      <c r="L162" s="42">
        <f t="shared" si="22"/>
        <v>360147.64567471121</v>
      </c>
      <c r="N162" t="s">
        <v>205</v>
      </c>
    </row>
    <row r="163" spans="3:14" ht="15" customHeight="1">
      <c r="C163" t="s">
        <v>206</v>
      </c>
      <c r="E163" s="39">
        <v>5470.82</v>
      </c>
      <c r="F163" s="39">
        <v>5217.2420000000002</v>
      </c>
      <c r="G163" s="39">
        <v>4955.3770000000004</v>
      </c>
      <c r="H163" s="42">
        <f>G163+(-H169+H170)/H171</f>
        <v>4549.5103333333336</v>
      </c>
      <c r="I163" s="42">
        <f>H163+(-I169+I170)/I171</f>
        <v>4196.5827971014496</v>
      </c>
      <c r="J163" s="42">
        <f>I163+(-J169+J170)/J171</f>
        <v>3889.6892873345937</v>
      </c>
      <c r="K163" s="42">
        <f>J163+(-K169+K170)/K171</f>
        <v>3622.8253657981973</v>
      </c>
      <c r="L163" s="42">
        <f>K163+(-L169+L170)/L171</f>
        <v>3390.7697818535048</v>
      </c>
      <c r="N163" t="s">
        <v>207</v>
      </c>
    </row>
    <row r="164" spans="3:14" ht="15" customHeight="1">
      <c r="C164" s="27" t="s">
        <v>208</v>
      </c>
      <c r="D164" s="27"/>
      <c r="E164" s="277">
        <f t="shared" ref="E164:L164" si="23">E162/E163</f>
        <v>8.837980412442743</v>
      </c>
      <c r="F164" s="277">
        <f t="shared" si="23"/>
        <v>11.410434861944299</v>
      </c>
      <c r="G164" s="277">
        <f t="shared" si="23"/>
        <v>52.503371590092939</v>
      </c>
      <c r="H164" s="277">
        <f t="shared" si="23"/>
        <v>60.618488539169526</v>
      </c>
      <c r="I164" s="277">
        <f t="shared" si="23"/>
        <v>70.250863765544111</v>
      </c>
      <c r="J164" s="277">
        <f t="shared" si="23"/>
        <v>81.023361805539011</v>
      </c>
      <c r="K164" s="277">
        <f t="shared" si="23"/>
        <v>92.994116991585187</v>
      </c>
      <c r="L164" s="277">
        <f t="shared" si="23"/>
        <v>106.21412506449872</v>
      </c>
      <c r="N164" t="s">
        <v>209</v>
      </c>
    </row>
    <row r="165" spans="3:14" ht="15" customHeight="1">
      <c r="E165" s="39"/>
      <c r="F165" s="39"/>
      <c r="G165" s="39"/>
      <c r="H165" s="42"/>
    </row>
    <row r="166" spans="3:14" ht="15" customHeight="1">
      <c r="C166" t="s">
        <v>210</v>
      </c>
      <c r="E166" s="39">
        <v>5500.2809999999999</v>
      </c>
      <c r="F166" s="39">
        <v>5251.692</v>
      </c>
      <c r="G166" s="39">
        <v>5000.1090000000004</v>
      </c>
      <c r="H166" s="42">
        <f>H163+G166-G163</f>
        <v>4594.2423333333336</v>
      </c>
      <c r="I166" s="42">
        <f>I163+H166-H163</f>
        <v>4241.3147971014496</v>
      </c>
      <c r="J166" s="42">
        <f>J163+I166-I163</f>
        <v>3934.4212873345932</v>
      </c>
      <c r="K166" s="42">
        <f>K163+J166-J163</f>
        <v>3667.5573657981963</v>
      </c>
      <c r="L166" s="42">
        <f>L163+K166-K163</f>
        <v>3435.5017818535039</v>
      </c>
      <c r="N166" t="s">
        <v>211</v>
      </c>
    </row>
    <row r="167" spans="3:14" ht="15" customHeight="1">
      <c r="C167" s="27" t="s">
        <v>212</v>
      </c>
      <c r="D167" s="27"/>
      <c r="E167" s="277">
        <f t="shared" ref="E167:L167" si="24">E162/E166</f>
        <v>8.7906417872105074</v>
      </c>
      <c r="F167" s="277">
        <f t="shared" si="24"/>
        <v>11.335584798194564</v>
      </c>
      <c r="G167" s="277">
        <f t="shared" si="24"/>
        <v>52.033665666088474</v>
      </c>
      <c r="H167" s="277">
        <f t="shared" si="24"/>
        <v>60.028274520709871</v>
      </c>
      <c r="I167" s="277">
        <f t="shared" si="24"/>
        <v>69.50994690643526</v>
      </c>
      <c r="J167" s="277">
        <f t="shared" si="24"/>
        <v>80.102174989080765</v>
      </c>
      <c r="K167" s="277">
        <f t="shared" si="24"/>
        <v>91.859898102452092</v>
      </c>
      <c r="L167" s="277">
        <f t="shared" si="24"/>
        <v>104.8311625326552</v>
      </c>
      <c r="N167" t="s">
        <v>213</v>
      </c>
    </row>
    <row r="168" spans="3:14" ht="15" customHeight="1">
      <c r="H168" s="151"/>
    </row>
    <row r="169" spans="3:14" ht="15" customHeight="1">
      <c r="C169" t="s">
        <v>214</v>
      </c>
      <c r="H169" s="42">
        <f>-(H86)</f>
        <v>73056</v>
      </c>
      <c r="I169" s="42">
        <f>-(I86)</f>
        <v>73056</v>
      </c>
      <c r="J169" s="42">
        <f>-(J86)</f>
        <v>73056</v>
      </c>
      <c r="K169" s="42">
        <f>-(K86)</f>
        <v>73056</v>
      </c>
      <c r="L169" s="42">
        <f>-(L86)</f>
        <v>73056</v>
      </c>
      <c r="N169" t="s">
        <v>215</v>
      </c>
    </row>
    <row r="170" spans="3:14" ht="15" customHeight="1">
      <c r="C170" t="s">
        <v>216</v>
      </c>
      <c r="H170" s="44">
        <f>H32</f>
        <v>0</v>
      </c>
      <c r="I170" s="44">
        <f>I32</f>
        <v>0</v>
      </c>
      <c r="J170" s="44">
        <f>J32</f>
        <v>0</v>
      </c>
      <c r="K170" s="44">
        <f>K32</f>
        <v>0</v>
      </c>
      <c r="L170" s="44">
        <f>L32</f>
        <v>0</v>
      </c>
      <c r="N170" t="s">
        <v>217</v>
      </c>
    </row>
    <row r="171" spans="3:14" ht="15" customHeight="1">
      <c r="C171" t="s">
        <v>218</v>
      </c>
      <c r="H171" s="284">
        <v>180</v>
      </c>
      <c r="I171" s="151">
        <f>H171*(1+I172)</f>
        <v>206.99999999999997</v>
      </c>
      <c r="J171" s="151">
        <f>I171*(1+J172)</f>
        <v>238.04999999999995</v>
      </c>
      <c r="K171" s="151">
        <f>J171*(1+K172)</f>
        <v>273.75749999999994</v>
      </c>
      <c r="L171" s="151">
        <f>K171*(1+L172)</f>
        <v>314.82112499999988</v>
      </c>
      <c r="N171" t="s">
        <v>219</v>
      </c>
    </row>
    <row r="172" spans="3:14" ht="15" customHeight="1">
      <c r="C172" t="s">
        <v>220</v>
      </c>
      <c r="I172" s="116">
        <v>0.15</v>
      </c>
      <c r="J172" s="116">
        <v>0.15</v>
      </c>
      <c r="K172" s="116">
        <v>0.15</v>
      </c>
      <c r="L172" s="116">
        <v>0.15</v>
      </c>
      <c r="N172" t="s">
        <v>221</v>
      </c>
    </row>
    <row r="173" spans="3:14" ht="15" customHeight="1">
      <c r="N173" s="32" t="s">
        <v>222</v>
      </c>
    </row>
    <row r="174" spans="3:14" ht="15" customHeight="1">
      <c r="C174" s="27" t="s">
        <v>223</v>
      </c>
      <c r="D174" s="27"/>
      <c r="E174" s="27"/>
      <c r="F174" s="27"/>
      <c r="G174" s="154" t="s">
        <v>224</v>
      </c>
      <c r="H174" s="285">
        <f>D11</f>
        <v>4745.3980000000001</v>
      </c>
      <c r="I174" s="45">
        <f>H176</f>
        <v>4339.5313333333334</v>
      </c>
      <c r="J174" s="45">
        <f>I176</f>
        <v>3986.6037971014493</v>
      </c>
      <c r="K174" s="45">
        <f>J176</f>
        <v>3679.7102873345934</v>
      </c>
      <c r="L174" s="45">
        <f>K176</f>
        <v>3412.846365798197</v>
      </c>
      <c r="N174" t="s">
        <v>225</v>
      </c>
    </row>
    <row r="175" spans="3:14" ht="15" customHeight="1">
      <c r="C175" t="s">
        <v>226</v>
      </c>
      <c r="H175" s="42">
        <f>(-H169+H170)/H171</f>
        <v>-405.86666666666667</v>
      </c>
      <c r="I175" s="42">
        <f>(-I169+I170)/I171</f>
        <v>-352.92753623188412</v>
      </c>
      <c r="J175" s="42">
        <f>(-J169+J170)/J171</f>
        <v>-306.89350976685574</v>
      </c>
      <c r="K175" s="42">
        <f>(-K169+K170)/K171</f>
        <v>-266.86392153639633</v>
      </c>
      <c r="L175" s="42">
        <f>(-L169+L170)/L171</f>
        <v>-232.0555839446925</v>
      </c>
      <c r="N175" t="s">
        <v>227</v>
      </c>
    </row>
    <row r="176" spans="3:14" ht="15" customHeight="1">
      <c r="C176" t="s">
        <v>228</v>
      </c>
      <c r="H176" s="42">
        <f>SUM(H174:H175)</f>
        <v>4339.5313333333334</v>
      </c>
      <c r="I176" s="42">
        <f>SUM(I174:I175)</f>
        <v>3986.6037971014493</v>
      </c>
      <c r="J176" s="42">
        <f>SUM(J174:J175)</f>
        <v>3679.7102873345934</v>
      </c>
      <c r="K176" s="42">
        <f>SUM(K174:K175)</f>
        <v>3412.846365798197</v>
      </c>
      <c r="L176" s="42">
        <f>SUM(L174:L175)</f>
        <v>3180.7907818535045</v>
      </c>
      <c r="N176" t="s">
        <v>229</v>
      </c>
    </row>
    <row r="177" spans="3:14" ht="15" customHeight="1">
      <c r="C177" s="27" t="s">
        <v>230</v>
      </c>
      <c r="D177" s="27"/>
      <c r="E177" s="27"/>
      <c r="F177" s="27"/>
      <c r="G177" s="27"/>
      <c r="H177" s="45">
        <f>AVERAGE(H176,H174)</f>
        <v>4542.4646666666667</v>
      </c>
      <c r="I177" s="45">
        <f>AVERAGE(I176,I174)</f>
        <v>4163.0675652173913</v>
      </c>
      <c r="J177" s="45">
        <f>AVERAGE(J176,J174)</f>
        <v>3833.1570422180212</v>
      </c>
      <c r="K177" s="45">
        <f>AVERAGE(K176,K174)</f>
        <v>3546.2783265663952</v>
      </c>
      <c r="L177" s="45">
        <f>AVERAGE(L176,L174)</f>
        <v>3296.8185738258508</v>
      </c>
      <c r="N177" t="s">
        <v>231</v>
      </c>
    </row>
    <row r="178" spans="3:14" ht="15" customHeight="1">
      <c r="N178" s="32" t="s">
        <v>232</v>
      </c>
    </row>
    <row r="179" spans="3:14" ht="15" customHeight="1">
      <c r="C179" s="27" t="s">
        <v>24</v>
      </c>
      <c r="D179" s="27"/>
      <c r="E179" s="45">
        <f t="shared" ref="E179:L179" si="25">E162</f>
        <v>48351</v>
      </c>
      <c r="F179" s="45">
        <f t="shared" si="25"/>
        <v>59531</v>
      </c>
      <c r="G179" s="45">
        <f t="shared" si="25"/>
        <v>260174</v>
      </c>
      <c r="H179" s="45">
        <f t="shared" si="25"/>
        <v>275784.44</v>
      </c>
      <c r="I179" s="45">
        <f t="shared" si="25"/>
        <v>294813.56636</v>
      </c>
      <c r="J179" s="45">
        <f t="shared" si="25"/>
        <v>315155.70243884</v>
      </c>
      <c r="K179" s="45">
        <f t="shared" si="25"/>
        <v>336901.44590711995</v>
      </c>
      <c r="L179" s="45">
        <f t="shared" si="25"/>
        <v>360147.64567471121</v>
      </c>
      <c r="N179" t="s">
        <v>233</v>
      </c>
    </row>
    <row r="180" spans="3:14" ht="15" customHeight="1">
      <c r="C180" s="29" t="s">
        <v>234</v>
      </c>
      <c r="D180" s="29"/>
      <c r="F180" s="208">
        <f t="shared" ref="F180:L180" si="26">F179/E179-1</f>
        <v>0.23122582780087275</v>
      </c>
      <c r="G180" s="51">
        <f t="shared" si="26"/>
        <v>3.3703952562530448</v>
      </c>
      <c r="H180" s="51">
        <f t="shared" si="26"/>
        <v>6.0000000000000053E-2</v>
      </c>
      <c r="I180" s="51">
        <f t="shared" si="26"/>
        <v>6.899999999999995E-2</v>
      </c>
      <c r="J180" s="51">
        <f t="shared" si="26"/>
        <v>6.899999999999995E-2</v>
      </c>
      <c r="K180" s="51">
        <f t="shared" si="26"/>
        <v>6.899999999999995E-2</v>
      </c>
      <c r="L180" s="51">
        <f t="shared" si="26"/>
        <v>6.899999999999995E-2</v>
      </c>
      <c r="N180" t="s">
        <v>235</v>
      </c>
    </row>
  </sheetData>
  <mergeCells count="1">
    <mergeCell ref="H95:L95"/>
  </mergeCells>
  <conditionalFormatting sqref="C39:D39">
    <cfRule type="expression" dxfId="3" priority="2">
      <formula>#REF!=$C39</formula>
    </cfRule>
  </conditionalFormatting>
  <dataValidations count="2">
    <dataValidation type="list" allowBlank="1" showInputMessage="1" showErrorMessage="1" sqref="C3" xr:uid="{00000000-0002-0000-1100-000000000000}">
      <formula1>"$ bns except per share,$ mm except per share,$ in thousands except per share"</formula1>
      <formula2>0</formula2>
    </dataValidation>
    <dataValidation type="list" allowBlank="1" showInputMessage="1" showErrorMessage="1" sqref="D7" xr:uid="{00000000-0002-0000-1100-000001000000}">
      <formula1>"0,1"</formula1>
      <formula2>0</formula2>
    </dataValidation>
  </dataValidations>
  <pageMargins left="0.7" right="0.7" top="0.75" bottom="0.75" header="0.511811023622047" footer="0.511811023622047"/>
  <pageSetup orientation="portrait" horizontalDpi="300" verticalDpi="300"/>
  <legacy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C1:U203"/>
  <sheetViews>
    <sheetView zoomScale="130" zoomScaleNormal="130" workbookViewId="0">
      <selection activeCell="K10" sqref="K10"/>
    </sheetView>
  </sheetViews>
  <sheetFormatPr baseColWidth="10" defaultColWidth="8.83203125" defaultRowHeight="15"/>
  <cols>
    <col min="1" max="2" width="1.6640625" customWidth="1"/>
    <col min="3" max="3" width="46.6640625" customWidth="1"/>
    <col min="4" max="4" width="12.5" customWidth="1"/>
    <col min="5" max="12" width="11.5" customWidth="1"/>
    <col min="13" max="13" width="3.33203125" customWidth="1"/>
    <col min="14" max="14" width="11.83203125" customWidth="1"/>
    <col min="15" max="17" width="10.33203125" customWidth="1"/>
    <col min="18" max="19" width="9.5" customWidth="1"/>
  </cols>
  <sheetData>
    <row r="1" spans="3:20" ht="15.75" customHeight="1"/>
    <row r="2" spans="3:20" ht="15.75" customHeight="1">
      <c r="C2" s="4" t="str">
        <f>"Financial Statement Model for "&amp;D5</f>
        <v>Financial Statement Model for Apple</v>
      </c>
      <c r="D2" s="5"/>
      <c r="E2" s="5"/>
      <c r="F2" s="5"/>
      <c r="G2" s="5"/>
      <c r="H2" s="5"/>
      <c r="I2" s="5"/>
      <c r="J2" s="5"/>
      <c r="K2" s="5"/>
      <c r="L2" s="5"/>
    </row>
    <row r="3" spans="3:20" ht="15" customHeight="1">
      <c r="C3" s="6" t="s">
        <v>0</v>
      </c>
      <c r="D3" s="7"/>
      <c r="E3" s="7"/>
      <c r="F3" s="7"/>
      <c r="G3" s="7"/>
      <c r="H3" s="7"/>
    </row>
    <row r="5" spans="3:20" ht="15" customHeight="1">
      <c r="C5" s="8" t="s">
        <v>1</v>
      </c>
      <c r="D5" s="9" t="s">
        <v>2</v>
      </c>
      <c r="I5" t="s">
        <v>188</v>
      </c>
      <c r="L5" s="10" t="s">
        <v>189</v>
      </c>
    </row>
    <row r="6" spans="3:20" ht="15" customHeight="1">
      <c r="C6" s="8" t="s">
        <v>3</v>
      </c>
      <c r="D6" s="9" t="s">
        <v>4</v>
      </c>
    </row>
    <row r="7" spans="3:20" ht="15" customHeight="1">
      <c r="C7" t="s">
        <v>5</v>
      </c>
      <c r="D7" s="10">
        <v>1</v>
      </c>
    </row>
    <row r="8" spans="3:20" ht="15" customHeight="1">
      <c r="C8" t="s">
        <v>6</v>
      </c>
      <c r="D8" s="11">
        <v>293.64999999999998</v>
      </c>
    </row>
    <row r="9" spans="3:20" ht="15" customHeight="1">
      <c r="C9" t="s">
        <v>7</v>
      </c>
      <c r="D9" s="12">
        <v>43830</v>
      </c>
    </row>
    <row r="10" spans="3:20" ht="15" customHeight="1">
      <c r="C10" s="8" t="s">
        <v>8</v>
      </c>
      <c r="D10" s="13">
        <v>43737</v>
      </c>
    </row>
    <row r="11" spans="3:20" ht="15" customHeight="1">
      <c r="C11" t="s">
        <v>9</v>
      </c>
      <c r="D11" s="54">
        <v>4443.2650000000003</v>
      </c>
    </row>
    <row r="13" spans="3:20" ht="15" customHeight="1">
      <c r="C13" s="16" t="s">
        <v>10</v>
      </c>
      <c r="D13" s="17"/>
      <c r="E13" s="17"/>
      <c r="F13" s="17"/>
      <c r="G13" s="17"/>
      <c r="H13" s="17"/>
      <c r="I13" s="17"/>
      <c r="J13" s="17"/>
      <c r="K13" s="17"/>
      <c r="L13" s="17"/>
    </row>
    <row r="14" spans="3:20" ht="15" customHeight="1">
      <c r="C14" t="s">
        <v>11</v>
      </c>
      <c r="D14" s="18">
        <f>E14-1</f>
        <v>2016</v>
      </c>
      <c r="E14" s="18">
        <f>F14-1</f>
        <v>2017</v>
      </c>
      <c r="F14" s="18">
        <f>G14-1</f>
        <v>2018</v>
      </c>
      <c r="G14" s="18">
        <f>YEAR(D10)</f>
        <v>2019</v>
      </c>
      <c r="H14" s="55">
        <f>G14+1</f>
        <v>2020</v>
      </c>
      <c r="I14" s="55">
        <f>H14+1</f>
        <v>2021</v>
      </c>
      <c r="J14" s="55">
        <f>I14+1</f>
        <v>2022</v>
      </c>
      <c r="K14" s="55">
        <f>J14+1</f>
        <v>2023</v>
      </c>
      <c r="L14" s="55">
        <f>K14+1</f>
        <v>2024</v>
      </c>
    </row>
    <row r="15" spans="3:20" ht="15" customHeight="1">
      <c r="C15" s="19" t="s">
        <v>12</v>
      </c>
      <c r="D15" s="20">
        <f>EOMONTH(E15,-12)</f>
        <v>42643</v>
      </c>
      <c r="E15" s="20">
        <f>EOMONTH(F15,-12)</f>
        <v>43008</v>
      </c>
      <c r="F15" s="20">
        <v>43372</v>
      </c>
      <c r="G15" s="20">
        <f>D10</f>
        <v>43737</v>
      </c>
      <c r="H15" s="20">
        <f>EOMONTH(G15,12)</f>
        <v>44104</v>
      </c>
      <c r="I15" s="20">
        <f>EOMONTH(H15,12)</f>
        <v>44469</v>
      </c>
      <c r="J15" s="20">
        <f>EOMONTH(I15,12)</f>
        <v>44834</v>
      </c>
      <c r="K15" s="20">
        <f>EOMONTH(J15,12)</f>
        <v>45199</v>
      </c>
      <c r="L15" s="20">
        <f>EOMONTH(K15,12)</f>
        <v>45565</v>
      </c>
      <c r="N15" s="16" t="s">
        <v>66</v>
      </c>
      <c r="O15" s="17"/>
      <c r="P15" s="17"/>
      <c r="Q15" s="17"/>
      <c r="R15" s="17"/>
      <c r="S15" s="17"/>
      <c r="T15" s="17"/>
    </row>
    <row r="16" spans="3:20" ht="15" customHeight="1">
      <c r="C16" s="23"/>
      <c r="D16" s="23"/>
      <c r="E16" s="24"/>
      <c r="F16" s="25"/>
      <c r="G16" s="25"/>
      <c r="H16" s="56"/>
      <c r="I16" s="57"/>
      <c r="J16" s="57"/>
      <c r="K16" s="25"/>
      <c r="L16" s="25"/>
    </row>
    <row r="17" spans="3:15" ht="15" customHeight="1">
      <c r="C17" t="s">
        <v>13</v>
      </c>
      <c r="D17" s="39">
        <v>215639</v>
      </c>
      <c r="E17" s="39">
        <v>229234</v>
      </c>
      <c r="F17" s="39">
        <v>265595</v>
      </c>
      <c r="G17" s="39">
        <v>260174</v>
      </c>
      <c r="H17" s="44">
        <f ca="1">G17*(1+H36)</f>
        <v>275784.44</v>
      </c>
      <c r="I17" s="44">
        <f ca="1">H17*(1+I36)</f>
        <v>294813.56636</v>
      </c>
      <c r="J17" s="44">
        <f ca="1">I17*(1+J36)</f>
        <v>315155.70243884</v>
      </c>
      <c r="K17" s="44">
        <f ca="1">J17*(1+K36)</f>
        <v>336901.44590711995</v>
      </c>
      <c r="L17" s="44">
        <f ca="1">K17*(1+L36)</f>
        <v>360147.64567471121</v>
      </c>
      <c r="N17" t="s">
        <v>67</v>
      </c>
    </row>
    <row r="18" spans="3:15" ht="15" customHeight="1">
      <c r="C18" t="s">
        <v>14</v>
      </c>
      <c r="D18" s="39">
        <v>-131376</v>
      </c>
      <c r="E18" s="39">
        <v>-141048</v>
      </c>
      <c r="F18" s="39">
        <v>-163756</v>
      </c>
      <c r="G18" s="39">
        <v>-161782</v>
      </c>
      <c r="H18" s="44">
        <f ca="1">H19-H17</f>
        <v>-171537.92168</v>
      </c>
      <c r="I18" s="44">
        <f ca="1">I19-I17</f>
        <v>-183374.03827592</v>
      </c>
      <c r="J18" s="44">
        <f ca="1">J19-J17</f>
        <v>-196026.84691695849</v>
      </c>
      <c r="K18" s="44">
        <f ca="1">K19-K17</f>
        <v>-209552.69935422862</v>
      </c>
      <c r="L18" s="44">
        <f ca="1">L19-L17</f>
        <v>-224011.83560967038</v>
      </c>
      <c r="N18" t="s">
        <v>68</v>
      </c>
    </row>
    <row r="19" spans="3:15" ht="15" customHeight="1">
      <c r="C19" s="27" t="s">
        <v>15</v>
      </c>
      <c r="D19" s="41">
        <f>SUM(D17:D18)</f>
        <v>84263</v>
      </c>
      <c r="E19" s="41">
        <f>SUM(E17:E18)</f>
        <v>88186</v>
      </c>
      <c r="F19" s="41">
        <f>SUM(F17:F18)</f>
        <v>101839</v>
      </c>
      <c r="G19" s="41">
        <f>SUM(G17:G18)</f>
        <v>98392</v>
      </c>
      <c r="H19" s="41">
        <f ca="1">H17*H37</f>
        <v>104246.51832</v>
      </c>
      <c r="I19" s="41">
        <f ca="1">I17*I37</f>
        <v>111439.52808408</v>
      </c>
      <c r="J19" s="41">
        <f ca="1">J17*J37</f>
        <v>119128.85552188152</v>
      </c>
      <c r="K19" s="41">
        <f ca="1">K17*K37</f>
        <v>127348.74655289135</v>
      </c>
      <c r="L19" s="41">
        <f ca="1">L17*L37</f>
        <v>136135.81006504083</v>
      </c>
      <c r="N19" t="s">
        <v>69</v>
      </c>
    </row>
    <row r="20" spans="3:15" ht="15" customHeight="1">
      <c r="C20" t="s">
        <v>16</v>
      </c>
      <c r="D20" s="39">
        <v>-10045</v>
      </c>
      <c r="E20" s="39">
        <v>-11581</v>
      </c>
      <c r="F20" s="39">
        <v>-14236</v>
      </c>
      <c r="G20" s="39">
        <v>-16217</v>
      </c>
      <c r="H20" s="44">
        <f ca="1">-H38*H17</f>
        <v>-17098.635279999999</v>
      </c>
      <c r="I20" s="44">
        <f ca="1">-I38*I17</f>
        <v>-18278.441114320001</v>
      </c>
      <c r="J20" s="44">
        <f ca="1">-J38*J17</f>
        <v>-19539.653551208081</v>
      </c>
      <c r="K20" s="44">
        <f ca="1">-K38*K17</f>
        <v>-20887.889646241438</v>
      </c>
      <c r="L20" s="44">
        <f ca="1">-L38*L17</f>
        <v>-22329.154031832095</v>
      </c>
      <c r="N20" t="s">
        <v>70</v>
      </c>
    </row>
    <row r="21" spans="3:15" ht="15" customHeight="1">
      <c r="C21" t="s">
        <v>17</v>
      </c>
      <c r="D21" s="39">
        <v>-14194</v>
      </c>
      <c r="E21" s="39">
        <v>-15261</v>
      </c>
      <c r="F21" s="39">
        <v>-16705</v>
      </c>
      <c r="G21" s="39">
        <v>-18245</v>
      </c>
      <c r="H21" s="44">
        <f ca="1">-H17*H39</f>
        <v>-19304.910800000001</v>
      </c>
      <c r="I21" s="44">
        <f ca="1">-I17*I39</f>
        <v>-20636.949645200002</v>
      </c>
      <c r="J21" s="44">
        <f ca="1">-J17*J39</f>
        <v>-22060.899170718803</v>
      </c>
      <c r="K21" s="44">
        <f ca="1">-K17*K39</f>
        <v>-23583.101213498398</v>
      </c>
      <c r="L21" s="44">
        <f ca="1">-L17*L39</f>
        <v>-25210.335197229786</v>
      </c>
      <c r="N21" t="s">
        <v>71</v>
      </c>
    </row>
    <row r="22" spans="3:15" ht="15" customHeight="1">
      <c r="C22" s="27" t="s">
        <v>18</v>
      </c>
      <c r="D22" s="41">
        <f t="shared" ref="D22:L22" si="0">D19+D20+D21</f>
        <v>60024</v>
      </c>
      <c r="E22" s="41">
        <f t="shared" si="0"/>
        <v>61344</v>
      </c>
      <c r="F22" s="41">
        <f t="shared" si="0"/>
        <v>70898</v>
      </c>
      <c r="G22" s="41">
        <f t="shared" si="0"/>
        <v>63930</v>
      </c>
      <c r="H22" s="41">
        <f t="shared" ca="1" si="0"/>
        <v>67842.972240000003</v>
      </c>
      <c r="I22" s="41">
        <f t="shared" ca="1" si="0"/>
        <v>72524.137324559997</v>
      </c>
      <c r="J22" s="41">
        <f t="shared" ca="1" si="0"/>
        <v>77528.302799954632</v>
      </c>
      <c r="K22" s="41">
        <f t="shared" ca="1" si="0"/>
        <v>82877.755693151499</v>
      </c>
      <c r="L22" s="41">
        <f t="shared" ca="1" si="0"/>
        <v>88596.320835978957</v>
      </c>
      <c r="N22" s="27" t="s">
        <v>72</v>
      </c>
    </row>
    <row r="23" spans="3:15" ht="15" customHeight="1">
      <c r="C23" t="s">
        <v>19</v>
      </c>
      <c r="D23" s="39">
        <v>3999</v>
      </c>
      <c r="E23" s="39">
        <v>5201</v>
      </c>
      <c r="F23" s="39">
        <v>5686</v>
      </c>
      <c r="G23" s="39">
        <v>4961</v>
      </c>
      <c r="H23" s="42">
        <f ca="1">H156</f>
        <v>4386.8465720646718</v>
      </c>
      <c r="I23" s="42">
        <f ca="1">I156</f>
        <v>4119.4834223149901</v>
      </c>
      <c r="J23" s="42">
        <f ca="1">J156</f>
        <v>3871.0561664626944</v>
      </c>
      <c r="K23" s="42">
        <f ca="1">K156</f>
        <v>3709.7511405767555</v>
      </c>
      <c r="L23" s="42">
        <f ca="1">L156</f>
        <v>3643.4636987454537</v>
      </c>
      <c r="N23" t="s">
        <v>73</v>
      </c>
    </row>
    <row r="24" spans="3:15" ht="15" customHeight="1">
      <c r="C24" t="s">
        <v>20</v>
      </c>
      <c r="D24" s="39">
        <v>-1456</v>
      </c>
      <c r="E24" s="39">
        <v>-2323</v>
      </c>
      <c r="F24" s="39">
        <v>-3240</v>
      </c>
      <c r="G24" s="39">
        <v>-3576</v>
      </c>
      <c r="H24" s="42">
        <f ca="1">-H142</f>
        <v>-3568.9466179543074</v>
      </c>
      <c r="I24" s="42">
        <f ca="1">-I142</f>
        <v>-3636.3706179543074</v>
      </c>
      <c r="J24" s="42">
        <f ca="1">-J142</f>
        <v>-3636.3706179543074</v>
      </c>
      <c r="K24" s="42">
        <f ca="1">-K142</f>
        <v>-3636.3706179543074</v>
      </c>
      <c r="L24" s="42">
        <f ca="1">-L142</f>
        <v>-3636.3706179543074</v>
      </c>
      <c r="N24" t="s">
        <v>74</v>
      </c>
    </row>
    <row r="25" spans="3:15" ht="15" customHeight="1">
      <c r="C25" t="s">
        <v>21</v>
      </c>
      <c r="D25" s="39">
        <v>-1195</v>
      </c>
      <c r="E25" s="39">
        <v>-133</v>
      </c>
      <c r="F25" s="39">
        <v>-441</v>
      </c>
      <c r="G25" s="39">
        <v>422</v>
      </c>
      <c r="H25" s="42">
        <f>G25</f>
        <v>422</v>
      </c>
      <c r="I25" s="42">
        <f>H25</f>
        <v>422</v>
      </c>
      <c r="J25" s="42">
        <f>I25</f>
        <v>422</v>
      </c>
      <c r="K25" s="42">
        <f>J25</f>
        <v>422</v>
      </c>
      <c r="L25" s="42">
        <f>K25</f>
        <v>422</v>
      </c>
      <c r="N25" t="s">
        <v>75</v>
      </c>
    </row>
    <row r="26" spans="3:15" ht="15" customHeight="1">
      <c r="C26" s="27" t="s">
        <v>22</v>
      </c>
      <c r="D26" s="41">
        <f t="shared" ref="D26:L26" si="1">SUM(D22:D25)</f>
        <v>61372</v>
      </c>
      <c r="E26" s="41">
        <f t="shared" si="1"/>
        <v>64089</v>
      </c>
      <c r="F26" s="41">
        <f t="shared" si="1"/>
        <v>72903</v>
      </c>
      <c r="G26" s="41">
        <f t="shared" si="1"/>
        <v>65737</v>
      </c>
      <c r="H26" s="41">
        <f t="shared" ca="1" si="1"/>
        <v>69082.872194110372</v>
      </c>
      <c r="I26" s="41">
        <f t="shared" ca="1" si="1"/>
        <v>73429.250128920685</v>
      </c>
      <c r="J26" s="41">
        <f t="shared" ca="1" si="1"/>
        <v>78184.988348463012</v>
      </c>
      <c r="K26" s="41">
        <f t="shared" ca="1" si="1"/>
        <v>83373.13621577395</v>
      </c>
      <c r="L26" s="41">
        <f t="shared" ca="1" si="1"/>
        <v>89025.413916770107</v>
      </c>
      <c r="N26" s="27" t="s">
        <v>76</v>
      </c>
      <c r="O26" s="27"/>
    </row>
    <row r="27" spans="3:15" ht="15" customHeight="1">
      <c r="C27" t="s">
        <v>23</v>
      </c>
      <c r="D27" s="39">
        <v>-15685</v>
      </c>
      <c r="E27" s="39">
        <v>-15738</v>
      </c>
      <c r="F27" s="39">
        <v>-13372</v>
      </c>
      <c r="G27" s="39">
        <v>-10481</v>
      </c>
      <c r="H27" s="44">
        <f ca="1">-H40*H26</f>
        <v>-11014.460402307237</v>
      </c>
      <c r="I27" s="44">
        <f ca="1">-I40*I26</f>
        <v>-11707.439807128676</v>
      </c>
      <c r="J27" s="44">
        <f ca="1">-J40*J26</f>
        <v>-12465.686947689139</v>
      </c>
      <c r="K27" s="44">
        <f ca="1">-K40*K26</f>
        <v>-13292.876776815596</v>
      </c>
      <c r="L27" s="44">
        <f ca="1">-L40*L26</f>
        <v>-14194.066709184593</v>
      </c>
      <c r="N27" t="s">
        <v>77</v>
      </c>
    </row>
    <row r="28" spans="3:15" ht="15" customHeight="1">
      <c r="C28" s="27" t="s">
        <v>24</v>
      </c>
      <c r="D28" s="41">
        <f t="shared" ref="D28:L28" si="2">SUM(D26:D27)</f>
        <v>45687</v>
      </c>
      <c r="E28" s="41">
        <f t="shared" si="2"/>
        <v>48351</v>
      </c>
      <c r="F28" s="41">
        <f t="shared" si="2"/>
        <v>59531</v>
      </c>
      <c r="G28" s="41">
        <f t="shared" si="2"/>
        <v>55256</v>
      </c>
      <c r="H28" s="41">
        <f t="shared" ca="1" si="2"/>
        <v>58068.411791803133</v>
      </c>
      <c r="I28" s="41">
        <f t="shared" ca="1" si="2"/>
        <v>61721.810321792007</v>
      </c>
      <c r="J28" s="41">
        <f t="shared" ca="1" si="2"/>
        <v>65719.301400773867</v>
      </c>
      <c r="K28" s="41">
        <f t="shared" ca="1" si="2"/>
        <v>70080.259438958354</v>
      </c>
      <c r="L28" s="41">
        <f t="shared" ca="1" si="2"/>
        <v>74831.34720758551</v>
      </c>
      <c r="N28" s="27" t="s">
        <v>78</v>
      </c>
    </row>
    <row r="29" spans="3:15" ht="15" customHeight="1">
      <c r="C29" s="29"/>
      <c r="D29" s="42"/>
      <c r="E29" s="42"/>
      <c r="F29" s="42"/>
      <c r="G29" s="42"/>
      <c r="H29" s="42"/>
      <c r="I29" s="42"/>
      <c r="J29" s="42"/>
      <c r="K29" s="42"/>
      <c r="L29" s="42"/>
    </row>
    <row r="30" spans="3:15" ht="15" customHeight="1">
      <c r="C30" s="30" t="s">
        <v>25</v>
      </c>
      <c r="D30" s="39">
        <v>10505</v>
      </c>
      <c r="E30" s="39">
        <v>10157</v>
      </c>
      <c r="F30" s="39">
        <v>10903</v>
      </c>
      <c r="G30" s="39">
        <v>12547</v>
      </c>
      <c r="H30" s="42">
        <f ca="1">H106</f>
        <v>11808.331069482967</v>
      </c>
      <c r="I30" s="42">
        <f ca="1">I106</f>
        <v>12418.253260687266</v>
      </c>
      <c r="J30" s="42">
        <f ca="1">J106</f>
        <v>13558.159134874686</v>
      </c>
      <c r="K30" s="42">
        <f ca="1">K106</f>
        <v>14796.248715925842</v>
      </c>
      <c r="L30" s="42">
        <f ca="1">L106</f>
        <v>16140.644263520915</v>
      </c>
      <c r="N30" t="s">
        <v>79</v>
      </c>
    </row>
    <row r="31" spans="3:15" ht="15" customHeight="1">
      <c r="C31" s="31" t="s">
        <v>26</v>
      </c>
      <c r="D31" s="41">
        <f t="shared" ref="D31:L31" si="3">D22+D30</f>
        <v>70529</v>
      </c>
      <c r="E31" s="41">
        <f t="shared" si="3"/>
        <v>71501</v>
      </c>
      <c r="F31" s="41">
        <f t="shared" si="3"/>
        <v>81801</v>
      </c>
      <c r="G31" s="41">
        <f t="shared" si="3"/>
        <v>76477</v>
      </c>
      <c r="H31" s="41">
        <f t="shared" ca="1" si="3"/>
        <v>79651.303309482973</v>
      </c>
      <c r="I31" s="41">
        <f t="shared" ca="1" si="3"/>
        <v>84942.390585247267</v>
      </c>
      <c r="J31" s="41">
        <f t="shared" ca="1" si="3"/>
        <v>91086.46193482932</v>
      </c>
      <c r="K31" s="41">
        <f t="shared" ca="1" si="3"/>
        <v>97674.004409077344</v>
      </c>
      <c r="L31" s="41">
        <f t="shared" ca="1" si="3"/>
        <v>104736.96509949987</v>
      </c>
      <c r="N31" s="27" t="s">
        <v>80</v>
      </c>
    </row>
    <row r="32" spans="3:15" ht="15" customHeight="1">
      <c r="C32" s="30" t="s">
        <v>27</v>
      </c>
      <c r="D32" s="39">
        <v>4210</v>
      </c>
      <c r="E32" s="39">
        <v>4840</v>
      </c>
      <c r="F32" s="39">
        <v>5340</v>
      </c>
      <c r="G32" s="39">
        <v>6068</v>
      </c>
      <c r="H32" s="42">
        <f ca="1">G32*(1+H36)</f>
        <v>6432.08</v>
      </c>
      <c r="I32" s="42">
        <f ca="1">H32*(1+I36)</f>
        <v>6875.8935199999996</v>
      </c>
      <c r="J32" s="42">
        <f ca="1">I32*(1+J36)</f>
        <v>7350.3301728799988</v>
      </c>
      <c r="K32" s="42">
        <f ca="1">J32*(1+K36)</f>
        <v>7857.5029548087186</v>
      </c>
      <c r="L32" s="42">
        <f ca="1">K32*(1+L36)</f>
        <v>8399.6706586905202</v>
      </c>
      <c r="N32" t="s">
        <v>81</v>
      </c>
    </row>
    <row r="33" spans="3:21" ht="15" customHeight="1">
      <c r="C33" s="31" t="s">
        <v>28</v>
      </c>
      <c r="D33" s="41">
        <f t="shared" ref="D33:L33" si="4">SUM(D31:D32)</f>
        <v>74739</v>
      </c>
      <c r="E33" s="41">
        <f t="shared" si="4"/>
        <v>76341</v>
      </c>
      <c r="F33" s="41">
        <f t="shared" si="4"/>
        <v>87141</v>
      </c>
      <c r="G33" s="41">
        <f t="shared" si="4"/>
        <v>82545</v>
      </c>
      <c r="H33" s="41">
        <f t="shared" ca="1" si="4"/>
        <v>86083.383309482975</v>
      </c>
      <c r="I33" s="41">
        <f t="shared" ca="1" si="4"/>
        <v>91818.284105247265</v>
      </c>
      <c r="J33" s="41">
        <f t="shared" ca="1" si="4"/>
        <v>98436.79210770932</v>
      </c>
      <c r="K33" s="41">
        <f t="shared" ca="1" si="4"/>
        <v>105531.50736388606</v>
      </c>
      <c r="L33" s="41">
        <f t="shared" ca="1" si="4"/>
        <v>113136.63575819039</v>
      </c>
      <c r="N33" s="27" t="s">
        <v>82</v>
      </c>
    </row>
    <row r="34" spans="3:21" ht="15" customHeight="1">
      <c r="C34" s="29"/>
      <c r="H34" s="62"/>
    </row>
    <row r="35" spans="3:21" ht="15" customHeight="1">
      <c r="C35" s="32" t="s">
        <v>83</v>
      </c>
    </row>
    <row r="36" spans="3:21" ht="15" customHeight="1">
      <c r="C36" s="29" t="s">
        <v>30</v>
      </c>
      <c r="D36" s="63"/>
      <c r="E36" s="63">
        <f>E17/D17-1</f>
        <v>6.304518199398057E-2</v>
      </c>
      <c r="F36" s="63">
        <f>F17/E17-1</f>
        <v>0.15861957650261305</v>
      </c>
      <c r="G36" s="63">
        <f>G17/F17-1</f>
        <v>-2.04107758052674E-2</v>
      </c>
      <c r="H36" s="63">
        <f t="shared" ref="H36:L39" ca="1" si="5">H183</f>
        <v>0.06</v>
      </c>
      <c r="I36" s="63">
        <f t="shared" ca="1" si="5"/>
        <v>6.9000000000000006E-2</v>
      </c>
      <c r="J36" s="63">
        <f t="shared" ca="1" si="5"/>
        <v>6.9000000000000006E-2</v>
      </c>
      <c r="K36" s="63">
        <f t="shared" ca="1" si="5"/>
        <v>6.9000000000000006E-2</v>
      </c>
      <c r="L36" s="63">
        <f t="shared" ca="1" si="5"/>
        <v>6.9000000000000006E-2</v>
      </c>
      <c r="N36" t="s">
        <v>320</v>
      </c>
      <c r="P36" s="35"/>
      <c r="Q36" s="35"/>
      <c r="R36" s="35"/>
      <c r="S36" s="35"/>
      <c r="T36" s="35"/>
      <c r="U36" s="35"/>
    </row>
    <row r="37" spans="3:21" ht="15" customHeight="1">
      <c r="C37" s="29" t="s">
        <v>31</v>
      </c>
      <c r="D37" s="63">
        <f>D19/D17</f>
        <v>0.39075955648097049</v>
      </c>
      <c r="E37" s="63">
        <f>E19/E17</f>
        <v>0.38469860491899105</v>
      </c>
      <c r="F37" s="63">
        <f>F19/F17</f>
        <v>0.38343718820007905</v>
      </c>
      <c r="G37" s="63">
        <f>G19/G17</f>
        <v>0.37817768109034722</v>
      </c>
      <c r="H37" s="63">
        <f t="shared" ca="1" si="5"/>
        <v>0.378</v>
      </c>
      <c r="I37" s="63">
        <f t="shared" ca="1" si="5"/>
        <v>0.378</v>
      </c>
      <c r="J37" s="63">
        <f t="shared" ca="1" si="5"/>
        <v>0.378</v>
      </c>
      <c r="K37" s="63">
        <f t="shared" ca="1" si="5"/>
        <v>0.378</v>
      </c>
      <c r="L37" s="63">
        <f t="shared" ca="1" si="5"/>
        <v>0.378</v>
      </c>
      <c r="N37" t="s">
        <v>321</v>
      </c>
      <c r="P37" s="35"/>
      <c r="Q37" s="35"/>
      <c r="R37" s="35"/>
      <c r="S37" s="35"/>
      <c r="T37" s="35"/>
      <c r="U37" s="35"/>
    </row>
    <row r="38" spans="3:21" ht="15" customHeight="1">
      <c r="C38" s="29" t="s">
        <v>32</v>
      </c>
      <c r="D38" s="63">
        <f>-D20/D17</f>
        <v>4.6582482760539605E-2</v>
      </c>
      <c r="E38" s="63">
        <f>-E20/E17</f>
        <v>5.0520428906706681E-2</v>
      </c>
      <c r="F38" s="63">
        <f>-F20/F17</f>
        <v>5.3600406634161032E-2</v>
      </c>
      <c r="G38" s="63">
        <f>-G20/G17</f>
        <v>6.233136285716482E-2</v>
      </c>
      <c r="H38" s="63">
        <f t="shared" ca="1" si="5"/>
        <v>6.2E-2</v>
      </c>
      <c r="I38" s="63">
        <f t="shared" ca="1" si="5"/>
        <v>6.2E-2</v>
      </c>
      <c r="J38" s="63">
        <f t="shared" ca="1" si="5"/>
        <v>6.2E-2</v>
      </c>
      <c r="K38" s="63">
        <f t="shared" ca="1" si="5"/>
        <v>6.2E-2</v>
      </c>
      <c r="L38" s="63">
        <f t="shared" ca="1" si="5"/>
        <v>6.2E-2</v>
      </c>
      <c r="N38" t="s">
        <v>321</v>
      </c>
      <c r="P38" s="35"/>
      <c r="Q38" s="35"/>
      <c r="R38" s="35"/>
      <c r="S38" s="35"/>
      <c r="T38" s="35"/>
      <c r="U38" s="35"/>
    </row>
    <row r="39" spans="3:21" ht="15" customHeight="1">
      <c r="C39" s="29" t="s">
        <v>33</v>
      </c>
      <c r="D39" s="63">
        <f>-D21/D17</f>
        <v>6.5822972653369755E-2</v>
      </c>
      <c r="E39" s="63">
        <f>-E21/E17</f>
        <v>6.6573893924984945E-2</v>
      </c>
      <c r="F39" s="63">
        <f>-F21/F17</f>
        <v>6.2896515371147807E-2</v>
      </c>
      <c r="G39" s="63">
        <f>-G21/G17</f>
        <v>7.0126146348213125E-2</v>
      </c>
      <c r="H39" s="63">
        <f t="shared" ca="1" si="5"/>
        <v>7.0000000000000007E-2</v>
      </c>
      <c r="I39" s="63">
        <f t="shared" ca="1" si="5"/>
        <v>7.0000000000000007E-2</v>
      </c>
      <c r="J39" s="63">
        <f t="shared" ca="1" si="5"/>
        <v>7.0000000000000007E-2</v>
      </c>
      <c r="K39" s="63">
        <f t="shared" ca="1" si="5"/>
        <v>7.0000000000000007E-2</v>
      </c>
      <c r="L39" s="63">
        <f t="shared" ca="1" si="5"/>
        <v>7.0000000000000007E-2</v>
      </c>
      <c r="N39" t="s">
        <v>321</v>
      </c>
      <c r="P39" s="35"/>
      <c r="Q39" s="35"/>
      <c r="R39" s="35"/>
      <c r="S39" s="35"/>
      <c r="T39" s="35"/>
      <c r="U39" s="35"/>
    </row>
    <row r="40" spans="3:21" ht="15" customHeight="1">
      <c r="C40" s="29" t="s">
        <v>34</v>
      </c>
      <c r="D40" s="63">
        <f>-(D27/D26)</f>
        <v>0.25557257381216192</v>
      </c>
      <c r="E40" s="63">
        <f>-(E27/E26)</f>
        <v>0.24556476150353415</v>
      </c>
      <c r="F40" s="63">
        <f>-(F27/F26)</f>
        <v>0.18342180705869443</v>
      </c>
      <c r="G40" s="63">
        <f>-(G27/G26)</f>
        <v>0.15943836804235059</v>
      </c>
      <c r="H40" s="35">
        <f>G40</f>
        <v>0.15943836804235059</v>
      </c>
      <c r="I40" s="35">
        <f>H40</f>
        <v>0.15943836804235059</v>
      </c>
      <c r="J40" s="35">
        <f>I40</f>
        <v>0.15943836804235059</v>
      </c>
      <c r="K40" s="35">
        <f>J40</f>
        <v>0.15943836804235059</v>
      </c>
      <c r="L40" s="35">
        <f>K40</f>
        <v>0.15943836804235059</v>
      </c>
      <c r="N40" t="s">
        <v>321</v>
      </c>
      <c r="P40" s="35"/>
      <c r="Q40" s="35"/>
      <c r="R40" s="35"/>
      <c r="S40" s="35"/>
      <c r="T40" s="35"/>
      <c r="U40" s="35"/>
    </row>
    <row r="41" spans="3:21" ht="15" customHeight="1">
      <c r="C41" s="29"/>
      <c r="D41" s="29"/>
      <c r="H41" s="62"/>
    </row>
    <row r="42" spans="3:21" ht="15" customHeight="1">
      <c r="C42" s="16" t="s">
        <v>35</v>
      </c>
      <c r="D42" s="16"/>
      <c r="E42" s="20"/>
      <c r="F42" s="20"/>
      <c r="G42" s="20"/>
      <c r="H42" s="17"/>
      <c r="I42" s="17"/>
      <c r="J42" s="17"/>
      <c r="K42" s="17"/>
      <c r="L42" s="17"/>
    </row>
    <row r="43" spans="3:21" ht="15" customHeight="1">
      <c r="C43" s="36" t="str">
        <f>C14</f>
        <v xml:space="preserve">Fiscal year  </v>
      </c>
      <c r="D43" s="36"/>
      <c r="E43" s="37">
        <f t="shared" ref="E43:L44" si="6">E14</f>
        <v>2017</v>
      </c>
      <c r="F43" s="37">
        <f t="shared" si="6"/>
        <v>2018</v>
      </c>
      <c r="G43" s="37">
        <f t="shared" si="6"/>
        <v>2019</v>
      </c>
      <c r="H43" s="65">
        <f t="shared" si="6"/>
        <v>2020</v>
      </c>
      <c r="I43" s="65">
        <f t="shared" si="6"/>
        <v>2021</v>
      </c>
      <c r="J43" s="65">
        <f t="shared" si="6"/>
        <v>2022</v>
      </c>
      <c r="K43" s="65">
        <f t="shared" si="6"/>
        <v>2023</v>
      </c>
      <c r="L43" s="65">
        <f t="shared" si="6"/>
        <v>2024</v>
      </c>
    </row>
    <row r="44" spans="3:21" ht="15" customHeight="1">
      <c r="C44" s="17" t="str">
        <f>C15</f>
        <v>Fiscal year end date</v>
      </c>
      <c r="D44" s="17"/>
      <c r="E44" s="38">
        <f t="shared" si="6"/>
        <v>43008</v>
      </c>
      <c r="F44" s="38">
        <f t="shared" si="6"/>
        <v>43372</v>
      </c>
      <c r="G44" s="38">
        <f t="shared" si="6"/>
        <v>43737</v>
      </c>
      <c r="H44" s="38">
        <f t="shared" si="6"/>
        <v>44104</v>
      </c>
      <c r="I44" s="38">
        <f t="shared" si="6"/>
        <v>44469</v>
      </c>
      <c r="J44" s="38">
        <f t="shared" si="6"/>
        <v>44834</v>
      </c>
      <c r="K44" s="38">
        <f t="shared" si="6"/>
        <v>45199</v>
      </c>
      <c r="L44" s="38">
        <f t="shared" si="6"/>
        <v>45565</v>
      </c>
    </row>
    <row r="45" spans="3:21" ht="15" customHeight="1">
      <c r="C45" t="s">
        <v>38</v>
      </c>
      <c r="E45" s="39">
        <f>20289+53892+194714</f>
        <v>268895</v>
      </c>
      <c r="F45" s="39">
        <f>25913+40388+170799</f>
        <v>237100</v>
      </c>
      <c r="G45" s="39">
        <f>48844+51713+105341</f>
        <v>205898</v>
      </c>
      <c r="H45" s="42">
        <f ca="1">H90+G45</f>
        <v>194727.25772280112</v>
      </c>
      <c r="I45" s="42">
        <f ca="1">I90+H45</f>
        <v>181481.27399546286</v>
      </c>
      <c r="J45" s="42">
        <f ca="1">J90+I45</f>
        <v>172039.83709702062</v>
      </c>
      <c r="K45" s="42">
        <f ca="1">K90+J45</f>
        <v>166750.2214031397</v>
      </c>
      <c r="L45" s="42">
        <f ca="1">L90+K45</f>
        <v>165986.189441194</v>
      </c>
      <c r="N45" t="s">
        <v>87</v>
      </c>
    </row>
    <row r="46" spans="3:21" ht="15" customHeight="1">
      <c r="C46" t="s">
        <v>39</v>
      </c>
      <c r="E46" s="39">
        <v>17874</v>
      </c>
      <c r="F46" s="39">
        <v>23186</v>
      </c>
      <c r="G46" s="39">
        <v>22926</v>
      </c>
      <c r="H46" s="42">
        <f ca="1">G46*(1+H36)</f>
        <v>24301.56</v>
      </c>
      <c r="I46" s="42">
        <f ca="1">H46*(1+I36)</f>
        <v>25978.36764</v>
      </c>
      <c r="J46" s="42">
        <f ca="1">I46*(1+J36)</f>
        <v>27770.875007160001</v>
      </c>
      <c r="K46" s="42">
        <f ca="1">J46*(1+K36)</f>
        <v>29687.06538265404</v>
      </c>
      <c r="L46" s="42">
        <f ca="1">K46*(1+L36)</f>
        <v>31735.472894057166</v>
      </c>
      <c r="N46" t="s">
        <v>88</v>
      </c>
    </row>
    <row r="47" spans="3:21" ht="15" customHeight="1">
      <c r="C47" t="s">
        <v>40</v>
      </c>
      <c r="E47" s="39">
        <v>4855</v>
      </c>
      <c r="F47" s="39">
        <v>3956</v>
      </c>
      <c r="G47" s="39">
        <v>4106</v>
      </c>
      <c r="H47" s="42">
        <f ca="1">G47*H18/G18</f>
        <v>4353.6036544119861</v>
      </c>
      <c r="I47" s="42">
        <f ca="1">H47*I18/H18</f>
        <v>4654.0023065664127</v>
      </c>
      <c r="J47" s="42">
        <f ca="1">I47*J18/I18</f>
        <v>4975.1284657194956</v>
      </c>
      <c r="K47" s="42">
        <f ca="1">J47*K18/J18</f>
        <v>5318.4123298541408</v>
      </c>
      <c r="L47" s="42">
        <f ca="1">K47*L18/K18</f>
        <v>5685.3827806140762</v>
      </c>
      <c r="N47" t="s">
        <v>89</v>
      </c>
    </row>
    <row r="48" spans="3:21" ht="15" customHeight="1">
      <c r="C48" t="s">
        <v>41</v>
      </c>
      <c r="E48" s="39">
        <f>17799+13936</f>
        <v>31735</v>
      </c>
      <c r="F48" s="39">
        <f>25809+12087</f>
        <v>37896</v>
      </c>
      <c r="G48" s="39">
        <f>12352+22878</f>
        <v>35230</v>
      </c>
      <c r="H48" s="42">
        <f ca="1">G48*(1+H36)</f>
        <v>37343.800000000003</v>
      </c>
      <c r="I48" s="42">
        <f ca="1">H48*(1+I36)</f>
        <v>39920.522199999999</v>
      </c>
      <c r="J48" s="42">
        <f ca="1">I48*(1+J36)</f>
        <v>42675.038231799997</v>
      </c>
      <c r="K48" s="42">
        <f ca="1">J48*(1+K36)</f>
        <v>45619.615869794194</v>
      </c>
      <c r="L48" s="42">
        <f ca="1">K48*(1+L36)</f>
        <v>48767.369364809994</v>
      </c>
      <c r="N48" t="s">
        <v>88</v>
      </c>
      <c r="O48" s="42"/>
    </row>
    <row r="49" spans="3:15" ht="15" customHeight="1">
      <c r="C49" t="s">
        <v>42</v>
      </c>
      <c r="E49" s="39">
        <v>33783</v>
      </c>
      <c r="F49" s="39">
        <v>41304</v>
      </c>
      <c r="G49" s="39">
        <v>37378</v>
      </c>
      <c r="H49" s="42">
        <f>H99</f>
        <v>39817.318930517038</v>
      </c>
      <c r="I49" s="42">
        <f>I99</f>
        <v>42050.931249829766</v>
      </c>
      <c r="J49" s="42">
        <f ca="1">J99</f>
        <v>44155.616419975078</v>
      </c>
      <c r="K49" s="42">
        <f ca="1">K99</f>
        <v>46102.948266115614</v>
      </c>
      <c r="L49" s="42">
        <f ca="1">L99</f>
        <v>47861.191623443658</v>
      </c>
      <c r="N49" t="s">
        <v>90</v>
      </c>
    </row>
    <row r="50" spans="3:15" ht="15" customHeight="1">
      <c r="C50" t="s">
        <v>43</v>
      </c>
      <c r="E50" s="39">
        <v>18177</v>
      </c>
      <c r="F50" s="39">
        <v>22283</v>
      </c>
      <c r="G50" s="39">
        <v>32978</v>
      </c>
      <c r="H50" s="42">
        <f ca="1">G50*(1+H36)</f>
        <v>34956.68</v>
      </c>
      <c r="I50" s="42">
        <f ca="1">H50*(1+I36)</f>
        <v>37368.690920000001</v>
      </c>
      <c r="J50" s="42">
        <f ca="1">I50*(1+J36)</f>
        <v>39947.130593479997</v>
      </c>
      <c r="K50" s="42">
        <f ca="1">J50*(1+K36)</f>
        <v>42703.482604430115</v>
      </c>
      <c r="L50" s="42">
        <f ca="1">K50*(1+L36)</f>
        <v>45650.022904135789</v>
      </c>
      <c r="N50" t="s">
        <v>88</v>
      </c>
    </row>
    <row r="51" spans="3:15" ht="15" customHeight="1">
      <c r="C51" s="31" t="s">
        <v>44</v>
      </c>
      <c r="D51" s="31"/>
      <c r="E51" s="41">
        <f t="shared" ref="E51:L51" si="7">SUM(E45:E50)</f>
        <v>375319</v>
      </c>
      <c r="F51" s="41">
        <f t="shared" si="7"/>
        <v>365725</v>
      </c>
      <c r="G51" s="41">
        <f t="shared" si="7"/>
        <v>338516</v>
      </c>
      <c r="H51" s="45">
        <f t="shared" ca="1" si="7"/>
        <v>335500.2203077302</v>
      </c>
      <c r="I51" s="45">
        <f t="shared" ca="1" si="7"/>
        <v>331453.78831185907</v>
      </c>
      <c r="J51" s="45">
        <f t="shared" ca="1" si="7"/>
        <v>331563.62581515522</v>
      </c>
      <c r="K51" s="45">
        <f t="shared" ca="1" si="7"/>
        <v>336181.74585598783</v>
      </c>
      <c r="L51" s="45">
        <f t="shared" ca="1" si="7"/>
        <v>345685.62900825473</v>
      </c>
    </row>
    <row r="52" spans="3:15" ht="15" customHeight="1">
      <c r="C52" s="30"/>
      <c r="D52" s="30"/>
      <c r="E52" s="42"/>
      <c r="F52" s="42"/>
      <c r="G52" s="42"/>
      <c r="H52" s="42"/>
      <c r="I52" s="42"/>
      <c r="J52" s="42"/>
      <c r="K52" s="42"/>
      <c r="L52" s="42"/>
    </row>
    <row r="53" spans="3:15" ht="15" customHeight="1">
      <c r="C53" s="30" t="s">
        <v>45</v>
      </c>
      <c r="D53" s="30"/>
      <c r="E53" s="39">
        <v>44242</v>
      </c>
      <c r="F53" s="39">
        <v>55888</v>
      </c>
      <c r="G53" s="39">
        <v>46236</v>
      </c>
      <c r="H53" s="42">
        <f ca="1">G53*H18/G18</f>
        <v>49024.164287723484</v>
      </c>
      <c r="I53" s="42">
        <f ca="1">H53*I18/H18</f>
        <v>52406.8316235764</v>
      </c>
      <c r="J53" s="42">
        <f ca="1">I53*J18/I18</f>
        <v>56022.90300560317</v>
      </c>
      <c r="K53" s="42">
        <f ca="1">J53*K18/J18</f>
        <v>59888.483312989789</v>
      </c>
      <c r="L53" s="42">
        <f ca="1">K53*L18/K18</f>
        <v>64020.788661586084</v>
      </c>
      <c r="N53" t="s">
        <v>89</v>
      </c>
    </row>
    <row r="54" spans="3:15" ht="15" customHeight="1">
      <c r="C54" s="30" t="s">
        <v>46</v>
      </c>
      <c r="D54" s="30"/>
      <c r="E54" s="39">
        <v>30551</v>
      </c>
      <c r="F54" s="39">
        <v>33327</v>
      </c>
      <c r="G54" s="39">
        <v>37720</v>
      </c>
      <c r="H54" s="42">
        <f ca="1">G54*(1+H36)</f>
        <v>39983.200000000004</v>
      </c>
      <c r="I54" s="42">
        <f ca="1">H54*(1+I36)</f>
        <v>42742.040800000002</v>
      </c>
      <c r="J54" s="42">
        <f ca="1">I54*(1+J36)</f>
        <v>45691.241615200001</v>
      </c>
      <c r="K54" s="42">
        <f ca="1">J54*(1+K36)</f>
        <v>48843.937286648797</v>
      </c>
      <c r="L54" s="42">
        <f ca="1">K54*(1+L36)</f>
        <v>52214.168959427559</v>
      </c>
      <c r="N54" t="s">
        <v>88</v>
      </c>
    </row>
    <row r="55" spans="3:15" ht="15" customHeight="1">
      <c r="C55" s="30" t="s">
        <v>322</v>
      </c>
      <c r="D55" s="30"/>
      <c r="E55" s="39">
        <f>7548+2836</f>
        <v>10384</v>
      </c>
      <c r="F55" s="39">
        <v>5966</v>
      </c>
      <c r="G55" s="39">
        <v>5522</v>
      </c>
      <c r="H55" s="42">
        <f ca="1">G55*(1+H36)</f>
        <v>5853.3200000000006</v>
      </c>
      <c r="I55" s="42">
        <f ca="1">H55*(1+I36)</f>
        <v>6257.1990800000003</v>
      </c>
      <c r="J55" s="42">
        <f ca="1">I55*(1+J36)</f>
        <v>6688.9458165200003</v>
      </c>
      <c r="K55" s="42">
        <f ca="1">J55*(1+K36)</f>
        <v>7150.4830778598798</v>
      </c>
      <c r="L55" s="42">
        <f ca="1">K55*(1+L36)</f>
        <v>7643.8664102322109</v>
      </c>
      <c r="N55" t="s">
        <v>88</v>
      </c>
      <c r="O55" s="42"/>
    </row>
    <row r="56" spans="3:15" ht="15" customHeight="1">
      <c r="C56" s="30" t="s">
        <v>48</v>
      </c>
      <c r="D56" s="30"/>
      <c r="E56" s="39">
        <v>11977</v>
      </c>
      <c r="F56" s="39">
        <v>11964</v>
      </c>
      <c r="G56" s="39">
        <v>5980</v>
      </c>
      <c r="H56" s="42">
        <f ca="1">H135</f>
        <v>12000</v>
      </c>
      <c r="I56" s="42">
        <f ca="1">I135</f>
        <v>12000</v>
      </c>
      <c r="J56" s="42">
        <f ca="1">J135</f>
        <v>12000</v>
      </c>
      <c r="K56" s="42">
        <f ca="1">K135</f>
        <v>12000</v>
      </c>
      <c r="L56" s="42">
        <f ca="1">L135</f>
        <v>12000</v>
      </c>
      <c r="N56" t="s">
        <v>91</v>
      </c>
    </row>
    <row r="57" spans="3:15" ht="15" customHeight="1">
      <c r="C57" s="30" t="s">
        <v>92</v>
      </c>
      <c r="D57" s="30"/>
      <c r="E57" s="39">
        <f>6496+97207</f>
        <v>103703</v>
      </c>
      <c r="F57" s="39">
        <f>8784+93735</f>
        <v>102519</v>
      </c>
      <c r="G57" s="39">
        <f>10260+91807</f>
        <v>102067</v>
      </c>
      <c r="H57" s="42">
        <f>G57</f>
        <v>102067</v>
      </c>
      <c r="I57" s="42">
        <f>H57</f>
        <v>102067</v>
      </c>
      <c r="J57" s="42">
        <f>I57</f>
        <v>102067</v>
      </c>
      <c r="K57" s="42">
        <f>J57</f>
        <v>102067</v>
      </c>
      <c r="L57" s="42">
        <f>K57</f>
        <v>102067</v>
      </c>
      <c r="N57" t="s">
        <v>93</v>
      </c>
    </row>
    <row r="58" spans="3:15" ht="15.75" customHeight="1">
      <c r="C58" s="30" t="s">
        <v>50</v>
      </c>
      <c r="D58" s="30"/>
      <c r="E58" s="39">
        <v>40415</v>
      </c>
      <c r="F58" s="39">
        <v>48914</v>
      </c>
      <c r="G58" s="39">
        <v>50503</v>
      </c>
      <c r="H58" s="42">
        <f ca="1">G58*(1+H36)</f>
        <v>53533.18</v>
      </c>
      <c r="I58" s="42">
        <f ca="1">H58*(1+I36)</f>
        <v>57226.969420000001</v>
      </c>
      <c r="J58" s="42">
        <f ca="1">I58*(1+J36)</f>
        <v>61175.630309979999</v>
      </c>
      <c r="K58" s="42">
        <f ca="1">J58*(1+K36)</f>
        <v>65396.748801368616</v>
      </c>
      <c r="L58" s="42">
        <f ca="1">K58*(1+L36)</f>
        <v>69909.124468663053</v>
      </c>
      <c r="N58" t="s">
        <v>88</v>
      </c>
    </row>
    <row r="59" spans="3:15" ht="15" customHeight="1">
      <c r="C59" s="31" t="s">
        <v>51</v>
      </c>
      <c r="D59" s="31"/>
      <c r="E59" s="41">
        <f t="shared" ref="E59:L59" si="8">SUM(E53:E58)</f>
        <v>241272</v>
      </c>
      <c r="F59" s="41">
        <f t="shared" si="8"/>
        <v>258578</v>
      </c>
      <c r="G59" s="41">
        <f t="shared" si="8"/>
        <v>248028</v>
      </c>
      <c r="H59" s="45">
        <f t="shared" ca="1" si="8"/>
        <v>262460.8642877235</v>
      </c>
      <c r="I59" s="45">
        <f t="shared" ca="1" si="8"/>
        <v>272700.04092357639</v>
      </c>
      <c r="J59" s="45">
        <f t="shared" ca="1" si="8"/>
        <v>283645.72074730316</v>
      </c>
      <c r="K59" s="45">
        <f t="shared" ca="1" si="8"/>
        <v>295346.65247886709</v>
      </c>
      <c r="L59" s="45">
        <f t="shared" ca="1" si="8"/>
        <v>307854.9484999089</v>
      </c>
    </row>
    <row r="60" spans="3:15" ht="15" customHeight="1">
      <c r="C60" s="31"/>
      <c r="D60" s="31"/>
      <c r="E60" s="41"/>
      <c r="F60" s="41"/>
      <c r="G60" s="41"/>
      <c r="H60" s="42"/>
      <c r="I60" s="42"/>
      <c r="J60" s="42"/>
      <c r="K60" s="42"/>
      <c r="L60" s="42"/>
    </row>
    <row r="61" spans="3:15" ht="15" customHeight="1">
      <c r="C61" s="30" t="s">
        <v>52</v>
      </c>
      <c r="D61" s="30"/>
      <c r="E61" s="39">
        <v>35867</v>
      </c>
      <c r="F61" s="39">
        <v>40201</v>
      </c>
      <c r="G61" s="39">
        <v>45174</v>
      </c>
      <c r="H61" s="42">
        <f ca="1">G61+H32</f>
        <v>51606.080000000002</v>
      </c>
      <c r="I61" s="42">
        <f ca="1">H61+I32</f>
        <v>58481.97352</v>
      </c>
      <c r="J61" s="42">
        <f ca="1">I61+J32</f>
        <v>65832.303692879999</v>
      </c>
      <c r="K61" s="42">
        <f ca="1">J61+K32</f>
        <v>73689.806647688718</v>
      </c>
      <c r="L61" s="42">
        <f ca="1">K61+L32</f>
        <v>82089.477306379238</v>
      </c>
      <c r="N61" t="s">
        <v>94</v>
      </c>
    </row>
    <row r="62" spans="3:15" ht="15.75" customHeight="1">
      <c r="C62" s="30" t="s">
        <v>53</v>
      </c>
      <c r="D62" s="30"/>
      <c r="E62" s="44">
        <f>98330</f>
        <v>98330</v>
      </c>
      <c r="F62" s="39">
        <v>70400</v>
      </c>
      <c r="G62" s="39">
        <v>45898</v>
      </c>
      <c r="H62" s="42">
        <f ca="1">H119</f>
        <v>22017.276020006655</v>
      </c>
      <c r="I62" s="42">
        <f ca="1">I119</f>
        <v>855.77386828267481</v>
      </c>
      <c r="J62" s="42">
        <f ca="1">J119</f>
        <v>-17330.39862502797</v>
      </c>
      <c r="K62" s="42">
        <f ca="1">K119</f>
        <v>-32270.713270567998</v>
      </c>
      <c r="L62" s="42">
        <f ca="1">L119</f>
        <v>-43674.796798033451</v>
      </c>
      <c r="N62" t="s">
        <v>95</v>
      </c>
      <c r="O62" s="42"/>
    </row>
    <row r="63" spans="3:15" ht="15.75" customHeight="1">
      <c r="C63" s="30" t="s">
        <v>54</v>
      </c>
      <c r="D63" s="30"/>
      <c r="E63" s="39">
        <v>-150</v>
      </c>
      <c r="F63" s="39">
        <v>-3454</v>
      </c>
      <c r="G63" s="39">
        <v>-584</v>
      </c>
      <c r="H63" s="42">
        <f>G63</f>
        <v>-584</v>
      </c>
      <c r="I63" s="42">
        <f>H63</f>
        <v>-584</v>
      </c>
      <c r="J63" s="42">
        <f>I63</f>
        <v>-584</v>
      </c>
      <c r="K63" s="42">
        <f>J63</f>
        <v>-584</v>
      </c>
      <c r="L63" s="42">
        <f>K63</f>
        <v>-584</v>
      </c>
      <c r="N63" t="s">
        <v>93</v>
      </c>
    </row>
    <row r="64" spans="3:15" ht="15" customHeight="1">
      <c r="C64" s="31" t="s">
        <v>55</v>
      </c>
      <c r="D64" s="31"/>
      <c r="E64" s="45">
        <f t="shared" ref="E64:L64" si="9">SUM(E61:E63)</f>
        <v>134047</v>
      </c>
      <c r="F64" s="45">
        <f t="shared" si="9"/>
        <v>107147</v>
      </c>
      <c r="G64" s="45">
        <f t="shared" si="9"/>
        <v>90488</v>
      </c>
      <c r="H64" s="45">
        <f t="shared" ca="1" si="9"/>
        <v>73039.356020006657</v>
      </c>
      <c r="I64" s="45">
        <f t="shared" ca="1" si="9"/>
        <v>58753.747388282674</v>
      </c>
      <c r="J64" s="45">
        <f t="shared" ca="1" si="9"/>
        <v>47917.905067852029</v>
      </c>
      <c r="K64" s="45">
        <f t="shared" ca="1" si="9"/>
        <v>40835.09337712072</v>
      </c>
      <c r="L64" s="45">
        <f t="shared" ca="1" si="9"/>
        <v>37830.680508345788</v>
      </c>
    </row>
    <row r="65" spans="3:14" ht="15" customHeight="1">
      <c r="E65" s="42"/>
      <c r="F65" s="42"/>
      <c r="G65" s="42"/>
    </row>
    <row r="66" spans="3:14" ht="15" customHeight="1">
      <c r="C66" s="23" t="s">
        <v>56</v>
      </c>
      <c r="D66" s="23"/>
      <c r="E66" s="46">
        <f t="shared" ref="E66:L66" si="10">ROUND(E51-E59-E64,3)</f>
        <v>0</v>
      </c>
      <c r="F66" s="46">
        <f t="shared" si="10"/>
        <v>0</v>
      </c>
      <c r="G66" s="46">
        <f t="shared" si="10"/>
        <v>0</v>
      </c>
      <c r="H66" s="46">
        <f t="shared" ca="1" si="10"/>
        <v>0</v>
      </c>
      <c r="I66" s="46">
        <f t="shared" ca="1" si="10"/>
        <v>0</v>
      </c>
      <c r="J66" s="46">
        <f t="shared" ca="1" si="10"/>
        <v>0</v>
      </c>
      <c r="K66" s="46">
        <f t="shared" ca="1" si="10"/>
        <v>0</v>
      </c>
      <c r="L66" s="46">
        <f t="shared" ca="1" si="10"/>
        <v>0</v>
      </c>
    </row>
    <row r="67" spans="3:14" ht="15" customHeight="1">
      <c r="F67" s="42"/>
      <c r="G67" s="42"/>
      <c r="I67" s="42"/>
      <c r="J67" s="42"/>
      <c r="K67" s="42"/>
      <c r="L67" s="42"/>
    </row>
    <row r="68" spans="3:14" ht="15" customHeight="1">
      <c r="C68" s="16" t="s">
        <v>96</v>
      </c>
      <c r="D68" s="16"/>
      <c r="E68" s="20"/>
      <c r="F68" s="20"/>
      <c r="G68" s="20"/>
      <c r="H68" s="20"/>
      <c r="I68" s="20"/>
      <c r="J68" s="20"/>
      <c r="K68" s="20"/>
      <c r="L68" s="20"/>
    </row>
    <row r="69" spans="3:14" ht="15" customHeight="1">
      <c r="C69" s="36" t="str">
        <f>C14</f>
        <v xml:space="preserve">Fiscal year  </v>
      </c>
      <c r="D69" s="36"/>
      <c r="E69" s="37"/>
      <c r="F69" s="37"/>
      <c r="G69" s="37"/>
      <c r="H69" s="65">
        <f t="shared" ref="H69:L70" si="11">H14</f>
        <v>2020</v>
      </c>
      <c r="I69" s="65">
        <f t="shared" si="11"/>
        <v>2021</v>
      </c>
      <c r="J69" s="65">
        <f t="shared" si="11"/>
        <v>2022</v>
      </c>
      <c r="K69" s="65">
        <f t="shared" si="11"/>
        <v>2023</v>
      </c>
      <c r="L69" s="65">
        <f t="shared" si="11"/>
        <v>2024</v>
      </c>
    </row>
    <row r="70" spans="3:14" ht="15" customHeight="1">
      <c r="C70" s="17" t="str">
        <f>C15</f>
        <v>Fiscal year end date</v>
      </c>
      <c r="D70" s="17"/>
      <c r="E70" s="38"/>
      <c r="F70" s="38"/>
      <c r="G70" s="38"/>
      <c r="H70" s="38">
        <f t="shared" si="11"/>
        <v>44104</v>
      </c>
      <c r="I70" s="38">
        <f t="shared" si="11"/>
        <v>44469</v>
      </c>
      <c r="J70" s="38">
        <f t="shared" si="11"/>
        <v>44834</v>
      </c>
      <c r="K70" s="38">
        <f t="shared" si="11"/>
        <v>45199</v>
      </c>
      <c r="L70" s="38">
        <f t="shared" si="11"/>
        <v>45565</v>
      </c>
    </row>
    <row r="72" spans="3:14" ht="15" customHeight="1">
      <c r="C72" t="s">
        <v>24</v>
      </c>
      <c r="E72" s="40"/>
      <c r="F72" s="40"/>
      <c r="G72" s="40"/>
      <c r="H72" s="42">
        <f ca="1">H28</f>
        <v>58068.411791803133</v>
      </c>
      <c r="I72" s="42">
        <f ca="1">I28</f>
        <v>61721.810321792007</v>
      </c>
      <c r="J72" s="42">
        <f ca="1">J28</f>
        <v>65719.301400773867</v>
      </c>
      <c r="K72" s="42">
        <f ca="1">K28</f>
        <v>70080.259438958354</v>
      </c>
      <c r="L72" s="42">
        <f ca="1">L28</f>
        <v>74831.34720758551</v>
      </c>
      <c r="N72" s="27"/>
    </row>
    <row r="73" spans="3:14" ht="15" customHeight="1">
      <c r="C73" t="s">
        <v>97</v>
      </c>
      <c r="E73" s="40"/>
      <c r="F73" s="40"/>
      <c r="G73" s="40"/>
      <c r="H73" s="42">
        <f ca="1">H30</f>
        <v>11808.331069482967</v>
      </c>
      <c r="I73" s="42">
        <f ca="1">I30</f>
        <v>12418.253260687266</v>
      </c>
      <c r="J73" s="42">
        <f ca="1">J30</f>
        <v>13558.159134874686</v>
      </c>
      <c r="K73" s="42">
        <f ca="1">K30</f>
        <v>14796.248715925842</v>
      </c>
      <c r="L73" s="42">
        <f ca="1">L30</f>
        <v>16140.644263520915</v>
      </c>
      <c r="N73" t="s">
        <v>98</v>
      </c>
    </row>
    <row r="74" spans="3:14" ht="15" customHeight="1">
      <c r="C74" t="s">
        <v>27</v>
      </c>
      <c r="E74" s="40"/>
      <c r="F74" s="40"/>
      <c r="G74" s="40"/>
      <c r="H74" s="42">
        <f ca="1">H32</f>
        <v>6432.08</v>
      </c>
      <c r="I74" s="42">
        <f ca="1">I32</f>
        <v>6875.8935199999996</v>
      </c>
      <c r="J74" s="42">
        <f ca="1">J32</f>
        <v>7350.3301728799988</v>
      </c>
      <c r="K74" s="42">
        <f ca="1">K32</f>
        <v>7857.5029548087186</v>
      </c>
      <c r="L74" s="42">
        <f ca="1">L32</f>
        <v>8399.6706586905202</v>
      </c>
    </row>
    <row r="75" spans="3:14" ht="15" customHeight="1">
      <c r="C75" t="s">
        <v>99</v>
      </c>
      <c r="E75" s="42"/>
      <c r="F75" s="42"/>
      <c r="G75" s="42"/>
      <c r="H75" s="42">
        <f ca="1">SUM(G46:G48)-SUM(H46:H48)</f>
        <v>-3736.9636544119858</v>
      </c>
      <c r="I75" s="42">
        <f ca="1">SUM(H46:H48)-SUM(I46:I48)</f>
        <v>-4553.9284921544313</v>
      </c>
      <c r="J75" s="42">
        <f ca="1">SUM(I46:I48)-SUM(J46:J48)</f>
        <v>-4868.149558113073</v>
      </c>
      <c r="K75" s="42">
        <f ca="1">SUM(J46:J48)-SUM(K46:K48)</f>
        <v>-5204.0518776228855</v>
      </c>
      <c r="L75" s="42">
        <f ca="1">SUM(K46:K48)-SUM(L46:L48)</f>
        <v>-5563.131457178868</v>
      </c>
    </row>
    <row r="76" spans="3:14" ht="15" customHeight="1">
      <c r="C76" t="s">
        <v>100</v>
      </c>
      <c r="E76" s="42"/>
      <c r="F76" s="42"/>
      <c r="G76" s="42"/>
      <c r="H76" s="42">
        <f ca="1">SUM(H53:H55)-SUM(G53:G55)</f>
        <v>5382.6842877235031</v>
      </c>
      <c r="I76" s="42">
        <f ca="1">SUM(I53:I55)-SUM(H53:H55)</f>
        <v>6545.3872158528975</v>
      </c>
      <c r="J76" s="42">
        <f ca="1">SUM(J53:J55)-SUM(I53:I55)</f>
        <v>6997.0189337467746</v>
      </c>
      <c r="K76" s="42">
        <f ca="1">SUM(K53:K55)-SUM(J53:J55)</f>
        <v>7479.8132401752955</v>
      </c>
      <c r="L76" s="42">
        <f ca="1">SUM(L53:L55)-SUM(K53:K55)</f>
        <v>7995.9203537473804</v>
      </c>
    </row>
    <row r="77" spans="3:14" ht="15" customHeight="1">
      <c r="C77" t="s">
        <v>43</v>
      </c>
      <c r="H77" s="42">
        <f ca="1">-H111</f>
        <v>-3300.5</v>
      </c>
      <c r="I77" s="42">
        <f ca="1">-I111</f>
        <v>-3825.036500000002</v>
      </c>
      <c r="J77" s="42">
        <f ca="1">-J111</f>
        <v>-4088.9640184999953</v>
      </c>
      <c r="K77" s="42">
        <f ca="1">-K111</f>
        <v>-4371.1025357764956</v>
      </c>
      <c r="L77" s="42">
        <f ca="1">-L111</f>
        <v>-4672.7086107450741</v>
      </c>
      <c r="N77" t="s">
        <v>101</v>
      </c>
    </row>
    <row r="78" spans="3:14" ht="15" customHeight="1">
      <c r="C78" t="s">
        <v>50</v>
      </c>
      <c r="H78" s="42">
        <f ca="1">H58-G58</f>
        <v>3030.1800000000003</v>
      </c>
      <c r="I78" s="42">
        <f ca="1">I58-H58</f>
        <v>3693.789420000001</v>
      </c>
      <c r="J78" s="42">
        <f ca="1">J58-I58</f>
        <v>3948.6608899799976</v>
      </c>
      <c r="K78" s="42">
        <f ca="1">K58-J58</f>
        <v>4221.1184913886173</v>
      </c>
      <c r="L78" s="42">
        <f ca="1">L58-K58</f>
        <v>4512.3756672944364</v>
      </c>
      <c r="N78" s="27"/>
    </row>
    <row r="79" spans="3:14" ht="15" customHeight="1">
      <c r="C79" s="27" t="s">
        <v>102</v>
      </c>
      <c r="D79" s="27"/>
      <c r="H79" s="45">
        <f ca="1">SUM(H72:H78)</f>
        <v>77684.223494597623</v>
      </c>
      <c r="I79" s="45">
        <f ca="1">SUM(I72:I78)</f>
        <v>82876.168746177733</v>
      </c>
      <c r="J79" s="45">
        <f ca="1">SUM(J72:J78)</f>
        <v>88616.356955642259</v>
      </c>
      <c r="K79" s="45">
        <f ca="1">SUM(K72:K78)</f>
        <v>94859.788427857449</v>
      </c>
      <c r="L79" s="45">
        <f ca="1">SUM(L72:L78)</f>
        <v>101644.11808291482</v>
      </c>
    </row>
    <row r="80" spans="3:14" ht="15" customHeight="1">
      <c r="H80" s="42"/>
      <c r="I80" s="42"/>
      <c r="J80" s="42"/>
      <c r="K80" s="42"/>
      <c r="L80" s="42"/>
    </row>
    <row r="81" spans="3:14" ht="15" customHeight="1">
      <c r="C81" t="s">
        <v>103</v>
      </c>
      <c r="H81" s="42">
        <f>-(H97)</f>
        <v>-12925.83</v>
      </c>
      <c r="I81" s="42">
        <f>-(I97)</f>
        <v>-13238.84</v>
      </c>
      <c r="J81" s="42">
        <f ca="1">-(J97)</f>
        <v>-14152.319959999999</v>
      </c>
      <c r="K81" s="42">
        <f ca="1">-(K97)</f>
        <v>-15128.830037239999</v>
      </c>
      <c r="L81" s="42">
        <f ca="1">-(L97)</f>
        <v>-16172.719309809558</v>
      </c>
      <c r="N81" t="s">
        <v>90</v>
      </c>
    </row>
    <row r="82" spans="3:14" ht="15" customHeight="1">
      <c r="C82" s="27" t="s">
        <v>104</v>
      </c>
      <c r="D82" s="27"/>
      <c r="H82" s="45">
        <f>IFERROR(H81,"NA")</f>
        <v>-12925.83</v>
      </c>
      <c r="I82" s="45">
        <f>IFERROR(I81,"NA")</f>
        <v>-13238.84</v>
      </c>
      <c r="J82" s="45">
        <f ca="1">IFERROR(J81,"NA")</f>
        <v>-14152.319959999999</v>
      </c>
      <c r="K82" s="45">
        <f ca="1">IFERROR(K81,"NA")</f>
        <v>-15128.830037239999</v>
      </c>
      <c r="L82" s="45">
        <f ca="1">IFERROR(L81,"NA")</f>
        <v>-16172.719309809558</v>
      </c>
    </row>
    <row r="83" spans="3:14" ht="15" customHeight="1">
      <c r="H83" s="42"/>
      <c r="I83" s="42"/>
      <c r="J83" s="42"/>
      <c r="K83" s="42"/>
      <c r="L83" s="42"/>
    </row>
    <row r="84" spans="3:14" ht="15" customHeight="1">
      <c r="C84" t="s">
        <v>105</v>
      </c>
      <c r="H84" s="42">
        <f>H57-G57</f>
        <v>0</v>
      </c>
      <c r="I84" s="42">
        <f>I57-H57</f>
        <v>0</v>
      </c>
      <c r="J84" s="42">
        <f>J57-I57</f>
        <v>0</v>
      </c>
      <c r="K84" s="42">
        <f>K57-J57</f>
        <v>0</v>
      </c>
      <c r="L84" s="42">
        <f>L57-K57</f>
        <v>0</v>
      </c>
    </row>
    <row r="85" spans="3:14" ht="15" customHeight="1">
      <c r="C85" t="s">
        <v>186</v>
      </c>
      <c r="H85" s="42">
        <f ca="1">H56-G56</f>
        <v>6020</v>
      </c>
      <c r="I85" s="42">
        <f ca="1">I56-H56</f>
        <v>0</v>
      </c>
      <c r="J85" s="42">
        <f ca="1">J56-I56</f>
        <v>0</v>
      </c>
      <c r="K85" s="42">
        <f ca="1">K56-J56</f>
        <v>0</v>
      </c>
      <c r="L85" s="42">
        <f ca="1">L56-K56</f>
        <v>0</v>
      </c>
      <c r="N85" t="s">
        <v>107</v>
      </c>
    </row>
    <row r="86" spans="3:14" ht="15" customHeight="1">
      <c r="C86" t="s">
        <v>108</v>
      </c>
      <c r="H86" s="42">
        <f>H118</f>
        <v>-67101</v>
      </c>
      <c r="I86" s="42">
        <f>I118</f>
        <v>-67101</v>
      </c>
      <c r="J86" s="42">
        <f>J118</f>
        <v>-67101</v>
      </c>
      <c r="K86" s="42">
        <f>K118</f>
        <v>-67101</v>
      </c>
      <c r="L86" s="42">
        <f>L118</f>
        <v>-67101</v>
      </c>
      <c r="N86" t="s">
        <v>95</v>
      </c>
    </row>
    <row r="87" spans="3:14" ht="15" customHeight="1">
      <c r="C87" t="s">
        <v>109</v>
      </c>
      <c r="H87" s="42">
        <f ca="1">H117</f>
        <v>-14848.135771796482</v>
      </c>
      <c r="I87" s="42">
        <f ca="1">I117</f>
        <v>-15782.312473515985</v>
      </c>
      <c r="J87" s="42">
        <f ca="1">J117</f>
        <v>-16804.473894084516</v>
      </c>
      <c r="K87" s="42">
        <f ca="1">K117</f>
        <v>-17919.574084498385</v>
      </c>
      <c r="L87" s="42">
        <f ca="1">L117</f>
        <v>-19134.430735050959</v>
      </c>
      <c r="N87" t="s">
        <v>95</v>
      </c>
    </row>
    <row r="88" spans="3:14" ht="15" customHeight="1">
      <c r="C88" s="27" t="s">
        <v>110</v>
      </c>
      <c r="D88" s="27"/>
      <c r="H88" s="45">
        <f ca="1">SUM(H84:H87)</f>
        <v>-75929.135771796486</v>
      </c>
      <c r="I88" s="45">
        <f ca="1">SUM(I84:I87)</f>
        <v>-82883.31247351598</v>
      </c>
      <c r="J88" s="45">
        <f ca="1">SUM(J84:J87)</f>
        <v>-83905.473894084513</v>
      </c>
      <c r="K88" s="45">
        <f ca="1">SUM(K84:K87)</f>
        <v>-85020.574084498381</v>
      </c>
      <c r="L88" s="45">
        <f ca="1">SUM(L84:L87)</f>
        <v>-86235.430735050963</v>
      </c>
    </row>
    <row r="89" spans="3:14" ht="15" customHeight="1">
      <c r="H89" s="42"/>
      <c r="I89" s="42"/>
      <c r="J89" s="42"/>
      <c r="K89" s="42"/>
      <c r="L89" s="42"/>
    </row>
    <row r="90" spans="3:14" ht="15" customHeight="1">
      <c r="C90" s="27" t="s">
        <v>111</v>
      </c>
      <c r="D90" s="27"/>
      <c r="H90" s="45">
        <f ca="1">H79+H82+H88</f>
        <v>-11170.742277198864</v>
      </c>
      <c r="I90" s="45">
        <f ca="1">I79+I82+I88</f>
        <v>-13245.983727338244</v>
      </c>
      <c r="J90" s="45">
        <f ca="1">J79+J82+J88</f>
        <v>-9441.4368984422472</v>
      </c>
      <c r="K90" s="45">
        <f ca="1">K79+K82+K88</f>
        <v>-5289.615693880929</v>
      </c>
      <c r="L90" s="45">
        <f ca="1">L79+L82+L88</f>
        <v>-764.03196194570046</v>
      </c>
    </row>
    <row r="92" spans="3:14" ht="15" customHeight="1">
      <c r="C92" s="16" t="s">
        <v>112</v>
      </c>
      <c r="D92" s="16"/>
      <c r="E92" s="17"/>
      <c r="F92" s="17"/>
      <c r="G92" s="17"/>
      <c r="H92" s="17"/>
      <c r="I92" s="17"/>
      <c r="J92" s="17"/>
      <c r="K92" s="17"/>
      <c r="L92" s="17"/>
    </row>
    <row r="93" spans="3:14" ht="15" customHeight="1">
      <c r="C93" s="36" t="str">
        <f>C14</f>
        <v xml:space="preserve">Fiscal year  </v>
      </c>
      <c r="D93" s="36"/>
      <c r="E93" s="37">
        <f t="shared" ref="E93:L94" si="12">E14</f>
        <v>2017</v>
      </c>
      <c r="F93" s="37">
        <f t="shared" si="12"/>
        <v>2018</v>
      </c>
      <c r="G93" s="37">
        <f t="shared" si="12"/>
        <v>2019</v>
      </c>
      <c r="H93" s="65">
        <f t="shared" si="12"/>
        <v>2020</v>
      </c>
      <c r="I93" s="65">
        <f t="shared" si="12"/>
        <v>2021</v>
      </c>
      <c r="J93" s="65">
        <f t="shared" si="12"/>
        <v>2022</v>
      </c>
      <c r="K93" s="65">
        <f t="shared" si="12"/>
        <v>2023</v>
      </c>
      <c r="L93" s="65">
        <f t="shared" si="12"/>
        <v>2024</v>
      </c>
    </row>
    <row r="94" spans="3:14" ht="15" customHeight="1">
      <c r="C94" s="17" t="str">
        <f>C15</f>
        <v>Fiscal year end date</v>
      </c>
      <c r="D94" s="17"/>
      <c r="E94" s="38">
        <f t="shared" si="12"/>
        <v>43008</v>
      </c>
      <c r="F94" s="38">
        <f t="shared" si="12"/>
        <v>43372</v>
      </c>
      <c r="G94" s="38">
        <f t="shared" si="12"/>
        <v>43737</v>
      </c>
      <c r="H94" s="38">
        <f t="shared" si="12"/>
        <v>44104</v>
      </c>
      <c r="I94" s="38">
        <f t="shared" si="12"/>
        <v>44469</v>
      </c>
      <c r="J94" s="38">
        <f t="shared" si="12"/>
        <v>44834</v>
      </c>
      <c r="K94" s="38">
        <f t="shared" si="12"/>
        <v>45199</v>
      </c>
      <c r="L94" s="38">
        <f t="shared" si="12"/>
        <v>45565</v>
      </c>
    </row>
    <row r="95" spans="3:14" ht="15" customHeight="1">
      <c r="C95" s="27"/>
      <c r="D95" s="27"/>
      <c r="H95" s="3" t="s">
        <v>113</v>
      </c>
      <c r="I95" s="3"/>
      <c r="J95" s="3"/>
      <c r="K95" s="3"/>
      <c r="L95" s="3"/>
    </row>
    <row r="96" spans="3:14" ht="15" customHeight="1">
      <c r="C96" s="30" t="s">
        <v>114</v>
      </c>
      <c r="D96" s="30"/>
      <c r="H96" s="42">
        <f>G99</f>
        <v>37378</v>
      </c>
      <c r="I96" s="42">
        <f>H99</f>
        <v>39817.318930517038</v>
      </c>
      <c r="J96" s="42">
        <f>I99</f>
        <v>42050.931249829766</v>
      </c>
      <c r="K96" s="42">
        <f ca="1">J99</f>
        <v>44155.616419975078</v>
      </c>
      <c r="L96" s="42">
        <f ca="1">K99</f>
        <v>46102.948266115614</v>
      </c>
      <c r="N96" t="s">
        <v>115</v>
      </c>
    </row>
    <row r="97" spans="3:18" ht="15" customHeight="1">
      <c r="C97" s="29" t="s">
        <v>116</v>
      </c>
      <c r="D97" s="39">
        <v>12734</v>
      </c>
      <c r="E97" s="39">
        <v>12451</v>
      </c>
      <c r="F97" s="39">
        <v>13313</v>
      </c>
      <c r="G97" s="39">
        <v>10495</v>
      </c>
      <c r="H97" s="39">
        <v>12925.83</v>
      </c>
      <c r="I97" s="39">
        <v>13238.84</v>
      </c>
      <c r="J97" s="39">
        <f ca="1">I97*(1+J36)</f>
        <v>14152.319959999999</v>
      </c>
      <c r="K97" s="39">
        <f ca="1">J97*(1+K36)</f>
        <v>15128.830037239999</v>
      </c>
      <c r="L97" s="39">
        <f ca="1">K97*(1+L36)</f>
        <v>16172.719309809558</v>
      </c>
      <c r="N97" t="s">
        <v>323</v>
      </c>
    </row>
    <row r="98" spans="3:18" ht="15" customHeight="1">
      <c r="C98" s="67" t="s">
        <v>118</v>
      </c>
      <c r="D98" s="68">
        <v>-8300</v>
      </c>
      <c r="E98" s="68">
        <v>-8200</v>
      </c>
      <c r="F98" s="68">
        <v>-9300</v>
      </c>
      <c r="G98" s="68">
        <v>-11300</v>
      </c>
      <c r="H98" s="85">
        <f>-(H101*H97)</f>
        <v>-10486.511069482967</v>
      </c>
      <c r="I98" s="85">
        <f>-(I101*I97)</f>
        <v>-11005.227680687267</v>
      </c>
      <c r="J98" s="85">
        <f ca="1">-(J101*J97)</f>
        <v>-12047.634789854686</v>
      </c>
      <c r="K98" s="85">
        <f ca="1">-(K101*K97)</f>
        <v>-13181.498191099461</v>
      </c>
      <c r="L98" s="85">
        <f ca="1">-(L101*L97)</f>
        <v>-14414.475952481514</v>
      </c>
      <c r="N98" t="s">
        <v>119</v>
      </c>
    </row>
    <row r="99" spans="3:18" ht="15" customHeight="1">
      <c r="C99" s="70" t="s">
        <v>120</v>
      </c>
      <c r="D99" s="45">
        <f>D49</f>
        <v>0</v>
      </c>
      <c r="E99" s="45">
        <f>E49</f>
        <v>33783</v>
      </c>
      <c r="F99" s="45">
        <f>F49</f>
        <v>41304</v>
      </c>
      <c r="G99" s="45">
        <f>G49</f>
        <v>37378</v>
      </c>
      <c r="H99" s="45">
        <f>SUM(H96:H98)</f>
        <v>39817.318930517038</v>
      </c>
      <c r="I99" s="45">
        <f>SUM(I96:I98)</f>
        <v>42050.931249829766</v>
      </c>
      <c r="J99" s="45">
        <f ca="1">SUM(J96:J98)</f>
        <v>44155.616419975078</v>
      </c>
      <c r="K99" s="45">
        <f ca="1">SUM(K96:K98)</f>
        <v>46102.948266115614</v>
      </c>
      <c r="L99" s="45">
        <f ca="1">SUM(L96:L98)</f>
        <v>47861.191623443658</v>
      </c>
      <c r="N99" t="s">
        <v>121</v>
      </c>
    </row>
    <row r="100" spans="3:18" ht="15" customHeight="1">
      <c r="C100" s="30"/>
      <c r="D100" s="30"/>
      <c r="N100" s="32" t="s">
        <v>122</v>
      </c>
    </row>
    <row r="101" spans="3:18" ht="15" customHeight="1">
      <c r="C101" s="30" t="s">
        <v>123</v>
      </c>
      <c r="D101" s="30"/>
      <c r="E101" s="71">
        <f>-(E98/E97)</f>
        <v>0.6585816400289134</v>
      </c>
      <c r="F101" s="71">
        <f>-(F98/F97)</f>
        <v>0.69856531210095396</v>
      </c>
      <c r="G101" s="71">
        <f>-(G98/G97)</f>
        <v>1.0767031919961887</v>
      </c>
      <c r="H101" s="63">
        <f>AVERAGE(E101:G101)</f>
        <v>0.81128338137535205</v>
      </c>
      <c r="I101" s="63">
        <f>H101+$N$101</f>
        <v>0.83128338137535207</v>
      </c>
      <c r="J101" s="63">
        <f>I101+$N$101</f>
        <v>0.85128338137535209</v>
      </c>
      <c r="K101" s="63">
        <f>J101+$N$101</f>
        <v>0.87128338137535211</v>
      </c>
      <c r="L101" s="63">
        <f>K101+$N$101</f>
        <v>0.89128338137535212</v>
      </c>
      <c r="N101" s="115">
        <v>0.02</v>
      </c>
      <c r="P101" s="74"/>
      <c r="Q101" s="74"/>
      <c r="R101" s="74"/>
    </row>
    <row r="102" spans="3:18" ht="15" customHeight="1">
      <c r="C102" s="30"/>
      <c r="D102" s="30"/>
      <c r="E102" s="71"/>
      <c r="F102" s="71"/>
      <c r="G102" s="71"/>
      <c r="H102" s="63"/>
      <c r="I102" s="63"/>
      <c r="J102" s="63"/>
      <c r="K102" s="63"/>
      <c r="L102" s="63"/>
      <c r="P102" s="74"/>
      <c r="Q102" s="74"/>
      <c r="R102" s="74"/>
    </row>
    <row r="103" spans="3:18" ht="15" customHeight="1">
      <c r="C103" s="75" t="s">
        <v>124</v>
      </c>
      <c r="D103" s="75"/>
      <c r="E103" s="76"/>
      <c r="F103" s="76"/>
      <c r="G103" s="76"/>
      <c r="H103" s="77"/>
      <c r="I103" s="77"/>
      <c r="J103" s="77"/>
      <c r="K103" s="77"/>
      <c r="L103" s="77"/>
      <c r="P103" s="74"/>
      <c r="Q103" s="74"/>
      <c r="R103" s="74"/>
    </row>
    <row r="104" spans="3:18" ht="15" customHeight="1">
      <c r="C104" s="30" t="s">
        <v>125</v>
      </c>
      <c r="D104" s="42">
        <f>D106+D98</f>
        <v>2205</v>
      </c>
      <c r="E104" s="42">
        <f>E106+E98</f>
        <v>1957</v>
      </c>
      <c r="F104" s="42">
        <f>F106+F98</f>
        <v>1603</v>
      </c>
      <c r="G104" s="42">
        <f>G106+G98</f>
        <v>1247</v>
      </c>
      <c r="H104" s="44">
        <f ca="1">H105*H17</f>
        <v>1321.8200000000002</v>
      </c>
      <c r="I104" s="44">
        <f ca="1">I105*I17</f>
        <v>1413.02558</v>
      </c>
      <c r="J104" s="44">
        <f ca="1">J105*J17</f>
        <v>1510.5243450200001</v>
      </c>
      <c r="K104" s="44">
        <f ca="1">K105*K17</f>
        <v>1614.7505248263801</v>
      </c>
      <c r="L104" s="44">
        <f ca="1">L105*L17</f>
        <v>1726.1683110394001</v>
      </c>
      <c r="N104" t="s">
        <v>126</v>
      </c>
      <c r="P104" s="74"/>
      <c r="Q104" s="74"/>
      <c r="R104" s="74"/>
    </row>
    <row r="105" spans="3:18" ht="15" customHeight="1">
      <c r="C105" s="29" t="s">
        <v>127</v>
      </c>
      <c r="D105" s="51">
        <f>D104/D17</f>
        <v>1.0225423044996499E-2</v>
      </c>
      <c r="E105" s="51">
        <f>E104/E17</f>
        <v>8.537128000209393E-3</v>
      </c>
      <c r="F105" s="51">
        <f>F104/F17</f>
        <v>6.0355051864681188E-3</v>
      </c>
      <c r="G105" s="51">
        <f>G104/G17</f>
        <v>4.7929462590420259E-3</v>
      </c>
      <c r="H105" s="63">
        <f>G105</f>
        <v>4.7929462590420259E-3</v>
      </c>
      <c r="I105" s="63">
        <f>H105</f>
        <v>4.7929462590420259E-3</v>
      </c>
      <c r="J105" s="63">
        <f>I105</f>
        <v>4.7929462590420259E-3</v>
      </c>
      <c r="K105" s="63">
        <f>J105</f>
        <v>4.7929462590420259E-3</v>
      </c>
      <c r="L105" s="63">
        <f>K105</f>
        <v>4.7929462590420259E-3</v>
      </c>
      <c r="N105" t="s">
        <v>128</v>
      </c>
    </row>
    <row r="106" spans="3:18" ht="15" customHeight="1">
      <c r="C106" s="31" t="s">
        <v>129</v>
      </c>
      <c r="D106" s="45">
        <f>D30</f>
        <v>10505</v>
      </c>
      <c r="E106" s="45">
        <f>E30</f>
        <v>10157</v>
      </c>
      <c r="F106" s="45">
        <f>F30</f>
        <v>10903</v>
      </c>
      <c r="G106" s="45">
        <f>G30</f>
        <v>12547</v>
      </c>
      <c r="H106" s="41">
        <f ca="1">-H98+H104</f>
        <v>11808.331069482967</v>
      </c>
      <c r="I106" s="41">
        <f ca="1">-I98+I104</f>
        <v>12418.253260687266</v>
      </c>
      <c r="J106" s="41">
        <f ca="1">-J98+J104</f>
        <v>13558.159134874686</v>
      </c>
      <c r="K106" s="41">
        <f ca="1">-K98+K104</f>
        <v>14796.248715925842</v>
      </c>
      <c r="L106" s="41">
        <f ca="1">-L98+L104</f>
        <v>16140.644263520915</v>
      </c>
      <c r="N106" t="s">
        <v>130</v>
      </c>
    </row>
    <row r="107" spans="3:18" ht="15" customHeight="1">
      <c r="C107" s="30"/>
      <c r="D107" s="30"/>
      <c r="E107" s="42"/>
      <c r="F107" s="42"/>
      <c r="G107" s="42"/>
      <c r="I107" s="42"/>
      <c r="J107" s="42"/>
      <c r="K107" s="42"/>
      <c r="L107" s="42"/>
    </row>
    <row r="108" spans="3:18" ht="15" customHeight="1">
      <c r="C108" s="78" t="s">
        <v>131</v>
      </c>
      <c r="D108" s="78"/>
      <c r="E108" s="17"/>
      <c r="F108" s="17"/>
      <c r="G108" s="17"/>
      <c r="I108" s="42"/>
      <c r="J108" s="42"/>
      <c r="K108" s="42"/>
      <c r="L108" s="42"/>
    </row>
    <row r="109" spans="3:18" ht="15" customHeight="1">
      <c r="C109" s="30" t="s">
        <v>114</v>
      </c>
      <c r="D109" s="30"/>
      <c r="E109" s="42"/>
      <c r="H109" s="123">
        <f>G112</f>
        <v>32978</v>
      </c>
      <c r="I109" s="123">
        <f ca="1">H112</f>
        <v>34956.68</v>
      </c>
      <c r="J109" s="123">
        <f ca="1">I112</f>
        <v>37368.690920000001</v>
      </c>
      <c r="K109" s="123">
        <f ca="1">J112</f>
        <v>39947.130593479997</v>
      </c>
      <c r="L109" s="123">
        <f ca="1">K112</f>
        <v>42703.482604430115</v>
      </c>
      <c r="N109" t="s">
        <v>115</v>
      </c>
    </row>
    <row r="110" spans="3:18" ht="15" customHeight="1">
      <c r="C110" s="29" t="s">
        <v>132</v>
      </c>
      <c r="D110" s="29"/>
      <c r="H110" s="42">
        <f ca="1">-(H104)</f>
        <v>-1321.8200000000002</v>
      </c>
      <c r="I110" s="42">
        <f ca="1">-(I104)</f>
        <v>-1413.02558</v>
      </c>
      <c r="J110" s="42">
        <f ca="1">-(J104)</f>
        <v>-1510.5243450200001</v>
      </c>
      <c r="K110" s="42">
        <f ca="1">-(K104)</f>
        <v>-1614.7505248263801</v>
      </c>
      <c r="L110" s="42">
        <f ca="1">-(L104)</f>
        <v>-1726.1683110394001</v>
      </c>
      <c r="N110" t="s">
        <v>133</v>
      </c>
    </row>
    <row r="111" spans="3:18" ht="15" customHeight="1">
      <c r="C111" s="67" t="s">
        <v>134</v>
      </c>
      <c r="D111" s="67"/>
      <c r="E111" s="80"/>
      <c r="F111" s="80"/>
      <c r="G111" s="80"/>
      <c r="H111" s="124">
        <f ca="1">H112-H110-H109</f>
        <v>3300.5</v>
      </c>
      <c r="I111" s="124">
        <f ca="1">I112-I110-I109</f>
        <v>3825.036500000002</v>
      </c>
      <c r="J111" s="124">
        <f ca="1">J112-J110-J109</f>
        <v>4088.9640184999953</v>
      </c>
      <c r="K111" s="124">
        <f ca="1">K112-K110-K109</f>
        <v>4371.1025357764956</v>
      </c>
      <c r="L111" s="124">
        <f ca="1">L112-L110-L109</f>
        <v>4672.7086107450741</v>
      </c>
      <c r="N111" t="s">
        <v>135</v>
      </c>
    </row>
    <row r="112" spans="3:18" ht="15" customHeight="1">
      <c r="C112" s="70" t="s">
        <v>120</v>
      </c>
      <c r="D112" s="45"/>
      <c r="E112" s="45">
        <f t="shared" ref="E112:L112" si="13">E50</f>
        <v>18177</v>
      </c>
      <c r="F112" s="45">
        <f t="shared" si="13"/>
        <v>22283</v>
      </c>
      <c r="G112" s="45">
        <f t="shared" si="13"/>
        <v>32978</v>
      </c>
      <c r="H112" s="45">
        <f t="shared" ca="1" si="13"/>
        <v>34956.68</v>
      </c>
      <c r="I112" s="45">
        <f t="shared" ca="1" si="13"/>
        <v>37368.690920000001</v>
      </c>
      <c r="J112" s="45">
        <f t="shared" ca="1" si="13"/>
        <v>39947.130593479997</v>
      </c>
      <c r="K112" s="45">
        <f t="shared" ca="1" si="13"/>
        <v>42703.482604430115</v>
      </c>
      <c r="L112" s="45">
        <f t="shared" ca="1" si="13"/>
        <v>45650.022904135789</v>
      </c>
      <c r="N112" t="s">
        <v>136</v>
      </c>
    </row>
    <row r="113" spans="3:18" ht="15" customHeight="1">
      <c r="C113" s="29"/>
      <c r="D113" s="29"/>
      <c r="F113" s="42"/>
      <c r="G113" s="42"/>
      <c r="I113" s="42"/>
      <c r="J113" s="42"/>
      <c r="K113" s="42"/>
      <c r="L113" s="42"/>
    </row>
    <row r="114" spans="3:18" ht="15" customHeight="1">
      <c r="C114" s="82" t="s">
        <v>137</v>
      </c>
      <c r="D114" s="82"/>
      <c r="E114" s="78"/>
      <c r="F114" s="78"/>
      <c r="G114" s="78"/>
      <c r="H114" s="17"/>
      <c r="I114" s="17"/>
      <c r="J114" s="17"/>
      <c r="K114" s="17"/>
      <c r="L114" s="17"/>
    </row>
    <row r="115" spans="3:18" ht="15" customHeight="1">
      <c r="C115" s="30" t="s">
        <v>114</v>
      </c>
      <c r="D115" s="30"/>
      <c r="H115" s="42">
        <f>G119</f>
        <v>45898</v>
      </c>
      <c r="I115" s="42">
        <f ca="1">H119</f>
        <v>22017.276020006655</v>
      </c>
      <c r="J115" s="42">
        <f ca="1">I119</f>
        <v>855.77386828267481</v>
      </c>
      <c r="K115" s="42">
        <f ca="1">J119</f>
        <v>-17330.39862502797</v>
      </c>
      <c r="L115" s="42">
        <f ca="1">K119</f>
        <v>-32270.713270567998</v>
      </c>
      <c r="N115" t="s">
        <v>115</v>
      </c>
    </row>
    <row r="116" spans="3:18" ht="15" customHeight="1">
      <c r="C116" s="29" t="s">
        <v>138</v>
      </c>
      <c r="D116" s="44">
        <f t="shared" ref="D116:L116" si="14">D28</f>
        <v>45687</v>
      </c>
      <c r="E116" s="44">
        <f t="shared" si="14"/>
        <v>48351</v>
      </c>
      <c r="F116" s="44">
        <f t="shared" si="14"/>
        <v>59531</v>
      </c>
      <c r="G116" s="44">
        <f t="shared" si="14"/>
        <v>55256</v>
      </c>
      <c r="H116" s="42">
        <f t="shared" ca="1" si="14"/>
        <v>58068.411791803133</v>
      </c>
      <c r="I116" s="42">
        <f t="shared" ca="1" si="14"/>
        <v>61721.810321792007</v>
      </c>
      <c r="J116" s="42">
        <f t="shared" ca="1" si="14"/>
        <v>65719.301400773867</v>
      </c>
      <c r="K116" s="42">
        <f t="shared" ca="1" si="14"/>
        <v>70080.259438958354</v>
      </c>
      <c r="L116" s="42">
        <f t="shared" ca="1" si="14"/>
        <v>74831.34720758551</v>
      </c>
      <c r="N116" t="s">
        <v>139</v>
      </c>
    </row>
    <row r="117" spans="3:18" ht="15" customHeight="1">
      <c r="C117" s="29" t="s">
        <v>140</v>
      </c>
      <c r="D117" s="39">
        <v>-12188</v>
      </c>
      <c r="E117" s="39">
        <v>-12803</v>
      </c>
      <c r="F117" s="39">
        <v>-13735</v>
      </c>
      <c r="G117" s="39">
        <v>-14129</v>
      </c>
      <c r="H117" s="42">
        <f ca="1">H116*G117/G116</f>
        <v>-14848.135771796482</v>
      </c>
      <c r="I117" s="42">
        <f ca="1">I116*H117/H116</f>
        <v>-15782.312473515985</v>
      </c>
      <c r="J117" s="42">
        <f ca="1">J116*I117/I116</f>
        <v>-16804.473894084516</v>
      </c>
      <c r="K117" s="42">
        <f ca="1">K116*J117/J116</f>
        <v>-17919.574084498385</v>
      </c>
      <c r="L117" s="42">
        <f ca="1">L116*K117/K116</f>
        <v>-19134.430735050959</v>
      </c>
      <c r="N117" t="s">
        <v>324</v>
      </c>
    </row>
    <row r="118" spans="3:18" ht="15" customHeight="1">
      <c r="C118" s="67" t="s">
        <v>142</v>
      </c>
      <c r="D118" s="68">
        <v>-29000</v>
      </c>
      <c r="E118" s="68">
        <v>-33001</v>
      </c>
      <c r="F118" s="68">
        <v>-73056</v>
      </c>
      <c r="G118" s="68">
        <v>-67101</v>
      </c>
      <c r="H118" s="85">
        <f>G118</f>
        <v>-67101</v>
      </c>
      <c r="I118" s="85">
        <f>H118</f>
        <v>-67101</v>
      </c>
      <c r="J118" s="85">
        <f>I118</f>
        <v>-67101</v>
      </c>
      <c r="K118" s="85">
        <f>J118</f>
        <v>-67101</v>
      </c>
      <c r="L118" s="85">
        <f>K118</f>
        <v>-67101</v>
      </c>
      <c r="N118" t="s">
        <v>143</v>
      </c>
    </row>
    <row r="119" spans="3:18" ht="15" customHeight="1">
      <c r="C119" s="70" t="s">
        <v>120</v>
      </c>
      <c r="D119" s="41">
        <f>D62</f>
        <v>0</v>
      </c>
      <c r="E119" s="41">
        <f>E62</f>
        <v>98330</v>
      </c>
      <c r="F119" s="41">
        <f>F62</f>
        <v>70400</v>
      </c>
      <c r="G119" s="41">
        <f>G62</f>
        <v>45898</v>
      </c>
      <c r="H119" s="45">
        <f ca="1">SUM(H115:H118)</f>
        <v>22017.276020006655</v>
      </c>
      <c r="I119" s="45">
        <f ca="1">SUM(I115:I118)</f>
        <v>855.77386828267481</v>
      </c>
      <c r="J119" s="45">
        <f ca="1">SUM(J115:J118)</f>
        <v>-17330.39862502797</v>
      </c>
      <c r="K119" s="45">
        <f ca="1">SUM(K115:K118)</f>
        <v>-32270.713270567998</v>
      </c>
      <c r="L119" s="45">
        <f ca="1">SUM(L115:L118)</f>
        <v>-43674.796798033451</v>
      </c>
      <c r="N119" t="s">
        <v>144</v>
      </c>
    </row>
    <row r="120" spans="3:18" ht="15" customHeight="1">
      <c r="F120" s="40"/>
      <c r="G120" s="40"/>
    </row>
    <row r="121" spans="3:18" ht="15" customHeight="1">
      <c r="C121" s="16" t="s">
        <v>145</v>
      </c>
      <c r="D121" s="16"/>
      <c r="E121" s="17"/>
      <c r="F121" s="17"/>
      <c r="G121" s="17"/>
      <c r="H121" s="17"/>
      <c r="I121" s="17"/>
      <c r="J121" s="17"/>
      <c r="K121" s="17"/>
      <c r="L121" s="17"/>
      <c r="P121" s="74"/>
      <c r="Q121" s="74"/>
    </row>
    <row r="122" spans="3:18" ht="15" customHeight="1">
      <c r="C122" s="36" t="str">
        <f>C14</f>
        <v xml:space="preserve">Fiscal year  </v>
      </c>
      <c r="D122" s="36"/>
      <c r="E122" s="37">
        <f t="shared" ref="E122:L123" si="15">E14</f>
        <v>2017</v>
      </c>
      <c r="F122" s="37">
        <f t="shared" si="15"/>
        <v>2018</v>
      </c>
      <c r="G122" s="37">
        <f t="shared" si="15"/>
        <v>2019</v>
      </c>
      <c r="H122" s="65">
        <f t="shared" si="15"/>
        <v>2020</v>
      </c>
      <c r="I122" s="65">
        <f t="shared" si="15"/>
        <v>2021</v>
      </c>
      <c r="J122" s="65">
        <f t="shared" si="15"/>
        <v>2022</v>
      </c>
      <c r="K122" s="65">
        <f t="shared" si="15"/>
        <v>2023</v>
      </c>
      <c r="L122" s="65">
        <f t="shared" si="15"/>
        <v>2024</v>
      </c>
      <c r="P122" s="74"/>
      <c r="Q122" s="74"/>
    </row>
    <row r="123" spans="3:18" ht="15" customHeight="1">
      <c r="C123" s="17" t="str">
        <f>C15</f>
        <v>Fiscal year end date</v>
      </c>
      <c r="D123" s="17"/>
      <c r="E123" s="38">
        <f t="shared" si="15"/>
        <v>43008</v>
      </c>
      <c r="F123" s="38">
        <f t="shared" si="15"/>
        <v>43372</v>
      </c>
      <c r="G123" s="38">
        <f t="shared" si="15"/>
        <v>43737</v>
      </c>
      <c r="H123" s="38">
        <f t="shared" si="15"/>
        <v>44104</v>
      </c>
      <c r="I123" s="38">
        <f t="shared" si="15"/>
        <v>44469</v>
      </c>
      <c r="J123" s="38">
        <f t="shared" si="15"/>
        <v>44834</v>
      </c>
      <c r="K123" s="38">
        <f t="shared" si="15"/>
        <v>45199</v>
      </c>
      <c r="L123" s="38">
        <f t="shared" si="15"/>
        <v>45565</v>
      </c>
      <c r="P123" s="74"/>
      <c r="Q123" s="74"/>
    </row>
    <row r="124" spans="3:18" ht="15" customHeight="1">
      <c r="C124" s="27"/>
      <c r="D124" s="27"/>
      <c r="P124" s="74"/>
      <c r="Q124" s="74"/>
    </row>
    <row r="125" spans="3:18" ht="15" customHeight="1">
      <c r="C125" s="32" t="s">
        <v>146</v>
      </c>
      <c r="D125" s="32"/>
      <c r="P125" s="74"/>
      <c r="Q125" s="74"/>
      <c r="R125" s="74"/>
    </row>
    <row r="126" spans="3:18" ht="15" customHeight="1">
      <c r="C126" s="29" t="s">
        <v>147</v>
      </c>
      <c r="D126" s="29"/>
      <c r="H126" s="42">
        <f>G45</f>
        <v>205898</v>
      </c>
      <c r="I126" s="42">
        <f ca="1">H45</f>
        <v>194727.25772280112</v>
      </c>
      <c r="J126" s="42">
        <f ca="1">I45</f>
        <v>181481.27399546286</v>
      </c>
      <c r="K126" s="42">
        <f ca="1">J45</f>
        <v>172039.83709702062</v>
      </c>
      <c r="L126" s="42">
        <f ca="1">K45</f>
        <v>166750.2214031397</v>
      </c>
      <c r="N126" t="s">
        <v>148</v>
      </c>
      <c r="P126" s="74"/>
      <c r="Q126" s="74"/>
    </row>
    <row r="127" spans="3:18" ht="15" customHeight="1">
      <c r="C127" s="29" t="s">
        <v>149</v>
      </c>
      <c r="D127" s="29"/>
      <c r="H127" s="39">
        <v>-50000</v>
      </c>
      <c r="I127" s="39">
        <v>-50000</v>
      </c>
      <c r="J127" s="39">
        <v>-50000</v>
      </c>
      <c r="K127" s="39">
        <v>-50000</v>
      </c>
      <c r="L127" s="39">
        <v>-50000</v>
      </c>
      <c r="N127" t="s">
        <v>150</v>
      </c>
      <c r="P127" s="74"/>
      <c r="Q127" s="74"/>
    </row>
    <row r="128" spans="3:18" ht="15" customHeight="1">
      <c r="C128" s="67" t="s">
        <v>151</v>
      </c>
      <c r="D128" s="67"/>
      <c r="E128" s="80"/>
      <c r="F128" s="80"/>
      <c r="G128" s="80"/>
      <c r="H128" s="85">
        <f ca="1">SUM(H79,H82,H84,H86,H87)</f>
        <v>-17190.74227719886</v>
      </c>
      <c r="I128" s="85">
        <f ca="1">SUM(I79,I82,I84,I86,I87)</f>
        <v>-13245.983727338249</v>
      </c>
      <c r="J128" s="85">
        <f ca="1">SUM(J79,J82,J84,J86,J87)</f>
        <v>-9441.4368984422508</v>
      </c>
      <c r="K128" s="85">
        <f ca="1">SUM(K79,K82,K84,K86,K87)</f>
        <v>-5289.6156938809327</v>
      </c>
      <c r="L128" s="85">
        <f ca="1">SUM(L79,L82,L84,L86,L87)</f>
        <v>-764.03196194569682</v>
      </c>
      <c r="N128" t="s">
        <v>152</v>
      </c>
    </row>
    <row r="129" spans="3:20" ht="15" customHeight="1">
      <c r="C129" s="70" t="s">
        <v>153</v>
      </c>
      <c r="D129" s="70"/>
      <c r="H129" s="45">
        <f ca="1">SUM(H126:H128)</f>
        <v>138707.25772280115</v>
      </c>
      <c r="I129" s="45">
        <f ca="1">SUM(I126:I128)</f>
        <v>131481.27399546286</v>
      </c>
      <c r="J129" s="45">
        <f ca="1">SUM(J126:J128)</f>
        <v>122039.83709702062</v>
      </c>
      <c r="K129" s="45">
        <f ca="1">SUM(K126:K128)</f>
        <v>116750.22140313969</v>
      </c>
      <c r="L129" s="45">
        <f ca="1">SUM(L126:L128)</f>
        <v>115986.189441194</v>
      </c>
    </row>
    <row r="131" spans="3:20" ht="15" customHeight="1">
      <c r="C131" s="27" t="s">
        <v>154</v>
      </c>
      <c r="D131" s="27"/>
    </row>
    <row r="132" spans="3:20" ht="15" customHeight="1">
      <c r="C132" s="29" t="s">
        <v>114</v>
      </c>
      <c r="D132" s="29"/>
      <c r="H132" s="42">
        <f>G135</f>
        <v>5980</v>
      </c>
      <c r="I132" s="42">
        <f ca="1">H135</f>
        <v>12000</v>
      </c>
      <c r="J132" s="42">
        <f ca="1">I135</f>
        <v>12000</v>
      </c>
      <c r="K132" s="42">
        <f ca="1">J135</f>
        <v>12000</v>
      </c>
      <c r="L132" s="42">
        <f ca="1">K135</f>
        <v>12000</v>
      </c>
      <c r="N132" t="s">
        <v>115</v>
      </c>
    </row>
    <row r="133" spans="3:20" ht="15" customHeight="1">
      <c r="C133" s="29" t="s">
        <v>155</v>
      </c>
      <c r="D133" s="29"/>
      <c r="H133" s="42">
        <f ca="1">-MIN(H129,H132)</f>
        <v>-5980</v>
      </c>
      <c r="I133" s="42">
        <f ca="1">-MIN(I129,I132)</f>
        <v>-12000</v>
      </c>
      <c r="J133" s="42">
        <f ca="1">-MIN(J129,J132)</f>
        <v>-12000</v>
      </c>
      <c r="K133" s="42">
        <f ca="1">-MIN(K129,K132)</f>
        <v>-12000</v>
      </c>
      <c r="L133" s="42">
        <f ca="1">-MIN(L129,L132)</f>
        <v>-12000</v>
      </c>
      <c r="N133" t="s">
        <v>156</v>
      </c>
    </row>
    <row r="134" spans="3:20" ht="15" customHeight="1">
      <c r="C134" s="67" t="s">
        <v>157</v>
      </c>
      <c r="D134" s="67"/>
      <c r="E134" s="80"/>
      <c r="F134" s="80"/>
      <c r="G134" s="80"/>
      <c r="H134" s="68">
        <v>12000</v>
      </c>
      <c r="I134" s="68">
        <v>12000</v>
      </c>
      <c r="J134" s="68">
        <v>12000</v>
      </c>
      <c r="K134" s="68">
        <v>12000</v>
      </c>
      <c r="L134" s="68">
        <v>12000</v>
      </c>
      <c r="N134" t="s">
        <v>150</v>
      </c>
    </row>
    <row r="135" spans="3:20" ht="15" customHeight="1">
      <c r="C135" s="29" t="s">
        <v>120</v>
      </c>
      <c r="D135" s="85"/>
      <c r="E135" s="85">
        <f>E56</f>
        <v>11977</v>
      </c>
      <c r="F135" s="85">
        <f>F56</f>
        <v>11964</v>
      </c>
      <c r="G135" s="85">
        <f>G56</f>
        <v>5980</v>
      </c>
      <c r="H135" s="86">
        <f ca="1">SUM(H132:H134)</f>
        <v>12000</v>
      </c>
      <c r="I135" s="86">
        <f ca="1">SUM(I132:I134)</f>
        <v>12000</v>
      </c>
      <c r="J135" s="86">
        <f ca="1">SUM(J132:J134)</f>
        <v>12000</v>
      </c>
      <c r="K135" s="86">
        <f ca="1">SUM(K132:K134)</f>
        <v>12000</v>
      </c>
      <c r="L135" s="86">
        <f ca="1">SUM(L132:L134)</f>
        <v>12000</v>
      </c>
    </row>
    <row r="136" spans="3:20" ht="15" customHeight="1">
      <c r="C136" s="87" t="s">
        <v>158</v>
      </c>
      <c r="D136" s="282"/>
      <c r="E136" s="88"/>
      <c r="F136" s="88"/>
      <c r="G136" s="89"/>
      <c r="H136" s="90" t="str">
        <f ca="1">IF(H135&lt;0,"Negative Debt","OK")</f>
        <v>OK</v>
      </c>
      <c r="I136" s="90" t="str">
        <f ca="1">IF(I135&lt;0,"Negative Debt","OK")</f>
        <v>OK</v>
      </c>
      <c r="J136" s="90" t="str">
        <f ca="1">IF(J135&lt;0,"Negative Debt","OK")</f>
        <v>OK</v>
      </c>
      <c r="K136" s="90" t="str">
        <f ca="1">IF(K135&lt;0,"Negative Debt","OK")</f>
        <v>OK</v>
      </c>
      <c r="L136" s="90" t="str">
        <f ca="1">IF(L135&lt;0,"Negative Debt","OK")</f>
        <v>OK</v>
      </c>
      <c r="T136" s="40"/>
    </row>
    <row r="137" spans="3:20" ht="15" customHeight="1">
      <c r="E137" s="42"/>
      <c r="F137" s="42"/>
      <c r="G137" s="92"/>
      <c r="H137" s="93"/>
      <c r="I137" s="93"/>
      <c r="J137" s="93"/>
      <c r="K137" s="93"/>
      <c r="L137" s="93"/>
      <c r="T137" s="40"/>
    </row>
    <row r="138" spans="3:20" ht="15" customHeight="1">
      <c r="C138" s="16" t="s">
        <v>159</v>
      </c>
      <c r="D138" s="16"/>
      <c r="E138" s="76"/>
      <c r="F138" s="76"/>
      <c r="G138" s="76"/>
      <c r="H138" s="94"/>
      <c r="I138" s="94"/>
      <c r="J138" s="94"/>
      <c r="K138" s="94"/>
      <c r="L138" s="94"/>
      <c r="S138" s="95"/>
    </row>
    <row r="139" spans="3:20" ht="15" customHeight="1">
      <c r="C139" s="36" t="str">
        <f>C14</f>
        <v xml:space="preserve">Fiscal year  </v>
      </c>
      <c r="D139" s="36"/>
      <c r="E139" s="37">
        <f t="shared" ref="E139:L140" si="16">E14</f>
        <v>2017</v>
      </c>
      <c r="F139" s="37">
        <f t="shared" si="16"/>
        <v>2018</v>
      </c>
      <c r="G139" s="37">
        <f t="shared" si="16"/>
        <v>2019</v>
      </c>
      <c r="H139" s="65">
        <f t="shared" si="16"/>
        <v>2020</v>
      </c>
      <c r="I139" s="65">
        <f t="shared" si="16"/>
        <v>2021</v>
      </c>
      <c r="J139" s="65">
        <f t="shared" si="16"/>
        <v>2022</v>
      </c>
      <c r="K139" s="65">
        <f t="shared" si="16"/>
        <v>2023</v>
      </c>
      <c r="L139" s="65">
        <f t="shared" si="16"/>
        <v>2024</v>
      </c>
      <c r="S139" s="95"/>
      <c r="T139" s="40"/>
    </row>
    <row r="140" spans="3:20" ht="15" customHeight="1">
      <c r="C140" s="17" t="str">
        <f>C15</f>
        <v>Fiscal year end date</v>
      </c>
      <c r="D140" s="17"/>
      <c r="E140" s="38">
        <f t="shared" si="16"/>
        <v>43008</v>
      </c>
      <c r="F140" s="38">
        <f t="shared" si="16"/>
        <v>43372</v>
      </c>
      <c r="G140" s="38">
        <f t="shared" si="16"/>
        <v>43737</v>
      </c>
      <c r="H140" s="38">
        <f t="shared" si="16"/>
        <v>44104</v>
      </c>
      <c r="I140" s="38">
        <f t="shared" si="16"/>
        <v>44469</v>
      </c>
      <c r="J140" s="38">
        <f t="shared" si="16"/>
        <v>44834</v>
      </c>
      <c r="K140" s="38">
        <f t="shared" si="16"/>
        <v>45199</v>
      </c>
      <c r="L140" s="38">
        <f t="shared" si="16"/>
        <v>45565</v>
      </c>
      <c r="S140" s="95"/>
    </row>
    <row r="141" spans="3:20" ht="15" customHeight="1">
      <c r="C141" s="29"/>
      <c r="D141" s="29"/>
      <c r="E141" s="42"/>
      <c r="F141" s="42"/>
      <c r="G141" s="42"/>
      <c r="H141" s="96"/>
      <c r="I141" s="96"/>
      <c r="J141" s="96"/>
      <c r="K141" s="96"/>
      <c r="L141" s="96"/>
      <c r="S141" s="95"/>
    </row>
    <row r="142" spans="3:20" ht="15" customHeight="1">
      <c r="C142" s="30" t="s">
        <v>160</v>
      </c>
      <c r="D142" s="42">
        <f>-(D24)</f>
        <v>1456</v>
      </c>
      <c r="E142" s="42">
        <f>-(E24)</f>
        <v>2323</v>
      </c>
      <c r="F142" s="42">
        <f>-(F24)</f>
        <v>3240</v>
      </c>
      <c r="G142" s="42">
        <f>-(G24)</f>
        <v>3576</v>
      </c>
      <c r="H142" s="42">
        <f ca="1">H147+H152</f>
        <v>3568.9466179543074</v>
      </c>
      <c r="I142" s="42">
        <f ca="1">I147+I152</f>
        <v>3636.3706179543074</v>
      </c>
      <c r="J142" s="42">
        <f ca="1">J147+J152</f>
        <v>3636.3706179543074</v>
      </c>
      <c r="K142" s="42">
        <f ca="1">K147+K152</f>
        <v>3636.3706179543074</v>
      </c>
      <c r="L142" s="42">
        <f ca="1">L147+L152</f>
        <v>3636.3706179543074</v>
      </c>
      <c r="N142" t="s">
        <v>161</v>
      </c>
      <c r="S142" s="40"/>
    </row>
    <row r="143" spans="3:20" ht="15" customHeight="1">
      <c r="C143" s="97"/>
      <c r="D143" s="97"/>
      <c r="S143" s="40"/>
    </row>
    <row r="144" spans="3:20" ht="15" customHeight="1">
      <c r="C144" s="98" t="s">
        <v>162</v>
      </c>
      <c r="D144" s="98"/>
      <c r="S144" s="40"/>
    </row>
    <row r="145" spans="3:19" ht="15" customHeight="1">
      <c r="C145" s="29" t="s">
        <v>163</v>
      </c>
      <c r="D145" s="29"/>
      <c r="E145" s="99">
        <v>1.2E-2</v>
      </c>
      <c r="F145" s="99">
        <v>2.18E-2</v>
      </c>
      <c r="G145" s="99">
        <v>2.24E-2</v>
      </c>
      <c r="H145" s="125">
        <f>G145</f>
        <v>2.24E-2</v>
      </c>
      <c r="I145" s="125">
        <f>H145</f>
        <v>2.24E-2</v>
      </c>
      <c r="J145" s="125">
        <f>I145</f>
        <v>2.24E-2</v>
      </c>
      <c r="K145" s="125">
        <f>J145</f>
        <v>2.24E-2</v>
      </c>
      <c r="L145" s="125">
        <f>K145</f>
        <v>2.24E-2</v>
      </c>
      <c r="N145" t="s">
        <v>164</v>
      </c>
    </row>
    <row r="146" spans="3:19" ht="15" customHeight="1">
      <c r="C146" s="29" t="s">
        <v>165</v>
      </c>
      <c r="D146" s="67"/>
      <c r="E146" s="85">
        <f t="shared" ref="E146:L146" si="17">E56</f>
        <v>11977</v>
      </c>
      <c r="F146" s="85">
        <f t="shared" si="17"/>
        <v>11964</v>
      </c>
      <c r="G146" s="85">
        <f t="shared" si="17"/>
        <v>5980</v>
      </c>
      <c r="H146" s="42">
        <f t="shared" ca="1" si="17"/>
        <v>12000</v>
      </c>
      <c r="I146" s="42">
        <f t="shared" ca="1" si="17"/>
        <v>12000</v>
      </c>
      <c r="J146" s="42">
        <f t="shared" ca="1" si="17"/>
        <v>12000</v>
      </c>
      <c r="K146" s="42">
        <f t="shared" ca="1" si="17"/>
        <v>12000</v>
      </c>
      <c r="L146" s="42">
        <f t="shared" ca="1" si="17"/>
        <v>12000</v>
      </c>
      <c r="N146" t="s">
        <v>166</v>
      </c>
    </row>
    <row r="147" spans="3:19" ht="15" customHeight="1">
      <c r="C147" s="101" t="s">
        <v>167</v>
      </c>
      <c r="D147" s="283"/>
      <c r="E147" s="45">
        <f>AVERAGE(D146:E146)*E145</f>
        <v>143.72399999999999</v>
      </c>
      <c r="F147" s="45">
        <f>AVERAGE(E146:F146)*F145</f>
        <v>260.95690000000002</v>
      </c>
      <c r="G147" s="45">
        <f>AVERAGE(F146:G146)*G145</f>
        <v>200.97280000000001</v>
      </c>
      <c r="H147" s="119">
        <f ca="1">IF($D$7=1,AVERAGE(G146,H146)*H145,0)</f>
        <v>201.376</v>
      </c>
      <c r="I147" s="119">
        <f ca="1">IF($D$7=1,AVERAGE(H146,I146)*I145,0)</f>
        <v>268.8</v>
      </c>
      <c r="J147" s="119">
        <f ca="1">IF($D$7=1,AVERAGE(I146,J146)*J145,0)</f>
        <v>268.8</v>
      </c>
      <c r="K147" s="119">
        <f ca="1">IF($D$7=1,AVERAGE(J146,K146)*K145,0)</f>
        <v>268.8</v>
      </c>
      <c r="L147" s="119">
        <f ca="1">IF($D$7=1,AVERAGE(K146,L146)*L145,0)</f>
        <v>268.8</v>
      </c>
      <c r="N147" t="s">
        <v>168</v>
      </c>
    </row>
    <row r="148" spans="3:19" ht="15" customHeight="1">
      <c r="C148" s="103"/>
      <c r="D148" s="103"/>
      <c r="E148" s="42"/>
      <c r="F148" s="42"/>
      <c r="G148" s="42"/>
    </row>
    <row r="149" spans="3:19" ht="15" customHeight="1">
      <c r="C149" s="98" t="s">
        <v>105</v>
      </c>
      <c r="D149" s="98"/>
      <c r="E149" s="42"/>
      <c r="F149" s="42"/>
      <c r="G149" s="42"/>
    </row>
    <row r="150" spans="3:19" ht="15" customHeight="1">
      <c r="C150" s="29" t="s">
        <v>165</v>
      </c>
      <c r="D150" s="29"/>
      <c r="E150" s="42">
        <f t="shared" ref="E150:L150" si="18">E57</f>
        <v>103703</v>
      </c>
      <c r="F150" s="42">
        <f t="shared" si="18"/>
        <v>102519</v>
      </c>
      <c r="G150" s="42">
        <f t="shared" si="18"/>
        <v>102067</v>
      </c>
      <c r="H150" s="42">
        <f t="shared" si="18"/>
        <v>102067</v>
      </c>
      <c r="I150" s="42">
        <f t="shared" si="18"/>
        <v>102067</v>
      </c>
      <c r="J150" s="42">
        <f t="shared" si="18"/>
        <v>102067</v>
      </c>
      <c r="K150" s="42">
        <f t="shared" si="18"/>
        <v>102067</v>
      </c>
      <c r="L150" s="42">
        <f t="shared" si="18"/>
        <v>102067</v>
      </c>
      <c r="N150" t="s">
        <v>107</v>
      </c>
    </row>
    <row r="151" spans="3:19" ht="15" customHeight="1">
      <c r="C151" s="29" t="s">
        <v>163</v>
      </c>
      <c r="D151" s="29"/>
      <c r="E151" s="51">
        <f>E152/AVERAGE(D150:E150)</f>
        <v>2.101458974185896E-2</v>
      </c>
      <c r="F151" s="51">
        <f>F152/AVERAGE(E150:F150)</f>
        <v>2.8891612921996681E-2</v>
      </c>
      <c r="G151" s="51">
        <f>G152/AVERAGE(F150:G150)</f>
        <v>3.2993725865895024E-2</v>
      </c>
      <c r="H151" s="126">
        <f>G151</f>
        <v>3.2993725865895024E-2</v>
      </c>
      <c r="I151" s="126">
        <f>H151</f>
        <v>3.2993725865895024E-2</v>
      </c>
      <c r="J151" s="126">
        <f>I151</f>
        <v>3.2993725865895024E-2</v>
      </c>
      <c r="K151" s="126">
        <f>J151</f>
        <v>3.2993725865895024E-2</v>
      </c>
      <c r="L151" s="126">
        <f>K151</f>
        <v>3.2993725865895024E-2</v>
      </c>
      <c r="N151" t="s">
        <v>164</v>
      </c>
      <c r="S151" s="95"/>
    </row>
    <row r="152" spans="3:19" ht="15" customHeight="1">
      <c r="C152" s="70" t="s">
        <v>169</v>
      </c>
      <c r="D152" s="70"/>
      <c r="E152" s="45">
        <f>E142-E147</f>
        <v>2179.2759999999998</v>
      </c>
      <c r="F152" s="45">
        <f>F142-F147</f>
        <v>2979.0430999999999</v>
      </c>
      <c r="G152" s="45">
        <f>G142-G147</f>
        <v>3375.0272</v>
      </c>
      <c r="H152" s="41">
        <f>H151*AVERAGE(G150:H150)</f>
        <v>3367.5706179543072</v>
      </c>
      <c r="I152" s="41">
        <f>I151*AVERAGE(H150:I150)</f>
        <v>3367.5706179543072</v>
      </c>
      <c r="J152" s="41">
        <f>J151*AVERAGE(I150:J150)</f>
        <v>3367.5706179543072</v>
      </c>
      <c r="K152" s="41">
        <f>K151*AVERAGE(J150:K150)</f>
        <v>3367.5706179543072</v>
      </c>
      <c r="L152" s="41">
        <f>L151*AVERAGE(K150:L150)</f>
        <v>3367.5706179543072</v>
      </c>
      <c r="N152" t="s">
        <v>170</v>
      </c>
    </row>
    <row r="153" spans="3:19" ht="15" customHeight="1">
      <c r="F153" s="42"/>
    </row>
    <row r="154" spans="3:19" ht="15" customHeight="1">
      <c r="C154" s="97" t="s">
        <v>171</v>
      </c>
      <c r="D154" s="97"/>
      <c r="F154" s="42"/>
      <c r="G154" s="42"/>
    </row>
    <row r="155" spans="3:19" ht="15" customHeight="1">
      <c r="C155" s="29" t="s">
        <v>172</v>
      </c>
      <c r="D155" s="49">
        <v>1.7299999999999999E-2</v>
      </c>
      <c r="E155" s="99">
        <v>1.9900000000000001E-2</v>
      </c>
      <c r="F155" s="99">
        <v>2.1600000000000001E-2</v>
      </c>
      <c r="G155" s="99">
        <v>2.1899999999999999E-2</v>
      </c>
      <c r="H155" s="127">
        <f>G155</f>
        <v>2.1899999999999999E-2</v>
      </c>
      <c r="I155" s="127">
        <f>H155</f>
        <v>2.1899999999999999E-2</v>
      </c>
      <c r="J155" s="127">
        <f>I155</f>
        <v>2.1899999999999999E-2</v>
      </c>
      <c r="K155" s="127">
        <f>J155</f>
        <v>2.1899999999999999E-2</v>
      </c>
      <c r="L155" s="127">
        <f>K155</f>
        <v>2.1899999999999999E-2</v>
      </c>
      <c r="N155" t="s">
        <v>164</v>
      </c>
    </row>
    <row r="156" spans="3:19" ht="15" customHeight="1">
      <c r="C156" s="29" t="s">
        <v>19</v>
      </c>
      <c r="D156" s="42">
        <f>D23</f>
        <v>3999</v>
      </c>
      <c r="E156" s="42">
        <f>E23</f>
        <v>5201</v>
      </c>
      <c r="F156" s="42">
        <f>F23</f>
        <v>5686</v>
      </c>
      <c r="G156" s="42">
        <f>G23</f>
        <v>4961</v>
      </c>
      <c r="H156" s="44">
        <f ca="1">IF($D$7=1,AVERAGE(G45,H45)*H155,0)</f>
        <v>4386.8465720646718</v>
      </c>
      <c r="I156" s="44">
        <f ca="1">IF($D$7=1,AVERAGE(H45,I45)*I155,0)</f>
        <v>4119.4834223149901</v>
      </c>
      <c r="J156" s="44">
        <f ca="1">IF($D$7=1,AVERAGE(I45,J45)*J155,0)</f>
        <v>3871.0561664626944</v>
      </c>
      <c r="K156" s="44">
        <f ca="1">IF($D$7=1,AVERAGE(J45,K45)*K155,0)</f>
        <v>3709.7511405767555</v>
      </c>
      <c r="L156" s="44">
        <f ca="1">IF($D$7=1,AVERAGE(K45,L45)*L155,0)</f>
        <v>3643.4636987454537</v>
      </c>
      <c r="N156" t="s">
        <v>173</v>
      </c>
    </row>
    <row r="157" spans="3:19" ht="15" customHeight="1">
      <c r="C157" s="50"/>
      <c r="D157" s="50"/>
      <c r="E157" s="51"/>
      <c r="F157" s="51"/>
      <c r="G157" s="51"/>
      <c r="H157" s="51"/>
      <c r="I157" s="51"/>
    </row>
    <row r="158" spans="3:19" ht="15" customHeight="1">
      <c r="C158" s="16" t="s">
        <v>204</v>
      </c>
      <c r="D158" s="16"/>
      <c r="E158" s="16"/>
      <c r="F158" s="16"/>
      <c r="G158" s="16"/>
      <c r="H158" s="16"/>
      <c r="I158" s="16"/>
      <c r="J158" s="16"/>
      <c r="K158" s="16"/>
      <c r="L158" s="16"/>
    </row>
    <row r="159" spans="3:19" ht="15" customHeight="1">
      <c r="C159" s="36"/>
      <c r="D159" s="37">
        <f t="shared" ref="D159:L159" si="19">D14</f>
        <v>2016</v>
      </c>
      <c r="E159" s="37">
        <f t="shared" si="19"/>
        <v>2017</v>
      </c>
      <c r="F159" s="37">
        <f t="shared" si="19"/>
        <v>2018</v>
      </c>
      <c r="G159" s="65">
        <f t="shared" si="19"/>
        <v>2019</v>
      </c>
      <c r="H159" s="65">
        <f t="shared" si="19"/>
        <v>2020</v>
      </c>
      <c r="I159" s="65">
        <f t="shared" si="19"/>
        <v>2021</v>
      </c>
      <c r="J159" s="65">
        <f t="shared" si="19"/>
        <v>2022</v>
      </c>
      <c r="K159" s="65">
        <f t="shared" si="19"/>
        <v>2023</v>
      </c>
      <c r="L159" s="65">
        <f t="shared" si="19"/>
        <v>2024</v>
      </c>
    </row>
    <row r="160" spans="3:19" ht="15" customHeight="1">
      <c r="C160" s="17"/>
      <c r="D160" s="38">
        <f t="shared" ref="D160:L160" si="20">D15</f>
        <v>42643</v>
      </c>
      <c r="E160" s="38">
        <f t="shared" si="20"/>
        <v>43008</v>
      </c>
      <c r="F160" s="38">
        <f t="shared" si="20"/>
        <v>43372</v>
      </c>
      <c r="G160" s="38">
        <f t="shared" si="20"/>
        <v>43737</v>
      </c>
      <c r="H160" s="38">
        <f t="shared" si="20"/>
        <v>44104</v>
      </c>
      <c r="I160" s="38">
        <f t="shared" si="20"/>
        <v>44469</v>
      </c>
      <c r="J160" s="38">
        <f t="shared" si="20"/>
        <v>44834</v>
      </c>
      <c r="K160" s="38">
        <f t="shared" si="20"/>
        <v>45199</v>
      </c>
      <c r="L160" s="38">
        <f t="shared" si="20"/>
        <v>45565</v>
      </c>
    </row>
    <row r="161" spans="3:14" ht="15" customHeight="1">
      <c r="G161" s="35"/>
      <c r="H161" s="35"/>
      <c r="I161" s="35"/>
      <c r="J161" s="63"/>
      <c r="K161" s="63"/>
    </row>
    <row r="162" spans="3:14" ht="15" customHeight="1">
      <c r="C162" t="s">
        <v>24</v>
      </c>
      <c r="D162" s="42">
        <f t="shared" ref="D162:L162" si="21">D28</f>
        <v>45687</v>
      </c>
      <c r="E162" s="42">
        <f t="shared" si="21"/>
        <v>48351</v>
      </c>
      <c r="F162" s="42">
        <f t="shared" si="21"/>
        <v>59531</v>
      </c>
      <c r="G162" s="42">
        <f t="shared" si="21"/>
        <v>55256</v>
      </c>
      <c r="H162" s="42">
        <f t="shared" ca="1" si="21"/>
        <v>58068.411791803133</v>
      </c>
      <c r="I162" s="42">
        <f t="shared" ca="1" si="21"/>
        <v>61721.810321792007</v>
      </c>
      <c r="J162" s="42">
        <f t="shared" ca="1" si="21"/>
        <v>65719.301400773867</v>
      </c>
      <c r="K162" s="42">
        <f t="shared" ca="1" si="21"/>
        <v>70080.259438958354</v>
      </c>
      <c r="L162" s="42">
        <f t="shared" ca="1" si="21"/>
        <v>74831.34720758551</v>
      </c>
      <c r="N162" t="s">
        <v>205</v>
      </c>
    </row>
    <row r="163" spans="3:14" ht="15" customHeight="1">
      <c r="C163" t="s">
        <v>206</v>
      </c>
      <c r="D163" s="39">
        <v>5470.82</v>
      </c>
      <c r="E163" s="39">
        <v>5217.2420000000002</v>
      </c>
      <c r="F163" s="39">
        <v>4955.3770000000004</v>
      </c>
      <c r="G163" s="39">
        <v>4617.8339999999998</v>
      </c>
      <c r="H163" s="42">
        <f ca="1">G163+(-H169+H170)/H171</f>
        <v>4415.6042666666663</v>
      </c>
      <c r="I163" s="42">
        <f ca="1">H163+(-I169+I170)/I171</f>
        <v>4226.7366003288944</v>
      </c>
      <c r="J163" s="42">
        <f ca="1">I163+(-J169+J170)/J171</f>
        <v>4050.754485161106</v>
      </c>
      <c r="K163" s="42">
        <f ca="1">J163+(-K169+K170)/K171</f>
        <v>3887.1242032553946</v>
      </c>
      <c r="L163" s="42">
        <f ca="1">K163+(-L169+L170)/L171</f>
        <v>3735.2852974083771</v>
      </c>
      <c r="N163" t="s">
        <v>207</v>
      </c>
    </row>
    <row r="164" spans="3:14" ht="15" customHeight="1">
      <c r="C164" s="27" t="s">
        <v>208</v>
      </c>
      <c r="D164" s="277">
        <f t="shared" ref="D164:L164" si="22">D162/D163</f>
        <v>8.3510333003096431</v>
      </c>
      <c r="E164" s="277">
        <f t="shared" si="22"/>
        <v>9.2675402061088974</v>
      </c>
      <c r="F164" s="277">
        <f t="shared" si="22"/>
        <v>12.0134149228202</v>
      </c>
      <c r="G164" s="277">
        <f t="shared" si="22"/>
        <v>11.965783092246278</v>
      </c>
      <c r="H164" s="277">
        <f t="shared" ca="1" si="22"/>
        <v>13.150728254830431</v>
      </c>
      <c r="I164" s="277">
        <f t="shared" ca="1" si="22"/>
        <v>14.602710355073761</v>
      </c>
      <c r="J164" s="277">
        <f t="shared" ca="1" si="22"/>
        <v>16.223965594932888</v>
      </c>
      <c r="K164" s="277">
        <f t="shared" ca="1" si="22"/>
        <v>18.028819192416705</v>
      </c>
      <c r="L164" s="277">
        <f t="shared" ca="1" si="22"/>
        <v>20.033636322105071</v>
      </c>
      <c r="N164" t="s">
        <v>209</v>
      </c>
    </row>
    <row r="165" spans="3:14" ht="15" customHeight="1">
      <c r="E165" s="39"/>
      <c r="F165" s="39"/>
      <c r="G165" s="39"/>
      <c r="H165" s="42"/>
    </row>
    <row r="166" spans="3:14" ht="15" customHeight="1">
      <c r="C166" t="s">
        <v>210</v>
      </c>
      <c r="D166" s="39">
        <v>5500.2809999999999</v>
      </c>
      <c r="E166" s="39">
        <v>5251.692</v>
      </c>
      <c r="F166" s="39">
        <v>5000.1090000000004</v>
      </c>
      <c r="G166" s="39">
        <v>4648.9129999999996</v>
      </c>
      <c r="H166" s="42">
        <f ca="1">H163+G166-G163</f>
        <v>4446.683266666666</v>
      </c>
      <c r="I166" s="42">
        <f ca="1">I163+H166-H163</f>
        <v>4257.8156003288941</v>
      </c>
      <c r="J166" s="42">
        <f ca="1">J163+I166-I163</f>
        <v>4081.8334851611062</v>
      </c>
      <c r="K166" s="42">
        <f ca="1">K163+J166-J163</f>
        <v>3918.2032032553948</v>
      </c>
      <c r="L166" s="42">
        <f ca="1">L163+K166-K163</f>
        <v>3766.3642974083778</v>
      </c>
      <c r="N166" t="s">
        <v>211</v>
      </c>
    </row>
    <row r="167" spans="3:14" ht="15" customHeight="1">
      <c r="C167" s="27" t="s">
        <v>212</v>
      </c>
      <c r="D167" s="277">
        <f t="shared" ref="D167:L167" si="23">D162/D166</f>
        <v>8.3063028961611227</v>
      </c>
      <c r="E167" s="277">
        <f t="shared" si="23"/>
        <v>9.2067470826545037</v>
      </c>
      <c r="F167" s="277">
        <f t="shared" si="23"/>
        <v>11.905940450498179</v>
      </c>
      <c r="G167" s="277">
        <f t="shared" si="23"/>
        <v>11.885789215672569</v>
      </c>
      <c r="H167" s="277">
        <f t="shared" ca="1" si="23"/>
        <v>13.058814471248033</v>
      </c>
      <c r="I167" s="277">
        <f t="shared" ca="1" si="23"/>
        <v>14.496121043152813</v>
      </c>
      <c r="J167" s="277">
        <f t="shared" ca="1" si="23"/>
        <v>16.100436639487263</v>
      </c>
      <c r="K167" s="277">
        <f t="shared" ca="1" si="23"/>
        <v>17.885815462743984</v>
      </c>
      <c r="L167" s="277">
        <f t="shared" ca="1" si="23"/>
        <v>19.868324277361246</v>
      </c>
      <c r="N167" t="s">
        <v>213</v>
      </c>
    </row>
    <row r="168" spans="3:14" ht="15" customHeight="1">
      <c r="H168" s="151"/>
    </row>
    <row r="169" spans="3:14" ht="15" customHeight="1">
      <c r="C169" t="s">
        <v>214</v>
      </c>
      <c r="H169" s="42">
        <f>-(H86)</f>
        <v>67101</v>
      </c>
      <c r="I169" s="42">
        <f>-(I86)</f>
        <v>67101</v>
      </c>
      <c r="J169" s="42">
        <f>-(J86)</f>
        <v>67101</v>
      </c>
      <c r="K169" s="42">
        <f>-(K86)</f>
        <v>67101</v>
      </c>
      <c r="L169" s="42">
        <f>-(L86)</f>
        <v>67101</v>
      </c>
      <c r="N169" t="s">
        <v>215</v>
      </c>
    </row>
    <row r="170" spans="3:14" ht="15" customHeight="1">
      <c r="C170" t="s">
        <v>216</v>
      </c>
      <c r="H170" s="44">
        <f ca="1">H32</f>
        <v>6432.08</v>
      </c>
      <c r="I170" s="44">
        <f ca="1">I32</f>
        <v>6875.8935199999996</v>
      </c>
      <c r="J170" s="44">
        <f ca="1">J32</f>
        <v>7350.3301728799988</v>
      </c>
      <c r="K170" s="44">
        <f ca="1">K32</f>
        <v>7857.5029548087186</v>
      </c>
      <c r="L170" s="44">
        <f ca="1">L32</f>
        <v>8399.6706586905202</v>
      </c>
      <c r="N170" t="s">
        <v>217</v>
      </c>
    </row>
    <row r="171" spans="3:14" ht="15" customHeight="1">
      <c r="C171" t="s">
        <v>218</v>
      </c>
      <c r="H171" s="284">
        <v>300</v>
      </c>
      <c r="I171" s="151">
        <f ca="1">H171*(1+I172)</f>
        <v>318.87462606909759</v>
      </c>
      <c r="J171" s="151">
        <f ca="1">I171*(1+J172)</f>
        <v>339.52694437245168</v>
      </c>
      <c r="K171" s="151">
        <f ca="1">J171*(1+K172)</f>
        <v>362.05704931394797</v>
      </c>
      <c r="L171" s="151">
        <f ca="1">K171*(1+L172)</f>
        <v>386.60268930318125</v>
      </c>
      <c r="N171" t="s">
        <v>219</v>
      </c>
    </row>
    <row r="172" spans="3:14" ht="15" customHeight="1">
      <c r="C172" t="s">
        <v>220</v>
      </c>
      <c r="I172" s="286">
        <f ca="1">I162/H162-1</f>
        <v>6.2915420230325259E-2</v>
      </c>
      <c r="J172" s="286">
        <f ca="1">J162/I162-1</f>
        <v>6.4766264277418273E-2</v>
      </c>
      <c r="K172" s="286">
        <f ca="1">K162/J162-1</f>
        <v>6.6357340160848599E-2</v>
      </c>
      <c r="L172" s="286">
        <f ca="1">L162/K162-1</f>
        <v>6.7794951198282494E-2</v>
      </c>
      <c r="N172" t="s">
        <v>221</v>
      </c>
    </row>
    <row r="173" spans="3:14" ht="15" customHeight="1">
      <c r="N173" s="32" t="s">
        <v>222</v>
      </c>
    </row>
    <row r="174" spans="3:14" ht="15" customHeight="1">
      <c r="C174" s="27" t="s">
        <v>223</v>
      </c>
      <c r="E174" s="27"/>
      <c r="F174" s="27"/>
      <c r="G174" s="154" t="s">
        <v>224</v>
      </c>
      <c r="H174" s="285">
        <f>D11</f>
        <v>4443.2650000000003</v>
      </c>
      <c r="I174" s="45">
        <f ca="1">H176</f>
        <v>4241.0352666666668</v>
      </c>
      <c r="J174" s="45">
        <f ca="1">I176</f>
        <v>4052.1676003288953</v>
      </c>
      <c r="K174" s="45">
        <f ca="1">J176</f>
        <v>3876.185485161107</v>
      </c>
      <c r="L174" s="45">
        <f ca="1">K176</f>
        <v>3712.555203255396</v>
      </c>
      <c r="N174" t="s">
        <v>225</v>
      </c>
    </row>
    <row r="175" spans="3:14" ht="15" customHeight="1">
      <c r="C175" t="s">
        <v>226</v>
      </c>
      <c r="H175" s="42">
        <f ca="1">(-H169+H170)/H171</f>
        <v>-202.22973333333331</v>
      </c>
      <c r="I175" s="42">
        <f ca="1">(-I169+I170)/I171</f>
        <v>-188.86766633777157</v>
      </c>
      <c r="J175" s="42">
        <f ca="1">(-J169+J170)/J171</f>
        <v>-175.98211516778818</v>
      </c>
      <c r="K175" s="42">
        <f ca="1">(-K169+K170)/K171</f>
        <v>-163.63028190571117</v>
      </c>
      <c r="L175" s="42">
        <f ca="1">(-L169+L170)/L171</f>
        <v>-151.83890584701746</v>
      </c>
      <c r="N175" t="s">
        <v>227</v>
      </c>
    </row>
    <row r="176" spans="3:14" ht="15" customHeight="1">
      <c r="C176" t="s">
        <v>228</v>
      </c>
      <c r="H176" s="42">
        <f ca="1">SUM(H174:H175)</f>
        <v>4241.0352666666668</v>
      </c>
      <c r="I176" s="42">
        <f ca="1">SUM(I174:I175)</f>
        <v>4052.1676003288953</v>
      </c>
      <c r="J176" s="42">
        <f ca="1">SUM(J174:J175)</f>
        <v>3876.185485161107</v>
      </c>
      <c r="K176" s="42">
        <f ca="1">SUM(K174:K175)</f>
        <v>3712.555203255396</v>
      </c>
      <c r="L176" s="42">
        <f ca="1">SUM(L174:L175)</f>
        <v>3560.7162974083785</v>
      </c>
      <c r="N176" t="s">
        <v>229</v>
      </c>
    </row>
    <row r="177" spans="3:14" ht="15" customHeight="1">
      <c r="C177" s="27" t="s">
        <v>230</v>
      </c>
      <c r="E177" s="27"/>
      <c r="F177" s="27"/>
      <c r="G177" s="27"/>
      <c r="H177" s="45">
        <f ca="1">AVERAGE(H176,H174)</f>
        <v>4342.1501333333335</v>
      </c>
      <c r="I177" s="45">
        <f ca="1">AVERAGE(I176,I174)</f>
        <v>4146.6014334977808</v>
      </c>
      <c r="J177" s="45">
        <f ca="1">AVERAGE(J176,J174)</f>
        <v>3964.1765427450009</v>
      </c>
      <c r="K177" s="45">
        <f ca="1">AVERAGE(K176,K174)</f>
        <v>3794.3703442082515</v>
      </c>
      <c r="L177" s="45">
        <f ca="1">AVERAGE(L176,L174)</f>
        <v>3636.6357503318873</v>
      </c>
      <c r="N177" t="s">
        <v>231</v>
      </c>
    </row>
    <row r="178" spans="3:14" ht="15" customHeight="1">
      <c r="N178" s="32"/>
    </row>
    <row r="179" spans="3:14" ht="15" customHeight="1">
      <c r="C179" s="16" t="s">
        <v>197</v>
      </c>
      <c r="D179" s="16"/>
      <c r="E179" s="16"/>
      <c r="F179" s="16"/>
      <c r="G179" s="16"/>
      <c r="H179" s="16"/>
      <c r="I179" s="16"/>
      <c r="J179" s="16"/>
      <c r="K179" s="16"/>
      <c r="L179" s="16"/>
    </row>
    <row r="180" spans="3:14" ht="15.75" customHeight="1"/>
    <row r="181" spans="3:14" ht="15.75" customHeight="1">
      <c r="C181" t="s">
        <v>198</v>
      </c>
      <c r="D181" s="287" t="str">
        <f>L5</f>
        <v>Base case</v>
      </c>
      <c r="G181" s="137" t="s">
        <v>199</v>
      </c>
      <c r="H181" s="65">
        <f t="shared" ref="H181:L182" si="24">H14</f>
        <v>2020</v>
      </c>
      <c r="I181" s="65">
        <f t="shared" si="24"/>
        <v>2021</v>
      </c>
      <c r="J181" s="65">
        <f t="shared" si="24"/>
        <v>2022</v>
      </c>
      <c r="K181" s="65">
        <f t="shared" si="24"/>
        <v>2023</v>
      </c>
      <c r="L181" s="65">
        <f t="shared" si="24"/>
        <v>2024</v>
      </c>
    </row>
    <row r="182" spans="3:14" ht="15" customHeight="1">
      <c r="G182" s="139" t="s">
        <v>200</v>
      </c>
      <c r="H182" s="38">
        <f t="shared" si="24"/>
        <v>44104</v>
      </c>
      <c r="I182" s="38">
        <f t="shared" si="24"/>
        <v>44469</v>
      </c>
      <c r="J182" s="38">
        <f t="shared" si="24"/>
        <v>44834</v>
      </c>
      <c r="K182" s="38">
        <f t="shared" si="24"/>
        <v>45199</v>
      </c>
      <c r="L182" s="38">
        <f t="shared" si="24"/>
        <v>45565</v>
      </c>
    </row>
    <row r="183" spans="3:14" ht="15" customHeight="1">
      <c r="C183" s="29" t="s">
        <v>30</v>
      </c>
      <c r="G183" s="236" t="str">
        <f t="shared" ref="G183:L186" ca="1" si="25">OFFSET(G$188,MATCH($L$5,$C$189:$C$191,0)+MATCH($C183,$C$188:$C$203,0)-1,0)</f>
        <v>NM</v>
      </c>
      <c r="H183" s="71">
        <f t="shared" ca="1" si="25"/>
        <v>0.06</v>
      </c>
      <c r="I183" s="71">
        <f t="shared" ca="1" si="25"/>
        <v>6.9000000000000006E-2</v>
      </c>
      <c r="J183" s="71">
        <f t="shared" ca="1" si="25"/>
        <v>6.9000000000000006E-2</v>
      </c>
      <c r="K183" s="71">
        <f t="shared" ca="1" si="25"/>
        <v>6.9000000000000006E-2</v>
      </c>
      <c r="L183" s="71">
        <f t="shared" ca="1" si="25"/>
        <v>6.9000000000000006E-2</v>
      </c>
    </row>
    <row r="184" spans="3:14" ht="15" customHeight="1">
      <c r="C184" s="29" t="s">
        <v>31</v>
      </c>
      <c r="G184" s="236" t="str">
        <f t="shared" ca="1" si="25"/>
        <v>NM</v>
      </c>
      <c r="H184" s="71">
        <f t="shared" ca="1" si="25"/>
        <v>0.378</v>
      </c>
      <c r="I184" s="71">
        <f t="shared" ca="1" si="25"/>
        <v>0.378</v>
      </c>
      <c r="J184" s="71">
        <f t="shared" ca="1" si="25"/>
        <v>0.378</v>
      </c>
      <c r="K184" s="71">
        <f t="shared" ca="1" si="25"/>
        <v>0.378</v>
      </c>
      <c r="L184" s="71">
        <f t="shared" ca="1" si="25"/>
        <v>0.378</v>
      </c>
    </row>
    <row r="185" spans="3:14" ht="15" customHeight="1">
      <c r="C185" s="29" t="s">
        <v>32</v>
      </c>
      <c r="G185" s="236" t="str">
        <f t="shared" ca="1" si="25"/>
        <v>NM</v>
      </c>
      <c r="H185" s="71">
        <f t="shared" ca="1" si="25"/>
        <v>6.2E-2</v>
      </c>
      <c r="I185" s="71">
        <f t="shared" ca="1" si="25"/>
        <v>6.2E-2</v>
      </c>
      <c r="J185" s="71">
        <f t="shared" ca="1" si="25"/>
        <v>6.2E-2</v>
      </c>
      <c r="K185" s="71">
        <f t="shared" ca="1" si="25"/>
        <v>6.2E-2</v>
      </c>
      <c r="L185" s="71">
        <f t="shared" ca="1" si="25"/>
        <v>6.2E-2</v>
      </c>
    </row>
    <row r="186" spans="3:14" ht="15" customHeight="1">
      <c r="C186" s="29" t="s">
        <v>33</v>
      </c>
      <c r="G186" s="236" t="str">
        <f t="shared" ca="1" si="25"/>
        <v>NM</v>
      </c>
      <c r="H186" s="71">
        <f t="shared" ca="1" si="25"/>
        <v>7.0000000000000007E-2</v>
      </c>
      <c r="I186" s="71">
        <f t="shared" ca="1" si="25"/>
        <v>7.0000000000000007E-2</v>
      </c>
      <c r="J186" s="71">
        <f t="shared" ca="1" si="25"/>
        <v>7.0000000000000007E-2</v>
      </c>
      <c r="K186" s="71">
        <f t="shared" ca="1" si="25"/>
        <v>7.0000000000000007E-2</v>
      </c>
      <c r="L186" s="71">
        <f t="shared" ca="1" si="25"/>
        <v>7.0000000000000007E-2</v>
      </c>
    </row>
    <row r="187" spans="3:14" ht="15" customHeight="1">
      <c r="G187" s="143"/>
    </row>
    <row r="188" spans="3:14" ht="15" customHeight="1">
      <c r="C188" s="70" t="s">
        <v>30</v>
      </c>
      <c r="G188" s="143"/>
    </row>
    <row r="189" spans="3:14" ht="15" customHeight="1">
      <c r="C189" s="103" t="s">
        <v>201</v>
      </c>
      <c r="G189" s="144">
        <v>2.5000000000000001E-2</v>
      </c>
      <c r="H189" s="63">
        <f>H190+$G$189</f>
        <v>8.4999999999999992E-2</v>
      </c>
      <c r="I189" s="63">
        <f>I190+$G$189</f>
        <v>9.4E-2</v>
      </c>
      <c r="J189" s="63">
        <f>J190+$G$189</f>
        <v>9.4E-2</v>
      </c>
      <c r="K189" s="63">
        <f>K190+$G$189</f>
        <v>9.4E-2</v>
      </c>
      <c r="L189" s="63">
        <f>L190+$G$189</f>
        <v>9.4E-2</v>
      </c>
    </row>
    <row r="190" spans="3:14" ht="15" customHeight="1">
      <c r="C190" s="103" t="s">
        <v>189</v>
      </c>
      <c r="G190" s="145" t="s">
        <v>202</v>
      </c>
      <c r="H190" s="35">
        <v>0.06</v>
      </c>
      <c r="I190" s="35">
        <v>6.9000000000000006E-2</v>
      </c>
      <c r="J190" s="35">
        <f>I190</f>
        <v>6.9000000000000006E-2</v>
      </c>
      <c r="K190" s="35">
        <f>J190</f>
        <v>6.9000000000000006E-2</v>
      </c>
      <c r="L190" s="35">
        <f>K190</f>
        <v>6.9000000000000006E-2</v>
      </c>
    </row>
    <row r="191" spans="3:14" ht="15" customHeight="1">
      <c r="C191" s="103" t="s">
        <v>203</v>
      </c>
      <c r="G191" s="144">
        <v>-2.5000000000000001E-2</v>
      </c>
      <c r="H191" s="63">
        <f>H190+$G$191</f>
        <v>3.4999999999999996E-2</v>
      </c>
      <c r="I191" s="63">
        <f>I190+$G$191</f>
        <v>4.4000000000000004E-2</v>
      </c>
      <c r="J191" s="63">
        <f>J190+$G$191</f>
        <v>4.4000000000000004E-2</v>
      </c>
      <c r="K191" s="63">
        <f>K190+$G$191</f>
        <v>4.4000000000000004E-2</v>
      </c>
      <c r="L191" s="63">
        <f>L190+$G$191</f>
        <v>4.4000000000000004E-2</v>
      </c>
    </row>
    <row r="192" spans="3:14" ht="15" customHeight="1">
      <c r="C192" s="70" t="s">
        <v>31</v>
      </c>
      <c r="G192" s="145"/>
      <c r="H192" s="35"/>
      <c r="I192" s="35"/>
      <c r="J192" s="35"/>
      <c r="K192" s="35"/>
      <c r="L192" s="35"/>
    </row>
    <row r="193" spans="3:12" ht="15" customHeight="1">
      <c r="C193" s="103" t="s">
        <v>201</v>
      </c>
      <c r="G193" s="144">
        <v>0.01</v>
      </c>
      <c r="H193" s="63">
        <f>H194+$G$193</f>
        <v>0.38800000000000001</v>
      </c>
      <c r="I193" s="63">
        <f>I194+$G$193</f>
        <v>0.38800000000000001</v>
      </c>
      <c r="J193" s="63">
        <f>J194+$G$193</f>
        <v>0.38800000000000001</v>
      </c>
      <c r="K193" s="63">
        <f>K194+$G$193</f>
        <v>0.38800000000000001</v>
      </c>
      <c r="L193" s="63">
        <f>L194+$G$193</f>
        <v>0.38800000000000001</v>
      </c>
    </row>
    <row r="194" spans="3:12" ht="15" customHeight="1">
      <c r="C194" s="103" t="s">
        <v>189</v>
      </c>
      <c r="G194" s="145" t="s">
        <v>202</v>
      </c>
      <c r="H194" s="35">
        <v>0.378</v>
      </c>
      <c r="I194" s="35">
        <v>0.378</v>
      </c>
      <c r="J194" s="35">
        <v>0.378</v>
      </c>
      <c r="K194" s="35">
        <v>0.378</v>
      </c>
      <c r="L194" s="35">
        <v>0.378</v>
      </c>
    </row>
    <row r="195" spans="3:12" ht="15" customHeight="1">
      <c r="C195" s="103" t="s">
        <v>203</v>
      </c>
      <c r="G195" s="144">
        <v>-0.01</v>
      </c>
      <c r="H195" s="63">
        <f>H194+$G$195</f>
        <v>0.36799999999999999</v>
      </c>
      <c r="I195" s="63">
        <f>I194+$G$195</f>
        <v>0.36799999999999999</v>
      </c>
      <c r="J195" s="63">
        <f>J194+$G$195</f>
        <v>0.36799999999999999</v>
      </c>
      <c r="K195" s="63">
        <f>K194+$G$195</f>
        <v>0.36799999999999999</v>
      </c>
      <c r="L195" s="63">
        <f>L194+$G$195</f>
        <v>0.36799999999999999</v>
      </c>
    </row>
    <row r="196" spans="3:12" ht="15" customHeight="1">
      <c r="C196" s="70" t="s">
        <v>32</v>
      </c>
      <c r="G196" s="145"/>
      <c r="H196" s="146"/>
      <c r="I196" s="146"/>
      <c r="J196" s="146"/>
      <c r="K196" s="146"/>
      <c r="L196" s="146"/>
    </row>
    <row r="197" spans="3:12" ht="15" customHeight="1">
      <c r="C197" s="103" t="s">
        <v>201</v>
      </c>
      <c r="G197" s="144">
        <v>-0.01</v>
      </c>
      <c r="H197" s="63">
        <f>H198+$G$197</f>
        <v>5.1999999999999998E-2</v>
      </c>
      <c r="I197" s="63">
        <f>I198+$G$197</f>
        <v>5.1999999999999998E-2</v>
      </c>
      <c r="J197" s="63">
        <f>J198+$G$197</f>
        <v>5.1999999999999998E-2</v>
      </c>
      <c r="K197" s="63">
        <f>K198+$G$197</f>
        <v>5.1999999999999998E-2</v>
      </c>
      <c r="L197" s="63">
        <f>L198+$G$197</f>
        <v>5.1999999999999998E-2</v>
      </c>
    </row>
    <row r="198" spans="3:12" ht="15" customHeight="1">
      <c r="C198" s="103" t="s">
        <v>189</v>
      </c>
      <c r="G198" s="145" t="s">
        <v>202</v>
      </c>
      <c r="H198" s="35">
        <v>6.2E-2</v>
      </c>
      <c r="I198" s="35">
        <v>6.2E-2</v>
      </c>
      <c r="J198" s="35">
        <v>6.2E-2</v>
      </c>
      <c r="K198" s="35">
        <v>6.2E-2</v>
      </c>
      <c r="L198" s="35">
        <v>6.2E-2</v>
      </c>
    </row>
    <row r="199" spans="3:12" ht="15" customHeight="1">
      <c r="C199" s="103" t="s">
        <v>203</v>
      </c>
      <c r="G199" s="144">
        <v>0.01</v>
      </c>
      <c r="H199" s="63">
        <f>H198+$G$199</f>
        <v>7.1999999999999995E-2</v>
      </c>
      <c r="I199" s="63">
        <f>I198+$G$199</f>
        <v>7.1999999999999995E-2</v>
      </c>
      <c r="J199" s="63">
        <f>J198+$G$199</f>
        <v>7.1999999999999995E-2</v>
      </c>
      <c r="K199" s="63">
        <f>K198+$G$199</f>
        <v>7.1999999999999995E-2</v>
      </c>
      <c r="L199" s="63">
        <f>L198+$G$199</f>
        <v>7.1999999999999995E-2</v>
      </c>
    </row>
    <row r="200" spans="3:12" ht="15" customHeight="1">
      <c r="C200" s="70" t="s">
        <v>33</v>
      </c>
      <c r="G200" s="145"/>
      <c r="H200" s="146"/>
      <c r="I200" s="146"/>
      <c r="J200" s="146"/>
      <c r="K200" s="146"/>
      <c r="L200" s="146"/>
    </row>
    <row r="201" spans="3:12" ht="15" customHeight="1">
      <c r="C201" s="103" t="s">
        <v>201</v>
      </c>
      <c r="G201" s="144">
        <v>-0.01</v>
      </c>
      <c r="H201" s="63">
        <f>H202+$G$201</f>
        <v>6.0000000000000005E-2</v>
      </c>
      <c r="I201" s="63">
        <f>I202+$G$201</f>
        <v>6.0000000000000005E-2</v>
      </c>
      <c r="J201" s="63">
        <f>J202+$G$201</f>
        <v>6.0000000000000005E-2</v>
      </c>
      <c r="K201" s="63">
        <f>K202+$G$201</f>
        <v>6.0000000000000005E-2</v>
      </c>
      <c r="L201" s="63">
        <f>L202+$G$201</f>
        <v>6.0000000000000005E-2</v>
      </c>
    </row>
    <row r="202" spans="3:12" ht="15" customHeight="1">
      <c r="C202" s="103" t="s">
        <v>189</v>
      </c>
      <c r="G202" s="145" t="s">
        <v>202</v>
      </c>
      <c r="H202" s="35">
        <v>7.0000000000000007E-2</v>
      </c>
      <c r="I202" s="35">
        <v>7.0000000000000007E-2</v>
      </c>
      <c r="J202" s="35">
        <v>7.0000000000000007E-2</v>
      </c>
      <c r="K202" s="35">
        <v>7.0000000000000007E-2</v>
      </c>
      <c r="L202" s="35">
        <v>7.0000000000000007E-2</v>
      </c>
    </row>
    <row r="203" spans="3:12" ht="15.75" customHeight="1">
      <c r="C203" s="103" t="s">
        <v>203</v>
      </c>
      <c r="G203" s="147">
        <v>0.01</v>
      </c>
      <c r="H203" s="63">
        <f>H202+$G$203</f>
        <v>0.08</v>
      </c>
      <c r="I203" s="63">
        <f>I202+$G$203</f>
        <v>0.08</v>
      </c>
      <c r="J203" s="63">
        <f>J202+$G$203</f>
        <v>0.08</v>
      </c>
      <c r="K203" s="63">
        <f>K202+$G$203</f>
        <v>0.08</v>
      </c>
      <c r="L203" s="63">
        <f>L202+$G$203</f>
        <v>0.08</v>
      </c>
    </row>
  </sheetData>
  <mergeCells count="1">
    <mergeCell ref="H95:L95"/>
  </mergeCells>
  <conditionalFormatting sqref="C186">
    <cfRule type="expression" dxfId="2" priority="2">
      <formula>#REF!=$C186</formula>
    </cfRule>
  </conditionalFormatting>
  <conditionalFormatting sqref="C200">
    <cfRule type="expression" dxfId="1" priority="3">
      <formula>#REF!=$C200</formula>
    </cfRule>
  </conditionalFormatting>
  <conditionalFormatting sqref="C39:D39">
    <cfRule type="expression" dxfId="0" priority="4">
      <formula>#REF!=$C39</formula>
    </cfRule>
  </conditionalFormatting>
  <dataValidations count="3">
    <dataValidation type="list" allowBlank="1" showInputMessage="1" showErrorMessage="1" sqref="C3" xr:uid="{00000000-0002-0000-1200-000000000000}">
      <formula1>"$ bns except per share,$ mm except per share,$ in thousands except per share"</formula1>
      <formula2>0</formula2>
    </dataValidation>
    <dataValidation type="list" allowBlank="1" showInputMessage="1" showErrorMessage="1" sqref="D7" xr:uid="{00000000-0002-0000-1200-000001000000}">
      <formula1>"0,1"</formula1>
      <formula2>0</formula2>
    </dataValidation>
    <dataValidation type="list" allowBlank="1" showInputMessage="1" showErrorMessage="1" sqref="L5" xr:uid="{00000000-0002-0000-1200-000002000000}">
      <formula1>$C$189:$C$191</formula1>
      <formula2>0</formula2>
    </dataValidation>
  </dataValidations>
  <pageMargins left="0.7" right="0.7" top="0.75" bottom="0.75" header="0.511811023622047" footer="0.511811023622047"/>
  <pageSetup orientation="portrait" horizontalDpi="300" verticalDpi="300"/>
  <legacy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4" baseType="variant">
      <vt:variant>
        <vt:lpstr>Worksheets</vt:lpstr>
      </vt:variant>
      <vt:variant>
        <vt:i4>19</vt:i4>
      </vt:variant>
      <vt:variant>
        <vt:lpstr>Named Ranges</vt:lpstr>
      </vt:variant>
      <vt:variant>
        <vt:i4>13</vt:i4>
      </vt:variant>
    </vt:vector>
  </HeadingPairs>
  <TitlesOfParts>
    <vt:vector size="32" baseType="lpstr">
      <vt:lpstr>FSM Data Input_Empty</vt:lpstr>
      <vt:lpstr>FSM Forecasting_Empty</vt:lpstr>
      <vt:lpstr>FSM Forecasting_ProgressCheck1</vt:lpstr>
      <vt:lpstr>FSM Forecasting_ProgressCheck2</vt:lpstr>
      <vt:lpstr>FSM Forecasting_Empty II</vt:lpstr>
      <vt:lpstr>FSM Complete</vt:lpstr>
      <vt:lpstr>FSM 2025</vt:lpstr>
      <vt:lpstr>Find the errors</vt:lpstr>
      <vt:lpstr>Find the errors Complete</vt:lpstr>
      <vt:lpstr>Extras</vt:lpstr>
      <vt:lpstr>Extras Complete</vt:lpstr>
      <vt:lpstr>Rev Build Fill </vt:lpstr>
      <vt:lpstr>Rev Build Complete</vt:lpstr>
      <vt:lpstr>Rev Build</vt:lpstr>
      <vt:lpstr>FSM + Rev Scenarios</vt:lpstr>
      <vt:lpstr>FSM + Schedules Empty</vt:lpstr>
      <vt:lpstr>FSM + Schedules</vt:lpstr>
      <vt:lpstr>FSM 2019 Update Empty</vt:lpstr>
      <vt:lpstr>2019 FSM Update Complete</vt:lpstr>
      <vt:lpstr>'2019 FSM Update Complete'!Print_Area</vt:lpstr>
      <vt:lpstr>Extras!Print_Area</vt:lpstr>
      <vt:lpstr>'Extras Complete'!Print_Area</vt:lpstr>
      <vt:lpstr>'Find the errors'!Print_Area</vt:lpstr>
      <vt:lpstr>'Find the errors Complete'!Print_Area</vt:lpstr>
      <vt:lpstr>'FSM 2019 Update Empty'!Print_Area</vt:lpstr>
      <vt:lpstr>'FSM Complete'!Print_Area</vt:lpstr>
      <vt:lpstr>'FSM Forecasting_Empty'!Print_Area</vt:lpstr>
      <vt:lpstr>'FSM Forecasting_Empty II'!Print_Area</vt:lpstr>
      <vt:lpstr>'FSM Forecasting_ProgressCheck1'!Print_Area</vt:lpstr>
      <vt:lpstr>'FSM Forecasting_ProgressCheck2'!Print_Area</vt:lpstr>
      <vt:lpstr>'Rev Build Complete'!Print_Area</vt:lpstr>
      <vt:lpstr>'Rev Build Fill '!Print_Area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Wall Street Prep</dc:creator>
  <dc:description/>
  <cp:lastModifiedBy>Joe Marfisi</cp:lastModifiedBy>
  <cp:revision>0</cp:revision>
  <cp:lastPrinted>2014-05-21T15:17:24Z</cp:lastPrinted>
  <dcterms:created xsi:type="dcterms:W3CDTF">2011-11-04T21:28:06Z</dcterms:created>
  <dcterms:modified xsi:type="dcterms:W3CDTF">2026-06-26T18:47:32Z</dcterms:modified>
  <dc:language>en-US</dc:language>
</cp:coreProperties>
</file>