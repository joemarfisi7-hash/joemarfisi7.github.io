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joesairbook/Downloads/"/>
    </mc:Choice>
  </mc:AlternateContent>
  <xr:revisionPtr revIDLastSave="0" documentId="11_9CFFAF9CC8148C226E383ED544BF0BF7671DEC98" xr6:coauthVersionLast="47" xr6:coauthVersionMax="47" xr10:uidLastSave="{00000000-0000-0000-0000-000000000000}"/>
  <bookViews>
    <workbookView xWindow="0" yWindow="500" windowWidth="28800" windowHeight="16400" tabRatio="500" xr2:uid="{00000000-000D-0000-FFFF-FFFF00000000}"/>
  </bookViews>
  <sheets>
    <sheet name="FCF Mod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7" i="1" l="1"/>
  <c r="C78" i="1" s="1"/>
  <c r="C74" i="1"/>
  <c r="C70" i="1"/>
  <c r="C69" i="1"/>
  <c r="G33" i="1"/>
  <c r="F33" i="1"/>
  <c r="E33" i="1"/>
  <c r="D33" i="1"/>
  <c r="G32" i="1"/>
  <c r="F32" i="1"/>
  <c r="E32" i="1"/>
  <c r="D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O27" i="1"/>
  <c r="O25" i="1"/>
  <c r="O23" i="1"/>
  <c r="G18" i="1"/>
  <c r="F18" i="1"/>
  <c r="E18" i="1"/>
  <c r="D18" i="1"/>
  <c r="G17" i="1"/>
  <c r="F17" i="1"/>
  <c r="E17" i="1"/>
  <c r="D17" i="1"/>
  <c r="C17" i="1"/>
  <c r="O16" i="1"/>
  <c r="G14" i="1"/>
  <c r="F14" i="1"/>
  <c r="E14" i="1"/>
  <c r="D14" i="1"/>
  <c r="C14" i="1"/>
  <c r="G11" i="1"/>
  <c r="F11" i="1"/>
  <c r="E11" i="1"/>
  <c r="D11" i="1"/>
  <c r="O9" i="1"/>
  <c r="O8" i="1"/>
  <c r="C80" i="1" l="1"/>
  <c r="C81" i="1"/>
  <c r="L11" i="1"/>
  <c r="K11" i="1"/>
  <c r="J11" i="1"/>
  <c r="I11" i="1"/>
  <c r="H11" i="1"/>
  <c r="H10" i="1"/>
  <c r="I10" i="1" l="1"/>
  <c r="H13" i="1"/>
  <c r="H16" i="1"/>
  <c r="H23" i="1"/>
  <c r="H25" i="1"/>
  <c r="H27" i="1"/>
  <c r="H40" i="1"/>
  <c r="C83" i="1"/>
  <c r="J10" i="1" l="1"/>
  <c r="I13" i="1"/>
  <c r="I16" i="1"/>
  <c r="I23" i="1"/>
  <c r="I25" i="1"/>
  <c r="I27" i="1"/>
  <c r="I40" i="1"/>
  <c r="H14" i="1"/>
  <c r="H41" i="1"/>
  <c r="H43" i="1" s="1"/>
  <c r="H17" i="1"/>
  <c r="H44" i="1"/>
  <c r="H30" i="1"/>
  <c r="H45" i="1"/>
  <c r="H31" i="1"/>
  <c r="H46" i="1"/>
  <c r="H29" i="1"/>
  <c r="H48" i="1"/>
  <c r="L51" i="1"/>
  <c r="K51" i="1"/>
  <c r="J51" i="1"/>
  <c r="I51" i="1"/>
  <c r="H51" i="1"/>
  <c r="M73" i="1"/>
  <c r="L73" i="1"/>
  <c r="K73" i="1"/>
  <c r="J73" i="1"/>
  <c r="I73" i="1"/>
  <c r="C58" i="1"/>
  <c r="K10" i="1" l="1"/>
  <c r="J13" i="1"/>
  <c r="J16" i="1"/>
  <c r="J23" i="1"/>
  <c r="J25" i="1"/>
  <c r="J27" i="1"/>
  <c r="J40" i="1"/>
  <c r="I14" i="1"/>
  <c r="I41" i="1"/>
  <c r="I43" i="1" s="1"/>
  <c r="I17" i="1"/>
  <c r="I44" i="1"/>
  <c r="I30" i="1"/>
  <c r="I45" i="1"/>
  <c r="I31" i="1"/>
  <c r="I46" i="1"/>
  <c r="I29" i="1"/>
  <c r="I48" i="1"/>
  <c r="H50" i="1"/>
  <c r="K13" i="1" l="1"/>
  <c r="K16" i="1"/>
  <c r="K23" i="1"/>
  <c r="K25" i="1"/>
  <c r="K27" i="1"/>
  <c r="K40" i="1"/>
  <c r="L10" i="1"/>
  <c r="J14" i="1"/>
  <c r="J41" i="1"/>
  <c r="J43" i="1" s="1"/>
  <c r="J17" i="1"/>
  <c r="J44" i="1"/>
  <c r="J30" i="1"/>
  <c r="J45" i="1"/>
  <c r="J31" i="1"/>
  <c r="J46" i="1"/>
  <c r="J29" i="1"/>
  <c r="J48" i="1"/>
  <c r="H52" i="1"/>
  <c r="I50" i="1"/>
  <c r="K14" i="1" l="1"/>
  <c r="K41" i="1"/>
  <c r="K43" i="1" s="1"/>
  <c r="K17" i="1"/>
  <c r="K44" i="1"/>
  <c r="K30" i="1"/>
  <c r="K45" i="1"/>
  <c r="K31" i="1"/>
  <c r="K46" i="1"/>
  <c r="K29" i="1"/>
  <c r="K48" i="1"/>
  <c r="L13" i="1"/>
  <c r="L16" i="1"/>
  <c r="L23" i="1"/>
  <c r="L25" i="1"/>
  <c r="L27" i="1"/>
  <c r="L40" i="1"/>
  <c r="J50" i="1"/>
  <c r="J52" i="1" s="1"/>
  <c r="I52" i="1"/>
  <c r="L14" i="1" l="1"/>
  <c r="L41" i="1"/>
  <c r="L43" i="1" s="1"/>
  <c r="L17" i="1"/>
  <c r="L44" i="1"/>
  <c r="L30" i="1"/>
  <c r="L45" i="1"/>
  <c r="L31" i="1"/>
  <c r="L46" i="1"/>
  <c r="L29" i="1"/>
  <c r="L48" i="1"/>
  <c r="K50" i="1"/>
  <c r="K52" i="1" l="1"/>
  <c r="L50" i="1"/>
  <c r="O49" i="1" l="1"/>
  <c r="C59" i="1"/>
  <c r="C60" i="1" s="1"/>
  <c r="C61" i="1" s="1"/>
  <c r="L52" i="1"/>
  <c r="C53" i="1" s="1"/>
  <c r="I74" i="1"/>
  <c r="J74" i="1"/>
  <c r="K74" i="1"/>
  <c r="L74" i="1"/>
  <c r="M74" i="1"/>
  <c r="I75" i="1"/>
  <c r="J75" i="1"/>
  <c r="K75" i="1"/>
  <c r="L75" i="1"/>
  <c r="M75" i="1"/>
  <c r="I76" i="1"/>
  <c r="J76" i="1"/>
  <c r="K76" i="1"/>
  <c r="L76" i="1"/>
  <c r="M76" i="1"/>
  <c r="I77" i="1"/>
  <c r="J77" i="1"/>
  <c r="K77" i="1"/>
  <c r="L77" i="1"/>
  <c r="M77" i="1"/>
  <c r="I78" i="1"/>
  <c r="J78" i="1"/>
  <c r="K78" i="1"/>
  <c r="L78" i="1"/>
  <c r="M78" i="1"/>
  <c r="F87" i="1" l="1"/>
  <c r="F90" i="1" s="1"/>
  <c r="F92" i="1" s="1"/>
</calcChain>
</file>

<file path=xl/sharedStrings.xml><?xml version="1.0" encoding="utf-8"?>
<sst xmlns="http://schemas.openxmlformats.org/spreadsheetml/2006/main" count="94" uniqueCount="86">
  <si>
    <t>ARGAN, INC. (AGX) — DISCOUNTED CASH FLOW MODEL</t>
  </si>
  <si>
    <t>Valuation Date:</t>
  </si>
  <si>
    <t>absolute numbers are in millions of $</t>
  </si>
  <si>
    <t>Share Price on Valuation Date:</t>
  </si>
  <si>
    <t>Diluted Shares Outstanding (mm)</t>
  </si>
  <si>
    <t>Select Operating Data</t>
  </si>
  <si>
    <t>Projected Annual Forecast</t>
  </si>
  <si>
    <t>arithmetic</t>
  </si>
  <si>
    <t>geometric</t>
  </si>
  <si>
    <t>Revenue</t>
  </si>
  <si>
    <t>Revenue Growth Rate (%)</t>
  </si>
  <si>
    <t>EBIT</t>
  </si>
  <si>
    <t>FY2026 EBIT Margin (actual)</t>
  </si>
  <si>
    <t>EBIT Margin (%)</t>
  </si>
  <si>
    <t>Depreciation &amp; Amortization</t>
  </si>
  <si>
    <t>D&amp;A/Rev avg</t>
  </si>
  <si>
    <t>D&amp;A as a % of Revenue</t>
  </si>
  <si>
    <t>D&amp;A Growth Rate (%)</t>
  </si>
  <si>
    <t>Select Balance Sheet And Other Data</t>
  </si>
  <si>
    <t>Accounts Receivable</t>
  </si>
  <si>
    <t>AR/Rev avg</t>
  </si>
  <si>
    <t>PP&amp;E</t>
  </si>
  <si>
    <t>Accounts Payable and Accrued</t>
  </si>
  <si>
    <t>AP/Rev avg</t>
  </si>
  <si>
    <t>Capital Expenditures</t>
  </si>
  <si>
    <t>CapEx/Rev avg</t>
  </si>
  <si>
    <t>CapEx Growth Rate (%)</t>
  </si>
  <si>
    <t>CapEx as % of Revenue</t>
  </si>
  <si>
    <t>Accounts Receivable as % of Revenue</t>
  </si>
  <si>
    <t>AP+Accrued as % of Revenue</t>
  </si>
  <si>
    <t>Accounts Receivable Growth (%)</t>
  </si>
  <si>
    <t>AP+Accrued Growth (%)</t>
  </si>
  <si>
    <t>Free Cash Flow Buildup</t>
  </si>
  <si>
    <t>$mm</t>
  </si>
  <si>
    <t>Period</t>
  </si>
  <si>
    <t>Total Revenues</t>
  </si>
  <si>
    <t>Tax rate</t>
  </si>
  <si>
    <t>EBIAT</t>
  </si>
  <si>
    <t>Chg in Accounts Receivable</t>
  </si>
  <si>
    <t>Chg in Accounts Payable and Accrued</t>
  </si>
  <si>
    <t>Capital expenditures</t>
  </si>
  <si>
    <t>Year 5 FCF growth rate</t>
  </si>
  <si>
    <t>Unlevered free cash flows</t>
  </si>
  <si>
    <t>Discount Rate (WACC)</t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</si>
  <si>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</si>
  <si>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</si>
  <si>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</si>
  <si>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</si>
  <si>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</si>
  <si>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WACC</t>
  </si>
  <si>
    <t>Free cash flow (t+1)</t>
  </si>
  <si>
    <t>Present Value of Terminal Value</t>
  </si>
  <si>
    <t>Share Price</t>
  </si>
  <si>
    <t>Cost of Debt</t>
  </si>
  <si>
    <t>Tax Rate</t>
  </si>
  <si>
    <t>After-tax Cost of Debt</t>
  </si>
  <si>
    <t>Cost of Equity</t>
  </si>
  <si>
    <t>5x5 Sensitivity Analysis (Implied Equity Value Per Share)</t>
  </si>
  <si>
    <t>Risk-free rate</t>
  </si>
  <si>
    <t>Market risk premium</t>
  </si>
  <si>
    <t>cost of capital</t>
  </si>
  <si>
    <t>Beta (raw)</t>
  </si>
  <si>
    <t>Adjusted beta</t>
  </si>
  <si>
    <t>Total Debt ($mm)</t>
  </si>
  <si>
    <t>Total Equity ($mm)</t>
  </si>
  <si>
    <t>Total Capital ($mm)</t>
  </si>
  <si>
    <t>Debt Weighting</t>
  </si>
  <si>
    <t>Equity Weighting</t>
  </si>
  <si>
    <t>WACC =</t>
  </si>
  <si>
    <t>Enterprise Value to Equity Value</t>
  </si>
  <si>
    <t>Enterprise Value ($mm)</t>
  </si>
  <si>
    <t>Less: Total Debt ($mm)</t>
  </si>
  <si>
    <t>Plus: Cash &amp; Investments ($mm)</t>
  </si>
  <si>
    <t>Source: Q4 FY2026 10-K, Cash + Short-term Investments (reported Mar 26, 2026)</t>
  </si>
  <si>
    <t>Equity Value ($mm)</t>
  </si>
  <si>
    <t>Equity Value Per Share</t>
  </si>
  <si>
    <t>Data Sources &amp; Notes</t>
  </si>
  <si>
    <t>Historical financials: Argan, Inc. 10-K filings (FY2021-FY2025, fiscal year ending Jan 31)</t>
  </si>
  <si>
    <t>Revenue growth: Geometric mean of FY21-FY25 historical growth rates (22.2%); supported by $2.9B committed backlog</t>
  </si>
  <si>
    <t>EBIT margin: Updated to 14% reflecting FY2026 actuals (net income $137.8M; prior 5-yr avg of 8% excluded most recent year)</t>
  </si>
  <si>
    <t>Working capital items projected as % of revenue (5-year average ratios)</t>
  </si>
  <si>
    <t>Beta source: 0.46 raw beta; adjusted using Blume adjustment (2/3*raw + 1/3)</t>
  </si>
  <si>
    <t>Backlog as of Jan 31, 2026: $2.9B (up 114.7% YoY); supports sustained elevated growth</t>
  </si>
  <si>
    <t>AGX carries zero long-term debt. WACC = Cost of Equity (100% equity-weighted)</t>
  </si>
  <si>
    <t>AP+Accrued FY21/FY25 are estimates (exact split not available for all years)</t>
  </si>
  <si>
    <t>D&amp;A estimated from EBITDA-EBIT reconciliation where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</si>
</sst>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\$#,##0.00"/>
    <numFmt numFmtId="166" formatCode="0.0%"/>
    <numFmt numFmtId="167" formatCode="#,##0.0"/>
    <numFmt numFmtId="168" formatCode="0.000"/>
  </numFmts>
  <fonts count="9" x14ac:knownFonts="1">
    <font>
      <sz val="11"/>
      <color theme="1"/>
      <name val="Calibri"/>
      <family val="2"/>
      <charset val="1"/>
    </font>
    <font>
      <b/>
      <sz val="12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i/>
      <sz val="9"/>
      <name val="Arial"/>
      <family val="2"/>
    </font>
    <font>
      <sz val="10"/>
      <name val="Arial"/>
      <family val="2"/>
    </font>
    <font>
      <sz val="10"/>
      <color rgb="FF008000"/>
      <name val="Arial"/>
      <family val="2"/>
    </font>
    <font>
      <i/>
      <sz val="8"/>
      <color rgb="FF808080"/>
      <name val="Arial"/>
      <family val="2"/>
    </font>
    <font>
      <sz val="8"/>
      <color rgb="FF80808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4" fillId="0" borderId="0" xfId="0" applyFont="1"/>
    <xf numFmtId="165" fontId="3" fillId="0" borderId="0" xfId="0" applyNumberFormat="1" applyFont="1"/>
    <xf numFmtId="2" fontId="3" fillId="0" borderId="0" xfId="0" applyNumberFormat="1" applyFont="1"/>
    <xf numFmtId="0" fontId="5" fillId="0" borderId="0" xfId="0" applyFont="1"/>
    <xf numFmtId="166" fontId="5" fillId="0" borderId="0" xfId="0" applyNumberFormat="1" applyFont="1"/>
    <xf numFmtId="17" fontId="2" fillId="0" borderId="0" xfId="0" applyNumberFormat="1" applyFont="1"/>
    <xf numFmtId="0" fontId="2" fillId="0" borderId="1" xfId="0" applyFont="1" applyBorder="1"/>
    <xf numFmtId="167" fontId="3" fillId="0" borderId="1" xfId="0" applyNumberFormat="1" applyFont="1" applyBorder="1"/>
    <xf numFmtId="167" fontId="5" fillId="0" borderId="1" xfId="0" applyNumberFormat="1" applyFont="1" applyBorder="1"/>
    <xf numFmtId="167" fontId="3" fillId="0" borderId="0" xfId="0" applyNumberFormat="1" applyFont="1"/>
    <xf numFmtId="0" fontId="0" fillId="0" borderId="1" xfId="0" applyBorder="1"/>
    <xf numFmtId="167" fontId="6" fillId="0" borderId="1" xfId="0" applyNumberFormat="1" applyFont="1" applyBorder="1"/>
    <xf numFmtId="166" fontId="3" fillId="0" borderId="0" xfId="0" applyNumberFormat="1" applyFont="1"/>
    <xf numFmtId="167" fontId="6" fillId="0" borderId="0" xfId="0" applyNumberFormat="1" applyFont="1"/>
    <xf numFmtId="167" fontId="5" fillId="0" borderId="0" xfId="0" applyNumberFormat="1" applyFont="1"/>
    <xf numFmtId="166" fontId="6" fillId="0" borderId="0" xfId="0" applyNumberFormat="1" applyFont="1"/>
    <xf numFmtId="167" fontId="2" fillId="0" borderId="0" xfId="0" applyNumberFormat="1" applyFont="1"/>
    <xf numFmtId="166" fontId="3" fillId="2" borderId="0" xfId="0" applyNumberFormat="1" applyFont="1" applyFill="1"/>
    <xf numFmtId="168" fontId="3" fillId="0" borderId="0" xfId="0" applyNumberFormat="1" applyFont="1"/>
    <xf numFmtId="168" fontId="3" fillId="2" borderId="0" xfId="0" applyNumberFormat="1" applyFont="1" applyFill="1"/>
    <xf numFmtId="168" fontId="5" fillId="0" borderId="0" xfId="0" applyNumberFormat="1" applyFont="1"/>
    <xf numFmtId="165" fontId="5" fillId="0" borderId="0" xfId="0" applyNumberFormat="1" applyFont="1"/>
    <xf numFmtId="166" fontId="2" fillId="0" borderId="1" xfId="0" applyNumberFormat="1" applyFont="1" applyBorder="1"/>
    <xf numFmtId="167" fontId="3" fillId="2" borderId="0" xfId="0" applyNumberFormat="1" applyFont="1" applyFill="1"/>
    <xf numFmtId="0" fontId="7" fillId="0" borderId="0" xfId="0" applyFont="1"/>
    <xf numFmtId="167" fontId="2" fillId="0" borderId="1" xfId="0" applyNumberFormat="1" applyFont="1" applyBorder="1"/>
    <xf numFmtId="165" fontId="2" fillId="0" borderId="1" xfId="0" applyNumberFormat="1" applyFont="1" applyBorder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3"/>
  <sheetViews>
    <sheetView tabSelected="1" zoomScaleNormal="100" workbookViewId="0">
      <selection sqref="A1:L1"/>
    </sheetView>
  </sheetViews>
  <sheetFormatPr baseColWidth="10" defaultColWidth="8.6640625" defaultRowHeight="15" x14ac:dyDescent="0.2"/>
  <cols>
    <col min="1" max="1" width="2" customWidth="1"/>
    <col min="2" max="2" width="40" customWidth="1"/>
    <col min="3" max="12" width="16" customWidth="1"/>
    <col min="13" max="13" width="3" customWidth="1"/>
    <col min="14" max="14" width="22" customWidth="1"/>
    <col min="15" max="15" width="14" customWidth="1"/>
  </cols>
  <sheetData>
    <row r="1" spans="1:15" ht="15" customHeight="1" x14ac:dyDescent="0.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 spans="1:15" ht="15" customHeight="1" x14ac:dyDescent="0.2">
      <c r="B3" s="3" t="s">
        <v>1</v>
      </c>
      <c r="F3" s="4">
        <v>46117</v>
      </c>
      <c r="J3" s="5" t="s">
        <v>2</v>
      </c>
    </row>
    <row r="4" spans="1:15" ht="15" customHeight="1" x14ac:dyDescent="0.2">
      <c r="B4" s="3" t="s">
        <v>3</v>
      </c>
      <c r="F4" s="6">
        <v>575.16</v>
      </c>
    </row>
    <row r="5" spans="1:15" ht="15" customHeight="1" x14ac:dyDescent="0.2">
      <c r="B5" s="3" t="s">
        <v>4</v>
      </c>
      <c r="F5" s="7">
        <v>13.95</v>
      </c>
    </row>
    <row r="6" spans="1:15" ht="15" customHeight="1" x14ac:dyDescent="0.2">
      <c r="C6" s="8">
        <v>1</v>
      </c>
      <c r="D6" s="8">
        <v>2</v>
      </c>
      <c r="E6" s="8">
        <v>3</v>
      </c>
      <c r="F6" s="8">
        <v>4</v>
      </c>
      <c r="G6" s="8">
        <v>5</v>
      </c>
      <c r="H6" s="8">
        <v>6</v>
      </c>
      <c r="I6" s="8">
        <v>7</v>
      </c>
      <c r="J6" s="8">
        <v>8</v>
      </c>
      <c r="K6" s="8">
        <v>9</v>
      </c>
      <c r="L6" s="8">
        <v>10</v>
      </c>
    </row>
    <row r="7" spans="1:15" ht="15" customHeight="1" x14ac:dyDescent="0.2">
      <c r="B7" s="3" t="s">
        <v>5</v>
      </c>
    </row>
    <row r="8" spans="1:15" ht="15" customHeight="1" x14ac:dyDescent="0.2">
      <c r="H8" s="3" t="s">
        <v>6</v>
      </c>
      <c r="N8" s="8" t="s">
        <v>7</v>
      </c>
      <c r="O8" s="9">
        <f>AVERAGE(D11:G11)</f>
        <v>0.24422273015707824</v>
      </c>
    </row>
    <row r="9" spans="1:15" ht="15" customHeight="1" x14ac:dyDescent="0.2">
      <c r="C9" s="10">
        <v>44227</v>
      </c>
      <c r="D9" s="10">
        <v>44592</v>
      </c>
      <c r="E9" s="10">
        <v>44957</v>
      </c>
      <c r="F9" s="10">
        <v>45322</v>
      </c>
      <c r="G9" s="10">
        <v>45688</v>
      </c>
      <c r="H9" s="10">
        <v>46053</v>
      </c>
      <c r="I9" s="10">
        <v>46418</v>
      </c>
      <c r="J9" s="10">
        <v>46783</v>
      </c>
      <c r="K9" s="10">
        <v>47149</v>
      </c>
      <c r="L9" s="10">
        <v>47514</v>
      </c>
      <c r="N9" s="8" t="s">
        <v>8</v>
      </c>
      <c r="O9" s="9">
        <f>(G10/C10)^(1/4)-1</f>
        <v>0.22187225441959435</v>
      </c>
    </row>
    <row r="10" spans="1:15" ht="15" customHeight="1" x14ac:dyDescent="0.2">
      <c r="B10" s="11" t="s">
        <v>9</v>
      </c>
      <c r="C10" s="12">
        <v>392.2</v>
      </c>
      <c r="D10" s="12">
        <v>509.4</v>
      </c>
      <c r="E10" s="12">
        <v>455</v>
      </c>
      <c r="F10" s="12">
        <v>573.29999999999995</v>
      </c>
      <c r="G10" s="12">
        <v>874.2</v>
      </c>
      <c r="H10" s="13">
        <f>G10*(1+$O$9)</f>
        <v>1068.1607248136095</v>
      </c>
      <c r="I10" s="13">
        <f>H10*(1+$O$9)</f>
        <v>1305.1559529104729</v>
      </c>
      <c r="J10" s="13">
        <f>I10*(1+$O$9)</f>
        <v>1594.7338465518735</v>
      </c>
      <c r="K10" s="13">
        <f>J10*(1+$O$9)</f>
        <v>1948.5610402855691</v>
      </c>
      <c r="L10" s="13">
        <f>K10*(1+$O$9)</f>
        <v>2380.8926711679183</v>
      </c>
    </row>
    <row r="11" spans="1:15" ht="15" customHeight="1" x14ac:dyDescent="0.2">
      <c r="B11" s="8" t="s">
        <v>10</v>
      </c>
      <c r="D11" s="9">
        <f>(D10/C10)-1</f>
        <v>0.29882712901580821</v>
      </c>
      <c r="E11" s="9">
        <f>(E10/D10)-1</f>
        <v>-0.10679230467216327</v>
      </c>
      <c r="F11" s="9">
        <f>(F10/E10)-1</f>
        <v>0.26</v>
      </c>
      <c r="G11" s="9">
        <f>(G10/F10)-1</f>
        <v>0.52485609628466801</v>
      </c>
      <c r="H11" s="9">
        <f>$O$9</f>
        <v>0.22187225441959435</v>
      </c>
      <c r="I11" s="9">
        <f>$O$9</f>
        <v>0.22187225441959435</v>
      </c>
      <c r="J11" s="9">
        <f>$O$9</f>
        <v>0.22187225441959435</v>
      </c>
      <c r="K11" s="9">
        <f>$O$9</f>
        <v>0.22187225441959435</v>
      </c>
      <c r="L11" s="9">
        <f>$O$9</f>
        <v>0.22187225441959435</v>
      </c>
    </row>
    <row r="13" spans="1:15" ht="15" customHeight="1" x14ac:dyDescent="0.2">
      <c r="B13" s="11" t="s">
        <v>11</v>
      </c>
      <c r="C13" s="12">
        <v>23</v>
      </c>
      <c r="D13" s="12">
        <v>44.5</v>
      </c>
      <c r="E13" s="12">
        <v>41.7</v>
      </c>
      <c r="F13" s="12">
        <v>36.5</v>
      </c>
      <c r="G13" s="12">
        <v>88.2</v>
      </c>
      <c r="H13" s="13">
        <f>H10*$O$13</f>
        <v>149.54250147390533</v>
      </c>
      <c r="I13" s="13">
        <f>I10*$O$13</f>
        <v>182.72183340746622</v>
      </c>
      <c r="J13" s="13">
        <f>J10*$O$13</f>
        <v>223.26273851726231</v>
      </c>
      <c r="K13" s="13">
        <f>K10*$O$13</f>
        <v>272.79854563997969</v>
      </c>
      <c r="L13" s="13">
        <f>L10*$O$13</f>
        <v>333.32497396350857</v>
      </c>
      <c r="N13" s="8" t="s">
        <v>12</v>
      </c>
      <c r="O13" s="9">
        <v>0.14000000000000001</v>
      </c>
    </row>
    <row r="14" spans="1:15" ht="15" customHeight="1" x14ac:dyDescent="0.2">
      <c r="B14" s="8" t="s">
        <v>13</v>
      </c>
      <c r="C14" s="9">
        <f t="shared" ref="C14:L14" si="0">C13/C10</f>
        <v>5.8643549209586948E-2</v>
      </c>
      <c r="D14" s="9">
        <f t="shared" si="0"/>
        <v>8.7357675696898313E-2</v>
      </c>
      <c r="E14" s="9">
        <f t="shared" si="0"/>
        <v>9.1648351648351653E-2</v>
      </c>
      <c r="F14" s="9">
        <f t="shared" si="0"/>
        <v>6.3666492237920813E-2</v>
      </c>
      <c r="G14" s="9">
        <f t="shared" si="0"/>
        <v>0.10089224433768017</v>
      </c>
      <c r="H14" s="9">
        <f t="shared" si="0"/>
        <v>0.14000000000000001</v>
      </c>
      <c r="I14" s="9">
        <f t="shared" si="0"/>
        <v>0.14000000000000001</v>
      </c>
      <c r="J14" s="9">
        <f t="shared" si="0"/>
        <v>0.14000000000000001</v>
      </c>
      <c r="K14" s="9">
        <f t="shared" si="0"/>
        <v>0.14000000000000001</v>
      </c>
      <c r="L14" s="9">
        <f t="shared" si="0"/>
        <v>0.14000000000000001</v>
      </c>
    </row>
    <row r="16" spans="1:15" ht="15" customHeight="1" x14ac:dyDescent="0.2">
      <c r="B16" s="11" t="s">
        <v>14</v>
      </c>
      <c r="C16" s="12">
        <v>3</v>
      </c>
      <c r="D16" s="12">
        <v>2.5</v>
      </c>
      <c r="E16" s="12">
        <v>2.5</v>
      </c>
      <c r="F16" s="12">
        <v>2.4</v>
      </c>
      <c r="G16" s="12">
        <v>2.2999999999999998</v>
      </c>
      <c r="H16" s="13">
        <f>H10*$O$16</f>
        <v>5.3127463468251683</v>
      </c>
      <c r="I16" s="13">
        <f>I10*$O$16</f>
        <v>6.4914973559547322</v>
      </c>
      <c r="J16" s="13">
        <f>J10*$O$16</f>
        <v>7.9317805088792452</v>
      </c>
      <c r="K16" s="13">
        <f>K10*$O$16</f>
        <v>9.691622531945681</v>
      </c>
      <c r="L16" s="13">
        <f>L10*$O$16</f>
        <v>11.841924672092205</v>
      </c>
      <c r="N16" s="8" t="s">
        <v>15</v>
      </c>
      <c r="O16" s="9">
        <f>AVERAGE(C17:G17)</f>
        <v>4.973733094101756E-3</v>
      </c>
    </row>
    <row r="17" spans="2:15" ht="15" customHeight="1" x14ac:dyDescent="0.2">
      <c r="B17" s="8" t="s">
        <v>16</v>
      </c>
      <c r="C17" s="9">
        <f t="shared" ref="C17:L17" si="1">C16/C10</f>
        <v>7.6491585925548191E-3</v>
      </c>
      <c r="D17" s="9">
        <f t="shared" si="1"/>
        <v>4.9077345897133888E-3</v>
      </c>
      <c r="E17" s="9">
        <f t="shared" si="1"/>
        <v>5.4945054945054949E-3</v>
      </c>
      <c r="F17" s="9">
        <f t="shared" si="1"/>
        <v>4.1862899005756151E-3</v>
      </c>
      <c r="G17" s="9">
        <f t="shared" si="1"/>
        <v>2.6309768931594597E-3</v>
      </c>
      <c r="H17" s="9">
        <f t="shared" si="1"/>
        <v>4.973733094101756E-3</v>
      </c>
      <c r="I17" s="9">
        <f t="shared" si="1"/>
        <v>4.973733094101756E-3</v>
      </c>
      <c r="J17" s="9">
        <f t="shared" si="1"/>
        <v>4.973733094101756E-3</v>
      </c>
      <c r="K17" s="9">
        <f t="shared" si="1"/>
        <v>4.9737330941017569E-3</v>
      </c>
      <c r="L17" s="9">
        <f t="shared" si="1"/>
        <v>4.973733094101756E-3</v>
      </c>
    </row>
    <row r="18" spans="2:15" ht="15" customHeight="1" x14ac:dyDescent="0.2">
      <c r="B18" s="8" t="s">
        <v>17</v>
      </c>
      <c r="D18" s="9">
        <f>(D16/C16)-1</f>
        <v>-0.16666666666666663</v>
      </c>
      <c r="E18" s="9">
        <f>(E16/D16)-1</f>
        <v>0</v>
      </c>
      <c r="F18" s="9">
        <f>(F16/E16)-1</f>
        <v>-4.0000000000000036E-2</v>
      </c>
      <c r="G18" s="9">
        <f>(G16/F16)-1</f>
        <v>-4.1666666666666741E-2</v>
      </c>
    </row>
    <row r="20" spans="2:15" ht="15" customHeight="1" x14ac:dyDescent="0.2">
      <c r="B20" s="3" t="s">
        <v>18</v>
      </c>
    </row>
    <row r="21" spans="2:15" ht="15" customHeight="1" x14ac:dyDescent="0.2">
      <c r="H21" s="3" t="s">
        <v>6</v>
      </c>
    </row>
    <row r="22" spans="2:15" ht="15" customHeight="1" x14ac:dyDescent="0.2">
      <c r="C22" s="10">
        <v>44227</v>
      </c>
      <c r="D22" s="10">
        <v>44592</v>
      </c>
      <c r="E22" s="10">
        <v>44957</v>
      </c>
      <c r="F22" s="10">
        <v>45322</v>
      </c>
      <c r="G22" s="10">
        <v>45688</v>
      </c>
      <c r="H22" s="10">
        <v>46053</v>
      </c>
      <c r="I22" s="10">
        <v>46418</v>
      </c>
      <c r="J22" s="10">
        <v>46783</v>
      </c>
      <c r="K22" s="10">
        <v>47149</v>
      </c>
      <c r="L22" s="10">
        <v>47514</v>
      </c>
    </row>
    <row r="23" spans="2:15" ht="15" customHeight="1" x14ac:dyDescent="0.2">
      <c r="B23" s="11" t="s">
        <v>19</v>
      </c>
      <c r="C23" s="12">
        <v>32.4</v>
      </c>
      <c r="D23" s="12">
        <v>36</v>
      </c>
      <c r="E23" s="12">
        <v>60.8</v>
      </c>
      <c r="F23" s="12">
        <v>60</v>
      </c>
      <c r="G23" s="12">
        <v>106.5</v>
      </c>
      <c r="H23" s="13">
        <f>H10*$O$23</f>
        <v>109.67694470086688</v>
      </c>
      <c r="I23" s="13">
        <f>I10*$O$23</f>
        <v>134.01121567950139</v>
      </c>
      <c r="J23" s="13">
        <f>J10*$O$23</f>
        <v>163.74458621982288</v>
      </c>
      <c r="K23" s="13">
        <f>K10*$O$23</f>
        <v>200.0749667134186</v>
      </c>
      <c r="L23" s="13">
        <f>L10*$O$23</f>
        <v>244.46605063105008</v>
      </c>
      <c r="N23" s="8" t="s">
        <v>20</v>
      </c>
      <c r="O23" s="9">
        <f>AVERAGE(C30:G30)</f>
        <v>0.10267831624309642</v>
      </c>
    </row>
    <row r="24" spans="2:15" ht="15" customHeight="1" x14ac:dyDescent="0.2">
      <c r="B24" s="3" t="s">
        <v>21</v>
      </c>
      <c r="C24" s="14">
        <v>10.5</v>
      </c>
      <c r="D24" s="14">
        <v>10.5</v>
      </c>
      <c r="E24" s="14">
        <v>10.4</v>
      </c>
      <c r="F24" s="14">
        <v>11</v>
      </c>
      <c r="G24" s="14">
        <v>11.5</v>
      </c>
    </row>
    <row r="25" spans="2:15" ht="15" customHeight="1" x14ac:dyDescent="0.2">
      <c r="B25" s="11" t="s">
        <v>22</v>
      </c>
      <c r="C25" s="12">
        <v>103</v>
      </c>
      <c r="D25" s="12">
        <v>87</v>
      </c>
      <c r="E25" s="12">
        <v>106.2</v>
      </c>
      <c r="F25" s="12">
        <v>121.2</v>
      </c>
      <c r="G25" s="12">
        <v>173</v>
      </c>
      <c r="H25" s="13">
        <f>H10*$O$25</f>
        <v>229.8937655735765</v>
      </c>
      <c r="I25" s="13">
        <f>I10*$O$25</f>
        <v>280.90081361839566</v>
      </c>
      <c r="J25" s="13">
        <f>J10*$O$25</f>
        <v>343.22491040420738</v>
      </c>
      <c r="K25" s="13">
        <f>K10*$O$25</f>
        <v>419.37699504855215</v>
      </c>
      <c r="L25" s="13">
        <f>L10*$O$25</f>
        <v>512.42511439168948</v>
      </c>
      <c r="N25" s="8" t="s">
        <v>23</v>
      </c>
      <c r="O25" s="9">
        <f>AVERAGE(C31:G31)</f>
        <v>0.21522394545417517</v>
      </c>
    </row>
    <row r="27" spans="2:15" ht="15" customHeight="1" x14ac:dyDescent="0.2">
      <c r="B27" s="11" t="s">
        <v>24</v>
      </c>
      <c r="C27" s="12">
        <v>3</v>
      </c>
      <c r="D27" s="12">
        <v>2.5</v>
      </c>
      <c r="E27" s="12">
        <v>2.5</v>
      </c>
      <c r="F27" s="12">
        <v>3</v>
      </c>
      <c r="G27" s="12">
        <v>6.6</v>
      </c>
      <c r="H27" s="13">
        <f>H10*$O$27</f>
        <v>6.5871380083499558</v>
      </c>
      <c r="I27" s="13">
        <f>I10*$O$27</f>
        <v>8.048641168435557</v>
      </c>
      <c r="J27" s="13">
        <f>J10*$O$27</f>
        <v>9.8344113294907132</v>
      </c>
      <c r="K27" s="13">
        <f>K10*$O$27</f>
        <v>12.016394342054417</v>
      </c>
      <c r="L27" s="13">
        <f>L10*$O$27</f>
        <v>14.682498844720888</v>
      </c>
      <c r="N27" s="8" t="s">
        <v>25</v>
      </c>
      <c r="O27" s="9">
        <f>AVERAGE(C29:G29)</f>
        <v>6.1668041665727692E-3</v>
      </c>
    </row>
    <row r="28" spans="2:15" ht="15" customHeight="1" x14ac:dyDescent="0.2">
      <c r="B28" s="8" t="s">
        <v>26</v>
      </c>
      <c r="D28" s="9">
        <f>(D27/C27)-1</f>
        <v>-0.16666666666666663</v>
      </c>
      <c r="E28" s="9">
        <f>(E27/D27)-1</f>
        <v>0</v>
      </c>
      <c r="F28" s="9">
        <f>(F27/E27)-1</f>
        <v>0.19999999999999996</v>
      </c>
      <c r="G28" s="9">
        <f>(G27/F27)-1</f>
        <v>1.1999999999999997</v>
      </c>
    </row>
    <row r="29" spans="2:15" ht="15" customHeight="1" x14ac:dyDescent="0.2">
      <c r="B29" s="8" t="s">
        <v>27</v>
      </c>
      <c r="C29" s="9">
        <f t="shared" ref="C29:L29" si="2">C27/C10</f>
        <v>7.6491585925548191E-3</v>
      </c>
      <c r="D29" s="9">
        <f t="shared" si="2"/>
        <v>4.9077345897133888E-3</v>
      </c>
      <c r="E29" s="9">
        <f t="shared" si="2"/>
        <v>5.4945054945054949E-3</v>
      </c>
      <c r="F29" s="9">
        <f t="shared" si="2"/>
        <v>5.2328623757195193E-3</v>
      </c>
      <c r="G29" s="9">
        <f t="shared" si="2"/>
        <v>7.5497597803706237E-3</v>
      </c>
      <c r="H29" s="9">
        <f t="shared" si="2"/>
        <v>6.1668041665727692E-3</v>
      </c>
      <c r="I29" s="9">
        <f t="shared" si="2"/>
        <v>6.1668041665727692E-3</v>
      </c>
      <c r="J29" s="9">
        <f t="shared" si="2"/>
        <v>6.1668041665727692E-3</v>
      </c>
      <c r="K29" s="9">
        <f t="shared" si="2"/>
        <v>6.1668041665727692E-3</v>
      </c>
      <c r="L29" s="9">
        <f t="shared" si="2"/>
        <v>6.1668041665727692E-3</v>
      </c>
    </row>
    <row r="30" spans="2:15" ht="15" customHeight="1" x14ac:dyDescent="0.2">
      <c r="B30" s="8" t="s">
        <v>28</v>
      </c>
      <c r="C30" s="9">
        <f t="shared" ref="C30:L30" si="3">C23/C10</f>
        <v>8.261091279959204E-2</v>
      </c>
      <c r="D30" s="9">
        <f t="shared" si="3"/>
        <v>7.0671378091872794E-2</v>
      </c>
      <c r="E30" s="9">
        <f t="shared" si="3"/>
        <v>0.13362637362637361</v>
      </c>
      <c r="F30" s="9">
        <f t="shared" si="3"/>
        <v>0.10465724751439039</v>
      </c>
      <c r="G30" s="9">
        <f t="shared" si="3"/>
        <v>0.12182566918325326</v>
      </c>
      <c r="H30" s="9">
        <f t="shared" si="3"/>
        <v>0.10267831624309642</v>
      </c>
      <c r="I30" s="9">
        <f t="shared" si="3"/>
        <v>0.10267831624309641</v>
      </c>
      <c r="J30" s="9">
        <f t="shared" si="3"/>
        <v>0.10267831624309642</v>
      </c>
      <c r="K30" s="9">
        <f t="shared" si="3"/>
        <v>0.10267831624309642</v>
      </c>
      <c r="L30" s="9">
        <f t="shared" si="3"/>
        <v>0.10267831624309642</v>
      </c>
    </row>
    <row r="31" spans="2:15" ht="15" customHeight="1" x14ac:dyDescent="0.2">
      <c r="B31" s="8" t="s">
        <v>29</v>
      </c>
      <c r="C31" s="9">
        <f t="shared" ref="C31:L31" si="4">C25/C10</f>
        <v>0.26262111167771546</v>
      </c>
      <c r="D31" s="9">
        <f t="shared" si="4"/>
        <v>0.17078916372202593</v>
      </c>
      <c r="E31" s="9">
        <f t="shared" si="4"/>
        <v>0.23340659340659342</v>
      </c>
      <c r="F31" s="9">
        <f t="shared" si="4"/>
        <v>0.21140763997906858</v>
      </c>
      <c r="G31" s="9">
        <f t="shared" si="4"/>
        <v>0.19789521848547242</v>
      </c>
      <c r="H31" s="9">
        <f t="shared" si="4"/>
        <v>0.21522394545417517</v>
      </c>
      <c r="I31" s="9">
        <f t="shared" si="4"/>
        <v>0.21522394545417517</v>
      </c>
      <c r="J31" s="9">
        <f t="shared" si="4"/>
        <v>0.21522394545417517</v>
      </c>
      <c r="K31" s="9">
        <f t="shared" si="4"/>
        <v>0.21522394545417517</v>
      </c>
      <c r="L31" s="9">
        <f t="shared" si="4"/>
        <v>0.21522394545417517</v>
      </c>
    </row>
    <row r="32" spans="2:15" ht="15" customHeight="1" x14ac:dyDescent="0.2">
      <c r="B32" s="8" t="s">
        <v>30</v>
      </c>
      <c r="D32" s="9">
        <f>(D23/C23)-1</f>
        <v>0.11111111111111116</v>
      </c>
      <c r="E32" s="9">
        <f>(E23/D23)-1</f>
        <v>0.68888888888888888</v>
      </c>
      <c r="F32" s="9">
        <f>(F23/E23)-1</f>
        <v>-1.3157894736842035E-2</v>
      </c>
      <c r="G32" s="9">
        <f>(G23/F23)-1</f>
        <v>0.77499999999999991</v>
      </c>
    </row>
    <row r="33" spans="2:12" ht="15" customHeight="1" x14ac:dyDescent="0.2">
      <c r="B33" s="8" t="s">
        <v>31</v>
      </c>
      <c r="D33" s="9">
        <f>(D25/C25)-1</f>
        <v>-0.15533980582524276</v>
      </c>
      <c r="E33" s="9">
        <f>(E25/D25)-1</f>
        <v>0.22068965517241379</v>
      </c>
      <c r="F33" s="9">
        <f>(F25/E25)-1</f>
        <v>0.14124293785310726</v>
      </c>
      <c r="G33" s="9">
        <f>(G25/F25)-1</f>
        <v>0.4273927392739274</v>
      </c>
    </row>
    <row r="36" spans="2:12" ht="15" customHeight="1" x14ac:dyDescent="0.2">
      <c r="B36" s="3" t="s">
        <v>32</v>
      </c>
    </row>
    <row r="37" spans="2:12" ht="15" customHeight="1" x14ac:dyDescent="0.2">
      <c r="B37" s="8" t="s">
        <v>33</v>
      </c>
      <c r="H37" s="3" t="s">
        <v>6</v>
      </c>
    </row>
    <row r="38" spans="2:12" ht="15" customHeight="1" x14ac:dyDescent="0.2">
      <c r="C38" s="10">
        <v>44227</v>
      </c>
      <c r="D38" s="10">
        <v>44592</v>
      </c>
      <c r="E38" s="10">
        <v>44957</v>
      </c>
      <c r="F38" s="10">
        <v>45322</v>
      </c>
      <c r="G38" s="10">
        <v>45688</v>
      </c>
      <c r="H38" s="10">
        <v>46053</v>
      </c>
      <c r="I38" s="10">
        <v>46418</v>
      </c>
      <c r="J38" s="10">
        <v>46783</v>
      </c>
      <c r="K38" s="10">
        <v>47149</v>
      </c>
      <c r="L38" s="10">
        <v>47514</v>
      </c>
    </row>
    <row r="39" spans="2:12" ht="15" customHeight="1" x14ac:dyDescent="0.2">
      <c r="B39" s="8" t="s">
        <v>34</v>
      </c>
      <c r="H39" s="8">
        <v>1</v>
      </c>
      <c r="I39" s="8">
        <v>2</v>
      </c>
      <c r="J39" s="8">
        <v>3</v>
      </c>
      <c r="K39" s="8">
        <v>4</v>
      </c>
      <c r="L39" s="8">
        <v>5</v>
      </c>
    </row>
    <row r="40" spans="2:12" ht="15" customHeight="1" x14ac:dyDescent="0.2">
      <c r="B40" s="11" t="s">
        <v>35</v>
      </c>
      <c r="C40" s="15"/>
      <c r="D40" s="15"/>
      <c r="E40" s="15"/>
      <c r="F40" s="15"/>
      <c r="G40" s="15"/>
      <c r="H40" s="16">
        <f>H10</f>
        <v>1068.1607248136095</v>
      </c>
      <c r="I40" s="16">
        <f>I10</f>
        <v>1305.1559529104729</v>
      </c>
      <c r="J40" s="16">
        <f>J10</f>
        <v>1594.7338465518735</v>
      </c>
      <c r="K40" s="16">
        <f>K10</f>
        <v>1948.5610402855691</v>
      </c>
      <c r="L40" s="16">
        <f>L10</f>
        <v>2380.8926711679183</v>
      </c>
    </row>
    <row r="41" spans="2:12" ht="15" customHeight="1" x14ac:dyDescent="0.2">
      <c r="B41" s="11" t="s">
        <v>11</v>
      </c>
      <c r="C41" s="15"/>
      <c r="D41" s="15"/>
      <c r="E41" s="15"/>
      <c r="F41" s="15"/>
      <c r="G41" s="15"/>
      <c r="H41" s="16">
        <f>H13</f>
        <v>149.54250147390533</v>
      </c>
      <c r="I41" s="16">
        <f>I13</f>
        <v>182.72183340746622</v>
      </c>
      <c r="J41" s="16">
        <f>J13</f>
        <v>223.26273851726231</v>
      </c>
      <c r="K41" s="16">
        <f>K13</f>
        <v>272.79854563997969</v>
      </c>
      <c r="L41" s="16">
        <f>L13</f>
        <v>333.32497396350857</v>
      </c>
    </row>
    <row r="42" spans="2:12" ht="15" customHeight="1" x14ac:dyDescent="0.2">
      <c r="B42" s="8" t="s">
        <v>36</v>
      </c>
      <c r="H42" s="17">
        <v>0.21</v>
      </c>
      <c r="I42" s="17">
        <v>0.21</v>
      </c>
      <c r="J42" s="17">
        <v>0.21</v>
      </c>
      <c r="K42" s="17">
        <v>0.21</v>
      </c>
      <c r="L42" s="17">
        <v>0.21</v>
      </c>
    </row>
    <row r="43" spans="2:12" ht="15" customHeight="1" x14ac:dyDescent="0.2">
      <c r="B43" s="11" t="s">
        <v>37</v>
      </c>
      <c r="C43" s="15"/>
      <c r="D43" s="15"/>
      <c r="E43" s="15"/>
      <c r="F43" s="15"/>
      <c r="G43" s="15"/>
      <c r="H43" s="13">
        <f>H41*(1-H42)</f>
        <v>118.13857616438521</v>
      </c>
      <c r="I43" s="13">
        <f>I41*(1-I42)</f>
        <v>144.35024839189833</v>
      </c>
      <c r="J43" s="13">
        <f>J41*(1-J42)</f>
        <v>176.37756342863722</v>
      </c>
      <c r="K43" s="13">
        <f>K41*(1-K42)</f>
        <v>215.51085105558397</v>
      </c>
      <c r="L43" s="13">
        <f>L41*(1-L42)</f>
        <v>263.32672943117177</v>
      </c>
    </row>
    <row r="44" spans="2:12" ht="15" customHeight="1" x14ac:dyDescent="0.2">
      <c r="B44" s="8" t="s">
        <v>14</v>
      </c>
      <c r="H44" s="18">
        <f>H16</f>
        <v>5.3127463468251683</v>
      </c>
      <c r="I44" s="18">
        <f>I16</f>
        <v>6.4914973559547322</v>
      </c>
      <c r="J44" s="18">
        <f>J16</f>
        <v>7.9317805088792452</v>
      </c>
      <c r="K44" s="18">
        <f>K16</f>
        <v>9.691622531945681</v>
      </c>
      <c r="L44" s="18">
        <f>L16</f>
        <v>11.841924672092205</v>
      </c>
    </row>
    <row r="45" spans="2:12" ht="15" customHeight="1" x14ac:dyDescent="0.2">
      <c r="B45" s="8" t="s">
        <v>38</v>
      </c>
      <c r="H45" s="19">
        <f>H23-G23</f>
        <v>3.1769447008668834</v>
      </c>
      <c r="I45" s="19">
        <f>I23-H23</f>
        <v>24.334270978634507</v>
      </c>
      <c r="J45" s="19">
        <f>J23-I23</f>
        <v>29.733370540321488</v>
      </c>
      <c r="K45" s="19">
        <f>K23-J23</f>
        <v>36.330380493595726</v>
      </c>
      <c r="L45" s="19">
        <f>L23-K23</f>
        <v>44.391083917631477</v>
      </c>
    </row>
    <row r="46" spans="2:12" ht="15" customHeight="1" x14ac:dyDescent="0.2">
      <c r="B46" s="8" t="s">
        <v>39</v>
      </c>
      <c r="H46" s="19">
        <f>H25-G25</f>
        <v>56.893765573576502</v>
      </c>
      <c r="I46" s="19">
        <f>I25-H25</f>
        <v>51.007048044819157</v>
      </c>
      <c r="J46" s="19">
        <f>J25-I25</f>
        <v>62.324096785811719</v>
      </c>
      <c r="K46" s="19">
        <f>K25-J25</f>
        <v>76.152084644344768</v>
      </c>
      <c r="L46" s="19">
        <f>L25-K25</f>
        <v>93.04811934313733</v>
      </c>
    </row>
    <row r="48" spans="2:12" ht="15" customHeight="1" x14ac:dyDescent="0.2">
      <c r="B48" s="8" t="s">
        <v>40</v>
      </c>
      <c r="H48" s="18">
        <f>H27</f>
        <v>6.5871380083499558</v>
      </c>
      <c r="I48" s="18">
        <f>I27</f>
        <v>8.048641168435557</v>
      </c>
      <c r="J48" s="18">
        <f>J27</f>
        <v>9.8344113294907132</v>
      </c>
      <c r="K48" s="18">
        <f>K27</f>
        <v>12.016394342054417</v>
      </c>
      <c r="L48" s="18">
        <f>L27</f>
        <v>14.682498844720888</v>
      </c>
    </row>
    <row r="49" spans="2:15" ht="15" customHeight="1" x14ac:dyDescent="0.2">
      <c r="N49" s="8" t="s">
        <v>41</v>
      </c>
      <c r="O49" s="9">
        <f>(L50/K50)-1</f>
        <v>0.22187225441959413</v>
      </c>
    </row>
    <row r="50" spans="2:15" ht="15" customHeight="1" x14ac:dyDescent="0.2">
      <c r="B50" s="11" t="s">
        <v>42</v>
      </c>
      <c r="C50" s="15"/>
      <c r="D50" s="15"/>
      <c r="E50" s="15"/>
      <c r="F50" s="15"/>
      <c r="G50" s="15"/>
      <c r="H50" s="13">
        <f>H43+H44-H45+H46-H48</f>
        <v>170.58100537557002</v>
      </c>
      <c r="I50" s="13">
        <f>I43+I44-I45+I46-I48</f>
        <v>169.46588164560217</v>
      </c>
      <c r="J50" s="13">
        <f>J43+J44-J45+J46-J48</f>
        <v>207.065658853516</v>
      </c>
      <c r="K50" s="13">
        <f>K43+K44-K45+K46-K48</f>
        <v>253.00778339622428</v>
      </c>
      <c r="L50" s="13">
        <f>L43+L44-L45+L46-L48</f>
        <v>309.14319068404893</v>
      </c>
    </row>
    <row r="51" spans="2:15" ht="15" customHeight="1" x14ac:dyDescent="0.2">
      <c r="B51" s="8" t="s">
        <v>43</v>
      </c>
      <c r="H51" s="20">
        <f>$C$83</f>
        <v>7.5559999999999988E-2</v>
      </c>
      <c r="I51" s="20">
        <f>$C$83</f>
        <v>7.5559999999999988E-2</v>
      </c>
      <c r="J51" s="20">
        <f>$C$83</f>
        <v>7.5559999999999988E-2</v>
      </c>
      <c r="K51" s="20">
        <f>$C$83</f>
        <v>7.5559999999999988E-2</v>
      </c>
      <c r="L51" s="20">
        <f>$C$83</f>
        <v>7.5559999999999988E-2</v>
      </c>
    </row>
    <row r="52" spans="2:15" ht="15" customHeight="1" x14ac:dyDescent="0.2">
      <c r="B52" s="11" t="s">
        <v>44</v>
      </c>
      <c r="C52" s="15"/>
      <c r="D52" s="15"/>
      <c r="E52" s="15"/>
      <c r="F52" s="15"/>
      <c r="G52" s="15"/>
      <c r="H52" s="13">
        <f>H50/(1+$C$83)^H39</f>
        <v>158.59738682692736</v>
      </c>
      <c r="I52" s="13">
        <f>I50/(1+$C$83)^I39</f>
        <v>146.49169039314199</v>
      </c>
      <c r="J52" s="13">
        <f>J50/(1+$C$83)^J39</f>
        <v>166.41947636059871</v>
      </c>
      <c r="K52" s="13">
        <f>K50/(1+$C$83)^K39</f>
        <v>189.05810997066942</v>
      </c>
      <c r="L52" s="13">
        <f>L50/(1+$C$83)^L39</f>
        <v>214.77635747533321</v>
      </c>
    </row>
    <row r="53" spans="2:15" ht="15" customHeight="1" x14ac:dyDescent="0.2">
      <c r="B53" s="3" t="s">
        <v>45</v>
      </c>
      <c r="C53" s="21">
        <f>SUM(H52:L52)</f>
        <v>875.34302102667084</v>
      </c>
    </row>
    <row r="55" spans="2:15" ht="15" customHeight="1" x14ac:dyDescent="0.2">
      <c r="B55" s="3" t="s">
        <v>46</v>
      </c>
    </row>
    <row r="56" spans="2:15" ht="15" customHeight="1" x14ac:dyDescent="0.2">
      <c r="B56" s="3" t="s">
        <v>47</v>
      </c>
    </row>
    <row r="57" spans="2:15" ht="15" customHeight="1" x14ac:dyDescent="0.2">
      <c r="B57" s="8" t="s">
        <v>48</v>
      </c>
      <c r="C57" s="22">
        <v>3.5000000000000003E-2</v>
      </c>
    </row>
    <row r="58" spans="2:15" ht="15" customHeight="1" x14ac:dyDescent="0.2">
      <c r="B58" s="8" t="s">
        <v>49</v>
      </c>
      <c r="C58" s="20">
        <f>$C$83</f>
        <v>7.5559999999999988E-2</v>
      </c>
    </row>
    <row r="59" spans="2:15" ht="15" customHeight="1" x14ac:dyDescent="0.2">
      <c r="B59" s="8" t="s">
        <v>50</v>
      </c>
      <c r="C59" s="19">
        <f>L50*(1+C57)</f>
        <v>319.96320235799061</v>
      </c>
    </row>
    <row r="60" spans="2:15" ht="15" customHeight="1" x14ac:dyDescent="0.2">
      <c r="B60" s="11" t="s">
        <v>46</v>
      </c>
      <c r="C60" s="13">
        <f>C59/(C58-C57)</f>
        <v>7888.6391113903037</v>
      </c>
      <c r="D60" s="15"/>
      <c r="E60" s="15"/>
      <c r="F60" s="15"/>
      <c r="G60" s="15"/>
      <c r="H60" s="15"/>
      <c r="I60" s="15"/>
      <c r="J60" s="15"/>
      <c r="K60" s="15"/>
      <c r="L60" s="15"/>
    </row>
    <row r="61" spans="2:15" ht="15" customHeight="1" x14ac:dyDescent="0.2">
      <c r="B61" s="11" t="s">
        <v>51</v>
      </c>
      <c r="C61" s="13">
        <f>C60/(1+$C$83)^5</f>
        <v>5480.6097136826902</v>
      </c>
      <c r="D61" s="15"/>
      <c r="E61" s="15"/>
      <c r="F61" s="15"/>
      <c r="G61" s="15"/>
      <c r="H61" s="15"/>
      <c r="I61" s="15"/>
      <c r="J61" s="15"/>
      <c r="K61" s="15"/>
      <c r="L61" s="15"/>
    </row>
    <row r="64" spans="2:15" ht="15" customHeight="1" x14ac:dyDescent="0.2">
      <c r="B64" s="3" t="s">
        <v>49</v>
      </c>
    </row>
    <row r="65" spans="2:13" ht="15" customHeight="1" x14ac:dyDescent="0.2">
      <c r="B65" s="8" t="s">
        <v>52</v>
      </c>
      <c r="C65" s="6">
        <v>575.16</v>
      </c>
    </row>
    <row r="66" spans="2:13" ht="15" customHeight="1" x14ac:dyDescent="0.2">
      <c r="B66" s="8" t="s">
        <v>4</v>
      </c>
      <c r="C66" s="23">
        <v>13.95</v>
      </c>
    </row>
    <row r="67" spans="2:13" ht="15" customHeight="1" x14ac:dyDescent="0.2">
      <c r="B67" s="8" t="s">
        <v>53</v>
      </c>
      <c r="C67" s="22">
        <v>0</v>
      </c>
    </row>
    <row r="68" spans="2:13" ht="15" customHeight="1" x14ac:dyDescent="0.2">
      <c r="B68" s="8" t="s">
        <v>54</v>
      </c>
      <c r="C68" s="17">
        <v>0.21</v>
      </c>
    </row>
    <row r="69" spans="2:13" ht="15" customHeight="1" x14ac:dyDescent="0.2">
      <c r="B69" s="8" t="s">
        <v>55</v>
      </c>
      <c r="C69" s="9">
        <f>C67*(1-C68)</f>
        <v>0</v>
      </c>
    </row>
    <row r="70" spans="2:13" ht="15" customHeight="1" x14ac:dyDescent="0.2">
      <c r="B70" s="3" t="s">
        <v>56</v>
      </c>
      <c r="C70" s="9">
        <f>C71+C74*C72</f>
        <v>7.5559999999999988E-2</v>
      </c>
      <c r="H70" s="1" t="s">
        <v>57</v>
      </c>
      <c r="I70" s="1"/>
      <c r="J70" s="1"/>
      <c r="K70" s="1"/>
      <c r="L70" s="1"/>
      <c r="M70" s="1"/>
    </row>
    <row r="71" spans="2:13" ht="15" customHeight="1" x14ac:dyDescent="0.2">
      <c r="B71" s="8" t="s">
        <v>58</v>
      </c>
      <c r="C71" s="22">
        <v>4.1000000000000002E-2</v>
      </c>
    </row>
    <row r="72" spans="2:13" ht="15" customHeight="1" x14ac:dyDescent="0.2">
      <c r="B72" s="8" t="s">
        <v>59</v>
      </c>
      <c r="C72" s="22">
        <v>5.3999999999999999E-2</v>
      </c>
      <c r="K72" s="5" t="s">
        <v>60</v>
      </c>
    </row>
    <row r="73" spans="2:13" ht="15" customHeight="1" x14ac:dyDescent="0.2">
      <c r="B73" s="8" t="s">
        <v>61</v>
      </c>
      <c r="C73" s="24">
        <v>0.46</v>
      </c>
      <c r="I73" s="9">
        <f>$C$83+-0.02</f>
        <v>5.5559999999999984E-2</v>
      </c>
      <c r="J73" s="9">
        <f>$C$83+-0.01</f>
        <v>6.5559999999999993E-2</v>
      </c>
      <c r="K73" s="9">
        <f>$C$83+0</f>
        <v>7.5559999999999988E-2</v>
      </c>
      <c r="L73" s="9">
        <f>$C$83+0.01</f>
        <v>8.5559999999999983E-2</v>
      </c>
      <c r="M73" s="9">
        <f>$C$83+0.02</f>
        <v>9.5559999999999992E-2</v>
      </c>
    </row>
    <row r="74" spans="2:13" ht="15" customHeight="1" x14ac:dyDescent="0.2">
      <c r="B74" s="8" t="s">
        <v>62</v>
      </c>
      <c r="C74" s="25">
        <f>C73*(2/3)+(1/3)</f>
        <v>0.6399999999999999</v>
      </c>
      <c r="H74" s="17">
        <v>4.8000000000000001E-2</v>
      </c>
      <c r="I74" s="26">
        <f t="shared" ref="I74:M78" si="5">($H$50/(1+I$73)^1+$I$50/(1+I$73)^2+$J$50/(1+I$73)^3+$K$50/(1+I$73)^4+$L$50/(1+I$73)^5+$L$50*(1+$H74)/(I$73-$H74)/(1+I$73)^5+$F$89)/$F$91</f>
        <v>2475.0707128420331</v>
      </c>
      <c r="J74" s="26">
        <f t="shared" si="5"/>
        <v>1091.5946612396151</v>
      </c>
      <c r="K74" s="26">
        <f t="shared" si="5"/>
        <v>712.36240849198191</v>
      </c>
      <c r="L74" s="26">
        <f t="shared" si="5"/>
        <v>535.25242028556227</v>
      </c>
      <c r="M74" s="26">
        <f t="shared" si="5"/>
        <v>432.76223905347138</v>
      </c>
    </row>
    <row r="75" spans="2:13" ht="15" customHeight="1" x14ac:dyDescent="0.2">
      <c r="B75" s="8"/>
      <c r="H75" s="17">
        <v>3.7999999999999999E-2</v>
      </c>
      <c r="I75" s="26">
        <f t="shared" si="5"/>
        <v>1130.4262354846992</v>
      </c>
      <c r="J75" s="26">
        <f t="shared" si="5"/>
        <v>736.39698501301075</v>
      </c>
      <c r="K75" s="26">
        <f t="shared" si="5"/>
        <v>552.39109502055055</v>
      </c>
      <c r="L75" s="26">
        <f t="shared" si="5"/>
        <v>445.92131275090287</v>
      </c>
      <c r="M75" s="26">
        <f t="shared" si="5"/>
        <v>376.56976201359265</v>
      </c>
    </row>
    <row r="76" spans="2:13" ht="15" customHeight="1" x14ac:dyDescent="0.2">
      <c r="B76" s="8" t="s">
        <v>63</v>
      </c>
      <c r="C76" s="14">
        <v>0</v>
      </c>
      <c r="H76" s="17">
        <v>2.8000000000000001E-2</v>
      </c>
      <c r="I76" s="26">
        <f t="shared" si="5"/>
        <v>761.57600874952448</v>
      </c>
      <c r="J76" s="26">
        <f t="shared" si="5"/>
        <v>570.33545161207451</v>
      </c>
      <c r="K76" s="26">
        <f t="shared" si="5"/>
        <v>459.69114970363199</v>
      </c>
      <c r="L76" s="26">
        <f t="shared" si="5"/>
        <v>387.62950595795985</v>
      </c>
      <c r="M76" s="26">
        <f t="shared" si="5"/>
        <v>337.01212127918433</v>
      </c>
    </row>
    <row r="77" spans="2:13" ht="15" customHeight="1" x14ac:dyDescent="0.2">
      <c r="B77" s="8" t="s">
        <v>64</v>
      </c>
      <c r="C77" s="19">
        <f>C65*C66</f>
        <v>8023.4819999999991</v>
      </c>
      <c r="H77" s="17">
        <v>1.7999999999999999E-2</v>
      </c>
      <c r="I77" s="26">
        <f t="shared" si="5"/>
        <v>589.13165354532646</v>
      </c>
      <c r="J77" s="26">
        <f t="shared" si="5"/>
        <v>474.10635446048059</v>
      </c>
      <c r="K77" s="26">
        <f t="shared" si="5"/>
        <v>399.20105335020145</v>
      </c>
      <c r="L77" s="26">
        <f t="shared" si="5"/>
        <v>346.59400668216989</v>
      </c>
      <c r="M77" s="26">
        <f t="shared" si="5"/>
        <v>307.65500677850684</v>
      </c>
    </row>
    <row r="78" spans="2:13" ht="15" customHeight="1" x14ac:dyDescent="0.2">
      <c r="B78" s="8" t="s">
        <v>65</v>
      </c>
      <c r="C78" s="19">
        <f>C76+C77</f>
        <v>8023.4819999999991</v>
      </c>
      <c r="H78" s="17">
        <v>8.0000000000000002E-3</v>
      </c>
      <c r="I78" s="26">
        <f t="shared" si="5"/>
        <v>489.20384804852893</v>
      </c>
      <c r="J78" s="26">
        <f t="shared" si="5"/>
        <v>411.31335777851626</v>
      </c>
      <c r="K78" s="26">
        <f t="shared" si="5"/>
        <v>356.61803110968697</v>
      </c>
      <c r="L78" s="26">
        <f t="shared" si="5"/>
        <v>316.14012145377279</v>
      </c>
      <c r="M78" s="26">
        <f t="shared" si="5"/>
        <v>285.00349175263</v>
      </c>
    </row>
    <row r="79" spans="2:13" ht="15" customHeight="1" x14ac:dyDescent="0.2">
      <c r="B79" s="8"/>
    </row>
    <row r="80" spans="2:13" ht="15" customHeight="1" x14ac:dyDescent="0.2">
      <c r="B80" s="8" t="s">
        <v>66</v>
      </c>
      <c r="C80" s="9">
        <f>IF(C78=0,0,C76/C78)</f>
        <v>0</v>
      </c>
    </row>
    <row r="81" spans="2:12" ht="15" customHeight="1" x14ac:dyDescent="0.2">
      <c r="B81" s="8" t="s">
        <v>67</v>
      </c>
      <c r="C81" s="9">
        <f>IF(C78=0,0,C77/C78)</f>
        <v>1</v>
      </c>
    </row>
    <row r="82" spans="2:12" ht="15" customHeight="1" x14ac:dyDescent="0.2">
      <c r="B82" s="8"/>
    </row>
    <row r="83" spans="2:12" ht="15" customHeight="1" x14ac:dyDescent="0.2">
      <c r="B83" s="11" t="s">
        <v>68</v>
      </c>
      <c r="C83" s="27">
        <f>(C80*C69)+(C81*C70)</f>
        <v>7.5559999999999988E-2</v>
      </c>
      <c r="D83" s="15"/>
      <c r="E83" s="15"/>
      <c r="F83" s="15"/>
      <c r="G83" s="15"/>
      <c r="H83" s="15"/>
      <c r="I83" s="15"/>
      <c r="J83" s="15"/>
      <c r="K83" s="15"/>
      <c r="L83" s="15"/>
    </row>
    <row r="86" spans="2:12" ht="15" customHeight="1" x14ac:dyDescent="0.2">
      <c r="B86" s="3" t="s">
        <v>69</v>
      </c>
    </row>
    <row r="87" spans="2:12" ht="15" customHeight="1" x14ac:dyDescent="0.2">
      <c r="B87" s="8" t="s">
        <v>70</v>
      </c>
      <c r="F87" s="21">
        <f>C53+C61</f>
        <v>6355.9527347093608</v>
      </c>
    </row>
    <row r="88" spans="2:12" ht="15" customHeight="1" x14ac:dyDescent="0.2">
      <c r="B88" s="8" t="s">
        <v>71</v>
      </c>
      <c r="F88" s="14">
        <v>0</v>
      </c>
    </row>
    <row r="89" spans="2:12" ht="15" customHeight="1" x14ac:dyDescent="0.2">
      <c r="B89" s="8" t="s">
        <v>72</v>
      </c>
      <c r="F89" s="28">
        <v>895</v>
      </c>
      <c r="H89" s="29" t="s">
        <v>73</v>
      </c>
    </row>
    <row r="90" spans="2:12" ht="15" customHeight="1" x14ac:dyDescent="0.2">
      <c r="B90" s="11" t="s">
        <v>74</v>
      </c>
      <c r="C90" s="15"/>
      <c r="D90" s="15"/>
      <c r="E90" s="15"/>
      <c r="F90" s="30">
        <f>F87-F88+F89</f>
        <v>7250.9527347093608</v>
      </c>
      <c r="G90" s="15"/>
      <c r="H90" s="15"/>
      <c r="I90" s="15"/>
      <c r="J90" s="15"/>
      <c r="K90" s="15"/>
      <c r="L90" s="15"/>
    </row>
    <row r="91" spans="2:12" ht="15" customHeight="1" x14ac:dyDescent="0.2">
      <c r="B91" s="8" t="s">
        <v>4</v>
      </c>
      <c r="F91" s="7">
        <v>13.95</v>
      </c>
    </row>
    <row r="92" spans="2:12" ht="15" customHeight="1" x14ac:dyDescent="0.2">
      <c r="B92" s="11" t="s">
        <v>75</v>
      </c>
      <c r="C92" s="15"/>
      <c r="D92" s="15"/>
      <c r="E92" s="15"/>
      <c r="F92" s="31">
        <f>F90/F91</f>
        <v>519.7815580436818</v>
      </c>
      <c r="G92" s="15"/>
      <c r="H92" s="15"/>
      <c r="I92" s="15"/>
      <c r="J92" s="15"/>
      <c r="K92" s="15"/>
      <c r="L92" s="15"/>
    </row>
    <row r="94" spans="2:12" ht="15" customHeight="1" x14ac:dyDescent="0.2">
      <c r="B94" s="3" t="s">
        <v>76</v>
      </c>
    </row>
    <row r="95" spans="2:12" ht="15" customHeight="1" x14ac:dyDescent="0.2">
      <c r="B95" s="32" t="s">
        <v>77</v>
      </c>
    </row>
    <row r="96" spans="2:12" ht="15" customHeight="1" x14ac:dyDescent="0.2">
      <c r="B96" s="32" t="s">
        <v>78</v>
      </c>
    </row>
    <row r="97" spans="2:2" ht="15" customHeight="1" x14ac:dyDescent="0.2">
      <c r="B97" s="32" t="s">
        <v>79</v>
      </c>
    </row>
    <row r="98" spans="2:2" ht="15" customHeight="1" x14ac:dyDescent="0.2">
      <c r="B98" s="32" t="s">
        <v>80</v>
      </c>
    </row>
    <row r="99" spans="2:2" ht="15" customHeight="1" x14ac:dyDescent="0.2">
      <c r="B99" s="32" t="s">
        <v>81</v>
      </c>
    </row>
    <row r="100" spans="2:2" ht="15" customHeight="1" x14ac:dyDescent="0.2">
      <c r="B100" s="32" t="s">
        <v>82</v>
      </c>
    </row>
    <row r="101" spans="2:2" ht="15" customHeight="1" x14ac:dyDescent="0.2">
      <c r="B101" s="32" t="s">
        <v>83</v>
      </c>
    </row>
    <row r="102" spans="2:2" ht="15" customHeight="1" x14ac:dyDescent="0.2">
      <c r="B102" s="32" t="s">
        <v>84</v>
      </c>
    </row>
    <row r="103" spans="2:2" ht="15" customHeight="1" x14ac:dyDescent="0.2">
      <c r="B103" s="32" t="s">
        <v>85</v>
      </c>
    </row>
  </sheetData>
  <mergeCells count="2">
    <mergeCell ref="A1:L1"/>
    <mergeCell ref="H70:M7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FCF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Joe Marfisi</cp:lastModifiedBy>
  <cp:revision>0</cp:revision>
  <dcterms:created xsi:type="dcterms:W3CDTF">2026-04-06T00:21:32Z</dcterms:created>
  <dcterms:modified xsi:type="dcterms:W3CDTF">2026-04-06T10:39:06Z</dcterms:modified>
  <dc:language>en-US</dc:language>
</cp:coreProperties>
</file>