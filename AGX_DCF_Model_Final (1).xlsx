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AGX carries no meaningful inventory (EPC contractor). Row kept for format consistency; zeroed.</t>
        </r>
      </text>
    </comment>
    <comment ref="C26" authorId="0">
      <text>
        <r>
          <rPr>
            <sz val="10"/>
            <rFont val="Arial"/>
            <family val="2"/>
          </rPr>
          <t xml:space="preserve">AP+Accrued FY2021/FY2025 are estimates (exact split not available for all years).</t>
        </r>
      </text>
    </comment>
    <comment ref="C58" authorId="0">
      <text>
        <r>
          <rPr>
            <sz val="10"/>
            <rFont val="Arial"/>
            <family val="2"/>
          </rPr>
          <t xml:space="preserve">Below nominal long-run GDP (~4%). Justified by structural AI/data center power demand.</t>
        </r>
      </text>
    </comment>
    <comment ref="C74" authorId="0">
      <text>
        <r>
          <rPr>
            <sz val="10"/>
            <rFont val="Arial"/>
            <family val="2"/>
          </rPr>
          <t xml:space="preserve">10-year U.S. Treasury yield.</t>
        </r>
      </text>
    </comment>
    <comment ref="C77" authorId="0">
      <text>
        <r>
          <rPr>
            <sz val="10"/>
            <rFont val="Arial"/>
            <family val="2"/>
          </rPr>
          <t xml:space="preserve">Blume adjustment: 2/3 x raw + 1/3.</t>
        </r>
      </text>
    </comment>
    <comment ref="C79" authorId="0">
      <text>
        <r>
          <rPr>
            <sz val="10"/>
            <rFont val="Arial"/>
            <family val="2"/>
          </rPr>
          <t xml:space="preserve">AGX carries zero long-term debt. WACC = Cost of Equity (100% equity-weighted).</t>
        </r>
      </text>
    </comment>
    <comment ref="F91" authorId="0">
      <text>
        <r>
          <rPr>
            <sz val="10"/>
            <rFont val="Arial"/>
            <family val="2"/>
          </rPr>
          <t xml:space="preserve">Source: Argan Q4 FY2026 10-K (reported Mar 26, 2026), Cash + Short-term Investments.</t>
        </r>
      </text>
    </comment>
    <comment ref="H11" authorId="0">
      <text>
        <r>
          <rPr>
            <sz val="10"/>
            <rFont val="Arial"/>
            <family val="2"/>
          </rPr>
          <t xml:space="preserve">22.2% = geometric mean of FY2021-FY2025 revenue growth (see helper cell O9), rounded to one decimal to match the sensitivity axis. Supported by $2.9B committed backlog. Source: Argan 10-K filings, FYE Jan 31.</t>
        </r>
      </text>
    </comment>
    <comment ref="H15" authorId="0">
      <text>
        <r>
          <rPr>
            <sz val="10"/>
            <rFont val="Arial"/>
            <family val="2"/>
          </rPr>
          <t xml:space="preserve">FY2026 actual EBIT margin (~14%): net income $137.8M on $944.6M revenue. Source: Argan Q4 FY2026 10-K, reported Mar 26, 2026.</t>
        </r>
      </text>
    </comment>
  </commentList>
</comments>
</file>

<file path=xl/sharedStrings.xml><?xml version="1.0" encoding="utf-8"?>
<sst xmlns="http://schemas.openxmlformats.org/spreadsheetml/2006/main" count="91" uniqueCount="82">
  <si>
    <t xml:space="preserve">ARGAN, INC. (AGX) - DISCOUNTED CASH FLOW MODEL</t>
  </si>
  <si>
    <t xml:space="preserve">Valuation Date:</t>
  </si>
  <si>
    <t xml:space="preserve">absolute numbers are in millions of $</t>
  </si>
  <si>
    <t xml:space="preserve">Share Price on Valuation Date:</t>
  </si>
  <si>
    <t xml:space="preserve">Diluted Shares Outstanding</t>
  </si>
  <si>
    <t xml:space="preserve">Select Operating Data</t>
  </si>
  <si>
    <t xml:space="preserve">Projected Annual Forecast</t>
  </si>
  <si>
    <t xml:space="preserve">arithmetic</t>
  </si>
  <si>
    <t xml:space="preserve">geometric</t>
  </si>
  <si>
    <t xml:space="preserve">Revenue</t>
  </si>
  <si>
    <t xml:space="preserve">Revenue Growth Rate (%)</t>
  </si>
  <si>
    <t xml:space="preserve">ln Revenue</t>
  </si>
  <si>
    <t xml:space="preserve">EBIT</t>
  </si>
  <si>
    <t xml:space="preserve">EBIT Margin (%)</t>
  </si>
  <si>
    <t xml:space="preserve">Depreciation &amp; Amortization</t>
  </si>
  <si>
    <t xml:space="preserve">D&amp;A as a % of revenue</t>
  </si>
  <si>
    <t xml:space="preserve">D&amp;A growth rate (%)</t>
  </si>
  <si>
    <t xml:space="preserve">Select Balance Sheet And Other Data</t>
  </si>
  <si>
    <t xml:space="preserve">Accounts Receivable</t>
  </si>
  <si>
    <t xml:space="preserve">Inventories</t>
  </si>
  <si>
    <t xml:space="preserve">PP&amp;E</t>
  </si>
  <si>
    <t xml:space="preserve">Accounts Payable and Accrued</t>
  </si>
  <si>
    <t xml:space="preserve">Capital Expenditures</t>
  </si>
  <si>
    <t xml:space="preserve">CapEx as % of Revenue</t>
  </si>
  <si>
    <t xml:space="preserve">Accounts Receivable as % of Revenue</t>
  </si>
  <si>
    <t xml:space="preserve">Inventories as % of Revenue</t>
  </si>
  <si>
    <t xml:space="preserve">AP + Accrued as % of Revenue</t>
  </si>
  <si>
    <t xml:space="preserve">PP&amp;E growth</t>
  </si>
  <si>
    <t xml:space="preserve">Free Cash Flow Buildup</t>
  </si>
  <si>
    <t xml:space="preserve">$mm</t>
  </si>
  <si>
    <t xml:space="preserve">Period</t>
  </si>
  <si>
    <t xml:space="preserve">Total Revenues</t>
  </si>
  <si>
    <t xml:space="preserve">Tax rate</t>
  </si>
  <si>
    <t xml:space="preserve">EBIAT</t>
  </si>
  <si>
    <t xml:space="preserve">Chg in Accounts Receivable</t>
  </si>
  <si>
    <t xml:space="preserve">Chg in Inventories</t>
  </si>
  <si>
    <t xml:space="preserve">Chg in Accounts Payable and Accrued</t>
  </si>
  <si>
    <t xml:space="preserve">Capital expenditures</t>
  </si>
  <si>
    <t xml:space="preserve">year 5 FCF growth rate</t>
  </si>
  <si>
    <t xml:space="preserve">Unlevered free cash flows</t>
  </si>
  <si>
    <t xml:space="preserve">Discount Rate (WACC)</t>
  </si>
  <si>
    <t xml:space="preserve">Present value of free cash flows</t>
  </si>
  <si>
    <t xml:space="preserve">Sum of present values of FCFs</t>
  </si>
  <si>
    <t xml:space="preserve">Terminal Value</t>
  </si>
  <si>
    <t xml:space="preserve">Growth in perpetuity method:</t>
  </si>
  <si>
    <t xml:space="preserve">Long term growth rate</t>
  </si>
  <si>
    <t xml:space="preserve">WACC</t>
  </si>
  <si>
    <t xml:space="preserve">Free cash flow (t+1)</t>
  </si>
  <si>
    <t xml:space="preserve">Present Value of Terminal Value</t>
  </si>
  <si>
    <t xml:space="preserve">Share Price</t>
  </si>
  <si>
    <t xml:space="preserve">Cost of Debt</t>
  </si>
  <si>
    <t xml:space="preserve">Tax Rate</t>
  </si>
  <si>
    <t xml:space="preserve">After-tax Cost of Debt</t>
  </si>
  <si>
    <t xml:space="preserve">Cost of Equity</t>
  </si>
  <si>
    <t xml:space="preserve">risk-free rate</t>
  </si>
  <si>
    <t xml:space="preserve">market risk premium</t>
  </si>
  <si>
    <t xml:space="preserve">beta (raw)</t>
  </si>
  <si>
    <t xml:space="preserve">adjusted beta</t>
  </si>
  <si>
    <t xml:space="preserve">Total Debt ($)</t>
  </si>
  <si>
    <t xml:space="preserve">Total Equity ($)</t>
  </si>
  <si>
    <t xml:space="preserve">Total Capital</t>
  </si>
  <si>
    <t xml:space="preserve">Debt Weighting</t>
  </si>
  <si>
    <t xml:space="preserve">Equity Weighting</t>
  </si>
  <si>
    <t xml:space="preserve">WACC =</t>
  </si>
  <si>
    <t xml:space="preserve">Enterprise Value to Equity Value</t>
  </si>
  <si>
    <t xml:space="preserve">Enterprise Value</t>
  </si>
  <si>
    <t xml:space="preserve">Less: Total Debt</t>
  </si>
  <si>
    <t xml:space="preserve">Plus: Cash &amp; Investments</t>
  </si>
  <si>
    <t xml:space="preserve">Equity Value</t>
  </si>
  <si>
    <t xml:space="preserve">Equity Value Per Share</t>
  </si>
  <si>
    <t xml:space="preserve">SENSITIVITY ANALYSIS - Implied Value per Share ($)</t>
  </si>
  <si>
    <t xml:space="preserve">Rows: EBIT Margin  |  Columns: Revenue Growth (annual)</t>
  </si>
  <si>
    <t xml:space="preserve">EBIT Mgn \ Rev Gr</t>
  </si>
  <si>
    <t xml:space="preserve">Data Sources &amp; Notes</t>
  </si>
  <si>
    <t xml:space="preserve">Historical financials: Argan, Inc. 10-K filings (FY2021-FY2025, fiscal year ending Jan 31)</t>
  </si>
  <si>
    <t xml:space="preserve">Revenue growth: geometric mean of FY2021-FY2025 growth (22.2%); supported by $2.9B committed backlog</t>
  </si>
  <si>
    <t xml:space="preserve">EBIT margin: 14% per FY2026 actuals (net income $137.8M on $944.6M revenue)</t>
  </si>
  <si>
    <t xml:space="preserve">Working capital, D&amp;A, and CapEx projected as % of revenue (5-year average ratios)</t>
  </si>
  <si>
    <t xml:space="preserve">Inventories zeroed: AGX carries no meaningful inventory as an EPC contractor</t>
  </si>
  <si>
    <t xml:space="preserve">Beta: 0.46 raw, Blume-adjusted to 0.64; risk-free 4.1% (10-yr UST); MRP 5.4%</t>
  </si>
  <si>
    <t xml:space="preserve">AGX carries zero long-term debt; WACC = Cost of Equity (100% equity-weighted)</t>
  </si>
  <si>
    <t xml:space="preserve">Cash &amp; investments $895M per Q4 FY2026 10-K (reported Mar 26, 2026)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</si>
</sst>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0.00"/>
    <numFmt numFmtId="167" formatCode="0.0%"/>
    <numFmt numFmtId="168" formatCode="#,##0.0;\(#,##0.0\)"/>
    <numFmt numFmtId="169" formatCode="0.00%"/>
    <numFmt numFmtId="170" formatCode="#,##0.0"/>
    <numFmt numFmtId="171" formatCode="\$#,##0.00"/>
    <numFmt numFmtId="172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theme="9" tint="0.3999"/>
        <bgColor rgb="FFFFCC99"/>
      </patternFill>
    </fill>
    <fill>
      <patternFill patternType="solid">
        <fgColor rgb="FFFFCC99"/>
        <bgColor rgb="FFFAC09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AC09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6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E103" activeCellId="0" sqref="E103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2" min="3" style="0" width="11.5"/>
    <col collapsed="false" customWidth="true" hidden="false" outlineLevel="0" max="14" min="14" style="0" width="20"/>
    <col collapsed="false" customWidth="true" hidden="false" outlineLevel="0" max="15" min="15" style="0" width="11"/>
  </cols>
  <sheetData>
    <row r="1" customFormat="false" ht="15" hidden="false" customHeight="true" outlineLevel="0" collapsed="false">
      <c r="A1" s="1" t="s">
        <v>0</v>
      </c>
    </row>
    <row r="3" customFormat="false" ht="15" hidden="false" customHeight="true" outlineLevel="0" collapsed="false">
      <c r="B3" s="0" t="s">
        <v>1</v>
      </c>
      <c r="F3" s="2" t="n">
        <v>46117</v>
      </c>
      <c r="J3" s="3" t="s">
        <v>2</v>
      </c>
    </row>
    <row r="4" customFormat="false" ht="15" hidden="false" customHeight="true" outlineLevel="0" collapsed="false">
      <c r="B4" s="0" t="s">
        <v>3</v>
      </c>
      <c r="F4" s="4" t="n">
        <v>575.16</v>
      </c>
    </row>
    <row r="5" customFormat="false" ht="15" hidden="false" customHeight="true" outlineLevel="0" collapsed="false">
      <c r="B5" s="0" t="s">
        <v>4</v>
      </c>
      <c r="F5" s="5" t="n">
        <v>13.95</v>
      </c>
    </row>
    <row r="6" customFormat="false" ht="15" hidden="false" customHeight="true" outlineLevel="0" collapsed="false"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I6" s="0" t="n">
        <v>7</v>
      </c>
      <c r="J6" s="0" t="n">
        <v>8</v>
      </c>
      <c r="K6" s="0" t="n">
        <v>9</v>
      </c>
      <c r="L6" s="0" t="n">
        <v>10</v>
      </c>
    </row>
    <row r="7" customFormat="false" ht="15" hidden="false" customHeight="true" outlineLevel="0" collapsed="false">
      <c r="B7" s="6" t="s">
        <v>5</v>
      </c>
    </row>
    <row r="8" customFormat="false" ht="15" hidden="false" customHeight="true" outlineLevel="0" collapsed="false">
      <c r="H8" s="7" t="s">
        <v>6</v>
      </c>
      <c r="I8" s="7"/>
      <c r="J8" s="7"/>
      <c r="K8" s="7"/>
      <c r="L8" s="7"/>
      <c r="N8" s="3" t="s">
        <v>7</v>
      </c>
      <c r="O8" s="8" t="n">
        <f aca="false">AVERAGE(D11:G11)</f>
        <v>0.244222730157078</v>
      </c>
    </row>
    <row r="9" customFormat="false" ht="15" hidden="false" customHeight="true" outlineLevel="0" collapsed="false">
      <c r="C9" s="9" t="n">
        <f aca="false">D9-365</f>
        <v>44228</v>
      </c>
      <c r="D9" s="9" t="n">
        <f aca="false">E9-365</f>
        <v>44593</v>
      </c>
      <c r="E9" s="9" t="n">
        <f aca="false">F9-365</f>
        <v>44958</v>
      </c>
      <c r="F9" s="9" t="n">
        <f aca="false">G9-365</f>
        <v>45323</v>
      </c>
      <c r="G9" s="9" t="n">
        <v>45688</v>
      </c>
      <c r="H9" s="9" t="n">
        <f aca="false">G9+365</f>
        <v>46053</v>
      </c>
      <c r="I9" s="9" t="n">
        <f aca="false">H9+365</f>
        <v>46418</v>
      </c>
      <c r="J9" s="9" t="n">
        <f aca="false">I9+365</f>
        <v>46783</v>
      </c>
      <c r="K9" s="9" t="n">
        <f aca="false">J9+365</f>
        <v>47148</v>
      </c>
      <c r="L9" s="9" t="n">
        <f aca="false">K9+365</f>
        <v>47513</v>
      </c>
      <c r="N9" s="3" t="s">
        <v>8</v>
      </c>
      <c r="O9" s="8" t="n">
        <f aca="false">GEOMEAN(D12:G12)-1</f>
        <v>0.221872254419594</v>
      </c>
    </row>
    <row r="10" customFormat="false" ht="15" hidden="false" customHeight="true" outlineLevel="0" collapsed="false">
      <c r="B10" s="0" t="s">
        <v>9</v>
      </c>
      <c r="C10" s="10" t="n">
        <v>392.2</v>
      </c>
      <c r="D10" s="10" t="n">
        <v>509.4</v>
      </c>
      <c r="E10" s="10" t="n">
        <v>455</v>
      </c>
      <c r="F10" s="10" t="n">
        <v>573.3</v>
      </c>
      <c r="G10" s="10" t="n">
        <v>874.2</v>
      </c>
      <c r="H10" s="11" t="n">
        <f aca="false">G10*(1+H11)</f>
        <v>1033.3044</v>
      </c>
      <c r="I10" s="11" t="n">
        <f aca="false">H10*(1+I11)</f>
        <v>1221.3658008</v>
      </c>
      <c r="J10" s="11" t="n">
        <f aca="false">I10*(1+J11)</f>
        <v>1443.6543765456</v>
      </c>
      <c r="K10" s="11" t="n">
        <f aca="false">J10*(1+K11)</f>
        <v>1706.3994730769</v>
      </c>
      <c r="L10" s="11" t="n">
        <f aca="false">K10*(1+L11)</f>
        <v>2016.96417717689</v>
      </c>
    </row>
    <row r="11" customFormat="false" ht="15" hidden="false" customHeight="true" outlineLevel="0" collapsed="false">
      <c r="B11" s="0" t="s">
        <v>10</v>
      </c>
      <c r="D11" s="8" t="n">
        <f aca="false">D10/C10-1</f>
        <v>0.298827129015808</v>
      </c>
      <c r="E11" s="8" t="n">
        <f aca="false">E10/D10-1</f>
        <v>-0.106792304672163</v>
      </c>
      <c r="F11" s="8" t="n">
        <f aca="false">F10/E10-1</f>
        <v>0.26</v>
      </c>
      <c r="G11" s="8" t="n">
        <f aca="false">G10/F10-1</f>
        <v>0.524856096284668</v>
      </c>
      <c r="H11" s="12" t="n">
        <v>0.182</v>
      </c>
      <c r="I11" s="12" t="n">
        <f aca="false">H11</f>
        <v>0.182</v>
      </c>
      <c r="J11" s="12" t="n">
        <f aca="false">I11</f>
        <v>0.182</v>
      </c>
      <c r="K11" s="12" t="n">
        <f aca="false">J11</f>
        <v>0.182</v>
      </c>
      <c r="L11" s="12" t="n">
        <f aca="false">K11</f>
        <v>0.182</v>
      </c>
    </row>
    <row r="12" customFormat="false" ht="15" hidden="false" customHeight="true" outlineLevel="0" collapsed="false">
      <c r="B12" s="0" t="s">
        <v>8</v>
      </c>
      <c r="D12" s="13" t="n">
        <f aca="false">D11+1</f>
        <v>1.29882712901581</v>
      </c>
      <c r="E12" s="13" t="n">
        <f aca="false">E11+1</f>
        <v>0.893207695327837</v>
      </c>
      <c r="F12" s="13" t="n">
        <f aca="false">F11+1</f>
        <v>1.26</v>
      </c>
      <c r="G12" s="13" t="n">
        <f aca="false">G11+1</f>
        <v>1.52485609628467</v>
      </c>
    </row>
    <row r="13" customFormat="false" ht="15" hidden="false" customHeight="true" outlineLevel="0" collapsed="false">
      <c r="B13" s="0" t="s">
        <v>11</v>
      </c>
      <c r="C13" s="0" t="n">
        <f aca="false">LN(C10)</f>
        <v>5.97177191376225</v>
      </c>
      <c r="D13" s="0" t="n">
        <f aca="false">LN(D10)</f>
        <v>6.23323356254536</v>
      </c>
      <c r="E13" s="0" t="n">
        <f aca="false">LN(E10)</f>
        <v>6.12029741895095</v>
      </c>
      <c r="F13" s="0" t="n">
        <f aca="false">LN(F10)</f>
        <v>6.35140913991434</v>
      </c>
      <c r="G13" s="0" t="n">
        <f aca="false">LN(G10)</f>
        <v>6.77330918242921</v>
      </c>
    </row>
    <row r="14" customFormat="false" ht="15" hidden="false" customHeight="true" outlineLevel="0" collapsed="false">
      <c r="B14" s="0" t="s">
        <v>12</v>
      </c>
      <c r="C14" s="10" t="n">
        <v>23</v>
      </c>
      <c r="D14" s="10" t="n">
        <v>44.5</v>
      </c>
      <c r="E14" s="10" t="n">
        <v>41.7</v>
      </c>
      <c r="F14" s="10" t="n">
        <v>36.5</v>
      </c>
      <c r="G14" s="10" t="n">
        <v>88.2</v>
      </c>
      <c r="H14" s="11" t="n">
        <f aca="false">H10*H15</f>
        <v>134.329572</v>
      </c>
      <c r="I14" s="11" t="n">
        <f aca="false">I10*I15</f>
        <v>158.777554104</v>
      </c>
      <c r="J14" s="11" t="n">
        <f aca="false">J10*J15</f>
        <v>187.675068950928</v>
      </c>
      <c r="K14" s="11" t="n">
        <f aca="false">K10*K15</f>
        <v>221.831931499997</v>
      </c>
      <c r="L14" s="11" t="n">
        <f aca="false">L10*L15</f>
        <v>262.205343032996</v>
      </c>
    </row>
    <row r="15" customFormat="false" ht="15" hidden="false" customHeight="true" outlineLevel="0" collapsed="false">
      <c r="B15" s="0" t="s">
        <v>13</v>
      </c>
      <c r="C15" s="8" t="n">
        <f aca="false">C14/C10</f>
        <v>0.058643549209587</v>
      </c>
      <c r="D15" s="8" t="n">
        <f aca="false">D14/D10</f>
        <v>0.0873576756968983</v>
      </c>
      <c r="E15" s="8" t="n">
        <f aca="false">E14/E10</f>
        <v>0.0916483516483517</v>
      </c>
      <c r="F15" s="8" t="n">
        <f aca="false">F14/F10</f>
        <v>0.0636664922379208</v>
      </c>
      <c r="G15" s="8" t="n">
        <f aca="false">G14/G10</f>
        <v>0.10089224433768</v>
      </c>
      <c r="H15" s="12" t="n">
        <v>0.13</v>
      </c>
      <c r="I15" s="12" t="n">
        <f aca="false">H15</f>
        <v>0.13</v>
      </c>
      <c r="J15" s="12" t="n">
        <f aca="false">I15</f>
        <v>0.13</v>
      </c>
      <c r="K15" s="12" t="n">
        <f aca="false">J15</f>
        <v>0.13</v>
      </c>
      <c r="L15" s="12" t="n">
        <f aca="false">K15</f>
        <v>0.13</v>
      </c>
    </row>
    <row r="17" customFormat="false" ht="15" hidden="false" customHeight="true" outlineLevel="0" collapsed="false">
      <c r="B17" s="0" t="s">
        <v>14</v>
      </c>
      <c r="C17" s="14" t="n">
        <v>3</v>
      </c>
      <c r="D17" s="14" t="n">
        <v>2.5</v>
      </c>
      <c r="E17" s="14" t="n">
        <v>2.5</v>
      </c>
      <c r="F17" s="14" t="n">
        <v>2.4</v>
      </c>
      <c r="G17" s="14" t="n">
        <v>2.3</v>
      </c>
      <c r="H17" s="11" t="n">
        <f aca="false">H10*H18</f>
        <v>5.13938029056096</v>
      </c>
      <c r="I17" s="11" t="n">
        <f aca="false">I10*I18</f>
        <v>6.07474750344305</v>
      </c>
      <c r="J17" s="11" t="n">
        <f aca="false">J10*J18</f>
        <v>7.18035154906969</v>
      </c>
      <c r="K17" s="11" t="n">
        <f aca="false">K10*K18</f>
        <v>8.48717553100037</v>
      </c>
      <c r="L17" s="11" t="n">
        <f aca="false">L10*L18</f>
        <v>10.0318414776424</v>
      </c>
    </row>
    <row r="18" customFormat="false" ht="15" hidden="false" customHeight="true" outlineLevel="0" collapsed="false">
      <c r="B18" s="0" t="s">
        <v>15</v>
      </c>
      <c r="C18" s="8" t="n">
        <f aca="false">C17/C10</f>
        <v>0.00764915859255482</v>
      </c>
      <c r="D18" s="8" t="n">
        <f aca="false">D17/D10</f>
        <v>0.00490773458971339</v>
      </c>
      <c r="E18" s="8" t="n">
        <f aca="false">E17/E10</f>
        <v>0.0054945054945055</v>
      </c>
      <c r="F18" s="8" t="n">
        <f aca="false">F17/F10</f>
        <v>0.00418628990057562</v>
      </c>
      <c r="G18" s="8" t="n">
        <f aca="false">G17/G10</f>
        <v>0.00263097689315946</v>
      </c>
      <c r="H18" s="12" t="n">
        <f aca="false">AVERAGE($C$18:$G$18)</f>
        <v>0.00497373309410176</v>
      </c>
      <c r="I18" s="12" t="n">
        <f aca="false">H18</f>
        <v>0.00497373309410176</v>
      </c>
      <c r="J18" s="12" t="n">
        <f aca="false">I18</f>
        <v>0.00497373309410176</v>
      </c>
      <c r="K18" s="12" t="n">
        <f aca="false">J18</f>
        <v>0.00497373309410176</v>
      </c>
      <c r="L18" s="12" t="n">
        <f aca="false">K18</f>
        <v>0.00497373309410176</v>
      </c>
    </row>
    <row r="19" customFormat="false" ht="15" hidden="false" customHeight="true" outlineLevel="0" collapsed="false">
      <c r="B19" s="0" t="s">
        <v>16</v>
      </c>
      <c r="D19" s="8" t="n">
        <f aca="false">D17/C17-1</f>
        <v>-0.166666666666667</v>
      </c>
      <c r="E19" s="8" t="n">
        <f aca="false">E17/D17-1</f>
        <v>0</v>
      </c>
      <c r="F19" s="8" t="n">
        <f aca="false">F17/E17-1</f>
        <v>-0.04</v>
      </c>
      <c r="G19" s="8" t="n">
        <f aca="false">G17/F17-1</f>
        <v>-0.0416666666666667</v>
      </c>
    </row>
    <row r="20" customFormat="false" ht="15" hidden="false" customHeight="true" outlineLevel="0" collapsed="false">
      <c r="B20" s="6" t="s">
        <v>17</v>
      </c>
    </row>
    <row r="21" customFormat="false" ht="15" hidden="false" customHeight="true" outlineLevel="0" collapsed="false">
      <c r="H21" s="7" t="s">
        <v>6</v>
      </c>
      <c r="I21" s="7"/>
      <c r="J21" s="7"/>
      <c r="K21" s="7"/>
      <c r="L21" s="7"/>
    </row>
    <row r="22" customFormat="false" ht="15" hidden="false" customHeight="true" outlineLevel="0" collapsed="false">
      <c r="C22" s="9" t="n">
        <f aca="false">D22-365</f>
        <v>44228</v>
      </c>
      <c r="D22" s="9" t="n">
        <f aca="false">E22-365</f>
        <v>44593</v>
      </c>
      <c r="E22" s="9" t="n">
        <f aca="false">F22-365</f>
        <v>44958</v>
      </c>
      <c r="F22" s="9" t="n">
        <f aca="false">G22-365</f>
        <v>45323</v>
      </c>
      <c r="G22" s="9" t="n">
        <v>45688</v>
      </c>
      <c r="H22" s="9" t="n">
        <f aca="false">G22+365</f>
        <v>46053</v>
      </c>
      <c r="I22" s="9" t="n">
        <f aca="false">H22+365</f>
        <v>46418</v>
      </c>
      <c r="J22" s="9" t="n">
        <f aca="false">I22+365</f>
        <v>46783</v>
      </c>
      <c r="K22" s="9" t="n">
        <f aca="false">J22+365</f>
        <v>47148</v>
      </c>
      <c r="L22" s="9" t="n">
        <f aca="false">K22+365</f>
        <v>47513</v>
      </c>
    </row>
    <row r="23" customFormat="false" ht="15" hidden="false" customHeight="true" outlineLevel="0" collapsed="false">
      <c r="B23" s="0" t="s">
        <v>18</v>
      </c>
      <c r="C23" s="10" t="n">
        <v>32.4</v>
      </c>
      <c r="D23" s="10" t="n">
        <v>36</v>
      </c>
      <c r="E23" s="10" t="n">
        <v>60.8</v>
      </c>
      <c r="F23" s="10" t="n">
        <v>60</v>
      </c>
      <c r="G23" s="10" t="n">
        <v>106.5</v>
      </c>
      <c r="H23" s="11" t="n">
        <f aca="false">H10*H30</f>
        <v>106.097955958583</v>
      </c>
      <c r="I23" s="11" t="n">
        <f aca="false">I10*I30</f>
        <v>125.407783943045</v>
      </c>
      <c r="J23" s="11" t="n">
        <f aca="false">J10*J30</f>
        <v>148.232000620679</v>
      </c>
      <c r="K23" s="11" t="n">
        <f aca="false">K10*K30</f>
        <v>175.210224733643</v>
      </c>
      <c r="L23" s="11" t="n">
        <f aca="false">L10*L30</f>
        <v>207.098485635166</v>
      </c>
    </row>
    <row r="24" customFormat="false" ht="15" hidden="false" customHeight="true" outlineLevel="0" collapsed="false">
      <c r="B24" s="0" t="s">
        <v>19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1" t="n">
        <f aca="false">H10*H31</f>
        <v>0</v>
      </c>
      <c r="I24" s="11" t="n">
        <f aca="false">I10*I31</f>
        <v>0</v>
      </c>
      <c r="J24" s="11" t="n">
        <f aca="false">J10*J31</f>
        <v>0</v>
      </c>
      <c r="K24" s="11" t="n">
        <f aca="false">K10*K31</f>
        <v>0</v>
      </c>
      <c r="L24" s="11" t="n">
        <f aca="false">L10*L31</f>
        <v>0</v>
      </c>
    </row>
    <row r="25" customFormat="false" ht="15" hidden="false" customHeight="true" outlineLevel="0" collapsed="false">
      <c r="B25" s="0" t="s">
        <v>20</v>
      </c>
      <c r="C25" s="11" t="n">
        <v>10.5</v>
      </c>
      <c r="D25" s="11" t="n">
        <v>10.5</v>
      </c>
      <c r="E25" s="11" t="n">
        <v>10.4</v>
      </c>
      <c r="F25" s="11" t="n">
        <v>11</v>
      </c>
      <c r="G25" s="11" t="n">
        <v>11.5</v>
      </c>
    </row>
    <row r="26" customFormat="false" ht="15" hidden="false" customHeight="true" outlineLevel="0" collapsed="false">
      <c r="B26" s="0" t="s">
        <v>21</v>
      </c>
      <c r="C26" s="10" t="n">
        <v>103</v>
      </c>
      <c r="D26" s="10" t="n">
        <v>87</v>
      </c>
      <c r="E26" s="10" t="n">
        <v>106.2</v>
      </c>
      <c r="F26" s="10" t="n">
        <v>121.2</v>
      </c>
      <c r="G26" s="10" t="n">
        <v>173</v>
      </c>
      <c r="H26" s="11" t="n">
        <f aca="false">H10*H32</f>
        <v>222.391849823159</v>
      </c>
      <c r="I26" s="11" t="n">
        <f aca="false">I10*I32</f>
        <v>262.867166490974</v>
      </c>
      <c r="J26" s="11" t="n">
        <f aca="false">J10*J32</f>
        <v>310.708990792331</v>
      </c>
      <c r="K26" s="11" t="n">
        <f aca="false">K10*K32</f>
        <v>367.258027116536</v>
      </c>
      <c r="L26" s="11" t="n">
        <f aca="false">L10*L32</f>
        <v>434.098988051745</v>
      </c>
    </row>
    <row r="28" customFormat="false" ht="15" hidden="false" customHeight="true" outlineLevel="0" collapsed="false">
      <c r="B28" s="0" t="s">
        <v>22</v>
      </c>
      <c r="C28" s="10" t="n">
        <v>3</v>
      </c>
      <c r="D28" s="10" t="n">
        <v>2.5</v>
      </c>
      <c r="E28" s="10" t="n">
        <v>2.5</v>
      </c>
      <c r="F28" s="10" t="n">
        <v>3</v>
      </c>
      <c r="G28" s="10" t="n">
        <v>6.6</v>
      </c>
      <c r="H28" s="11" t="n">
        <f aca="false">H10*H29</f>
        <v>6.37218587925798</v>
      </c>
      <c r="I28" s="11" t="n">
        <f aca="false">I10*I29</f>
        <v>7.53192370928293</v>
      </c>
      <c r="J28" s="11" t="n">
        <f aca="false">J10*J29</f>
        <v>8.90273382437242</v>
      </c>
      <c r="K28" s="11" t="n">
        <f aca="false">K10*K29</f>
        <v>10.5230313804082</v>
      </c>
      <c r="L28" s="11" t="n">
        <f aca="false">L10*L29</f>
        <v>12.4382230916425</v>
      </c>
    </row>
    <row r="29" customFormat="false" ht="15" hidden="false" customHeight="true" outlineLevel="0" collapsed="false">
      <c r="B29" s="0" t="s">
        <v>23</v>
      </c>
      <c r="C29" s="8" t="n">
        <f aca="false">C28/C10</f>
        <v>0.00764915859255482</v>
      </c>
      <c r="D29" s="8" t="n">
        <f aca="false">D28/D10</f>
        <v>0.00490773458971339</v>
      </c>
      <c r="E29" s="8" t="n">
        <f aca="false">E28/E10</f>
        <v>0.0054945054945055</v>
      </c>
      <c r="F29" s="8" t="n">
        <f aca="false">F28/F10</f>
        <v>0.00523286237571952</v>
      </c>
      <c r="G29" s="8" t="n">
        <f aca="false">G28/G10</f>
        <v>0.00754975978037062</v>
      </c>
      <c r="H29" s="12" t="n">
        <f aca="false">AVERAGE($C$29:$G$29)</f>
        <v>0.00616680416657277</v>
      </c>
      <c r="I29" s="12" t="n">
        <f aca="false">H29</f>
        <v>0.00616680416657277</v>
      </c>
      <c r="J29" s="12" t="n">
        <f aca="false">I29</f>
        <v>0.00616680416657277</v>
      </c>
      <c r="K29" s="12" t="n">
        <f aca="false">J29</f>
        <v>0.00616680416657277</v>
      </c>
      <c r="L29" s="12" t="n">
        <f aca="false">K29</f>
        <v>0.00616680416657277</v>
      </c>
    </row>
    <row r="30" customFormat="false" ht="15" hidden="false" customHeight="true" outlineLevel="0" collapsed="false">
      <c r="B30" s="0" t="s">
        <v>24</v>
      </c>
      <c r="C30" s="8" t="n">
        <f aca="false">C23/C10</f>
        <v>0.082610912799592</v>
      </c>
      <c r="D30" s="8" t="n">
        <f aca="false">D23/D10</f>
        <v>0.0706713780918728</v>
      </c>
      <c r="E30" s="8" t="n">
        <f aca="false">E23/E10</f>
        <v>0.133626373626374</v>
      </c>
      <c r="F30" s="8" t="n">
        <f aca="false">F23/F10</f>
        <v>0.10465724751439</v>
      </c>
      <c r="G30" s="8" t="n">
        <f aca="false">G23/G10</f>
        <v>0.121825669183253</v>
      </c>
      <c r="H30" s="12" t="n">
        <f aca="false">AVERAGE($C$30:$G$30)</f>
        <v>0.102678316243096</v>
      </c>
      <c r="I30" s="12" t="n">
        <f aca="false">H30</f>
        <v>0.102678316243096</v>
      </c>
      <c r="J30" s="12" t="n">
        <f aca="false">I30</f>
        <v>0.102678316243096</v>
      </c>
      <c r="K30" s="12" t="n">
        <f aca="false">J30</f>
        <v>0.102678316243096</v>
      </c>
      <c r="L30" s="12" t="n">
        <f aca="false">K30</f>
        <v>0.102678316243096</v>
      </c>
    </row>
    <row r="31" customFormat="false" ht="15" hidden="false" customHeight="true" outlineLevel="0" collapsed="false">
      <c r="B31" s="0" t="s">
        <v>25</v>
      </c>
      <c r="C31" s="8" t="n">
        <f aca="false">C24/C10</f>
        <v>0</v>
      </c>
      <c r="D31" s="8" t="n">
        <f aca="false">D24/D10</f>
        <v>0</v>
      </c>
      <c r="E31" s="8" t="n">
        <f aca="false">E24/E10</f>
        <v>0</v>
      </c>
      <c r="F31" s="8" t="n">
        <f aca="false">F24/F10</f>
        <v>0</v>
      </c>
      <c r="G31" s="8" t="n">
        <f aca="false">G24/G10</f>
        <v>0</v>
      </c>
      <c r="H31" s="12" t="n">
        <f aca="false">AVERAGE($C$31:$G$31)</f>
        <v>0</v>
      </c>
      <c r="I31" s="12" t="n">
        <f aca="false">H31</f>
        <v>0</v>
      </c>
      <c r="J31" s="12" t="n">
        <f aca="false">I31</f>
        <v>0</v>
      </c>
      <c r="K31" s="12" t="n">
        <f aca="false">J31</f>
        <v>0</v>
      </c>
      <c r="L31" s="12" t="n">
        <f aca="false">K31</f>
        <v>0</v>
      </c>
    </row>
    <row r="32" customFormat="false" ht="15" hidden="false" customHeight="true" outlineLevel="0" collapsed="false">
      <c r="B32" s="0" t="s">
        <v>26</v>
      </c>
      <c r="C32" s="8" t="n">
        <f aca="false">C26/C10</f>
        <v>0.262621111677715</v>
      </c>
      <c r="D32" s="8" t="n">
        <f aca="false">D26/D10</f>
        <v>0.170789163722026</v>
      </c>
      <c r="E32" s="8" t="n">
        <f aca="false">E26/E10</f>
        <v>0.233406593406593</v>
      </c>
      <c r="F32" s="8" t="n">
        <f aca="false">F26/F10</f>
        <v>0.211407639979069</v>
      </c>
      <c r="G32" s="8" t="n">
        <f aca="false">G26/G10</f>
        <v>0.197895218485472</v>
      </c>
      <c r="H32" s="12" t="n">
        <f aca="false">AVERAGE($C$32:$G$32)</f>
        <v>0.215223945454175</v>
      </c>
      <c r="I32" s="12" t="n">
        <f aca="false">H32</f>
        <v>0.215223945454175</v>
      </c>
      <c r="J32" s="12" t="n">
        <f aca="false">I32</f>
        <v>0.215223945454175</v>
      </c>
      <c r="K32" s="12" t="n">
        <f aca="false">J32</f>
        <v>0.215223945454175</v>
      </c>
      <c r="L32" s="12" t="n">
        <f aca="false">K32</f>
        <v>0.215223945454175</v>
      </c>
    </row>
    <row r="33" customFormat="false" ht="15" hidden="false" customHeight="true" outlineLevel="0" collapsed="false">
      <c r="B33" s="0" t="s">
        <v>27</v>
      </c>
      <c r="D33" s="8" t="n">
        <f aca="false">D25/C25-1</f>
        <v>0</v>
      </c>
      <c r="E33" s="8" t="n">
        <f aca="false">E25/D25-1</f>
        <v>-0.00952380952380949</v>
      </c>
      <c r="F33" s="8" t="n">
        <f aca="false">F25/E25-1</f>
        <v>0.0576923076923077</v>
      </c>
      <c r="G33" s="8" t="n">
        <f aca="false">G25/F25-1</f>
        <v>0.0454545454545454</v>
      </c>
    </row>
    <row r="37" customFormat="false" ht="15" hidden="false" customHeight="true" outlineLevel="0" collapsed="false">
      <c r="B37" s="6" t="s">
        <v>28</v>
      </c>
    </row>
    <row r="38" customFormat="false" ht="15" hidden="false" customHeight="true" outlineLevel="0" collapsed="false">
      <c r="B38" s="0" t="s">
        <v>29</v>
      </c>
      <c r="H38" s="15" t="s">
        <v>6</v>
      </c>
    </row>
    <row r="39" customFormat="false" ht="15" hidden="false" customHeight="true" outlineLevel="0" collapsed="false">
      <c r="C39" s="9" t="n">
        <f aca="false">D39-365</f>
        <v>44228</v>
      </c>
      <c r="D39" s="9" t="n">
        <f aca="false">E39-365</f>
        <v>44593</v>
      </c>
      <c r="E39" s="9" t="n">
        <f aca="false">F39-365</f>
        <v>44958</v>
      </c>
      <c r="F39" s="9" t="n">
        <f aca="false">G39-365</f>
        <v>45323</v>
      </c>
      <c r="G39" s="9" t="n">
        <v>45688</v>
      </c>
      <c r="H39" s="9" t="n">
        <f aca="false">G39+365</f>
        <v>46053</v>
      </c>
      <c r="I39" s="9" t="n">
        <f aca="false">H39+365</f>
        <v>46418</v>
      </c>
      <c r="J39" s="9" t="n">
        <f aca="false">I39+365</f>
        <v>46783</v>
      </c>
      <c r="K39" s="9" t="n">
        <f aca="false">J39+365</f>
        <v>47148</v>
      </c>
      <c r="L39" s="9" t="n">
        <f aca="false">K39+365</f>
        <v>47513</v>
      </c>
    </row>
    <row r="40" customFormat="false" ht="15" hidden="false" customHeight="true" outlineLevel="0" collapsed="false">
      <c r="B40" s="0" t="s">
        <v>30</v>
      </c>
      <c r="H40" s="0" t="n">
        <v>1</v>
      </c>
      <c r="I40" s="0" t="n">
        <f aca="false">H40+1</f>
        <v>2</v>
      </c>
      <c r="J40" s="0" t="n">
        <f aca="false">I40+1</f>
        <v>3</v>
      </c>
      <c r="K40" s="0" t="n">
        <f aca="false">J40+1</f>
        <v>4</v>
      </c>
      <c r="L40" s="0" t="n">
        <f aca="false">K40+1</f>
        <v>5</v>
      </c>
    </row>
    <row r="41" customFormat="false" ht="15" hidden="false" customHeight="true" outlineLevel="0" collapsed="false">
      <c r="B41" s="0" t="s">
        <v>31</v>
      </c>
      <c r="H41" s="11" t="n">
        <f aca="false">H10</f>
        <v>1033.3044</v>
      </c>
      <c r="I41" s="11" t="n">
        <f aca="false">I10</f>
        <v>1221.3658008</v>
      </c>
      <c r="J41" s="11" t="n">
        <f aca="false">J10</f>
        <v>1443.6543765456</v>
      </c>
      <c r="K41" s="11" t="n">
        <f aca="false">K10</f>
        <v>1706.3994730769</v>
      </c>
      <c r="L41" s="11" t="n">
        <f aca="false">L10</f>
        <v>2016.96417717689</v>
      </c>
    </row>
    <row r="42" customFormat="false" ht="15" hidden="false" customHeight="true" outlineLevel="0" collapsed="false">
      <c r="B42" s="0" t="s">
        <v>12</v>
      </c>
      <c r="H42" s="11" t="n">
        <f aca="false">H14</f>
        <v>134.329572</v>
      </c>
      <c r="I42" s="11" t="n">
        <f aca="false">I14</f>
        <v>158.777554104</v>
      </c>
      <c r="J42" s="11" t="n">
        <f aca="false">J14</f>
        <v>187.675068950928</v>
      </c>
      <c r="K42" s="11" t="n">
        <f aca="false">K14</f>
        <v>221.831931499997</v>
      </c>
      <c r="L42" s="11" t="n">
        <f aca="false">L14</f>
        <v>262.205343032996</v>
      </c>
    </row>
    <row r="43" customFormat="false" ht="15" hidden="false" customHeight="true" outlineLevel="0" collapsed="false">
      <c r="B43" s="0" t="s">
        <v>32</v>
      </c>
      <c r="H43" s="12" t="n">
        <v>0.21</v>
      </c>
      <c r="I43" s="12" t="n">
        <v>0.21</v>
      </c>
      <c r="J43" s="12" t="n">
        <v>0.21</v>
      </c>
      <c r="K43" s="12" t="n">
        <v>0.21</v>
      </c>
      <c r="L43" s="12" t="n">
        <v>0.21</v>
      </c>
    </row>
    <row r="44" customFormat="false" ht="15" hidden="false" customHeight="true" outlineLevel="0" collapsed="false">
      <c r="B44" s="0" t="s">
        <v>33</v>
      </c>
      <c r="H44" s="11" t="n">
        <f aca="false">H42*(1-H43)</f>
        <v>106.12036188</v>
      </c>
      <c r="I44" s="11" t="n">
        <f aca="false">I42*(1-I43)</f>
        <v>125.43426774216</v>
      </c>
      <c r="J44" s="11" t="n">
        <f aca="false">J42*(1-J43)</f>
        <v>148.263304471233</v>
      </c>
      <c r="K44" s="11" t="n">
        <f aca="false">K42*(1-K43)</f>
        <v>175.247225884998</v>
      </c>
      <c r="L44" s="11" t="n">
        <f aca="false">L42*(1-L43)</f>
        <v>207.142220996067</v>
      </c>
    </row>
    <row r="45" customFormat="false" ht="15" hidden="false" customHeight="true" outlineLevel="0" collapsed="false">
      <c r="B45" s="0" t="s">
        <v>14</v>
      </c>
      <c r="H45" s="11" t="n">
        <f aca="false">H17</f>
        <v>5.13938029056096</v>
      </c>
      <c r="I45" s="11" t="n">
        <f aca="false">I17</f>
        <v>6.07474750344305</v>
      </c>
      <c r="J45" s="11" t="n">
        <f aca="false">J17</f>
        <v>7.18035154906969</v>
      </c>
      <c r="K45" s="11" t="n">
        <f aca="false">K17</f>
        <v>8.48717553100037</v>
      </c>
      <c r="L45" s="11" t="n">
        <f aca="false">L17</f>
        <v>10.0318414776424</v>
      </c>
    </row>
    <row r="46" customFormat="false" ht="15" hidden="false" customHeight="true" outlineLevel="0" collapsed="false">
      <c r="B46" s="0" t="s">
        <v>34</v>
      </c>
      <c r="H46" s="11" t="n">
        <f aca="false">-(H23-G23)</f>
        <v>0.402044041417</v>
      </c>
      <c r="I46" s="11" t="n">
        <f aca="false">-(I23-H23)</f>
        <v>-19.3098279844621</v>
      </c>
      <c r="J46" s="11" t="n">
        <f aca="false">-(J23-I23)</f>
        <v>-22.8242166776342</v>
      </c>
      <c r="K46" s="11" t="n">
        <f aca="false">-(K23-J23)</f>
        <v>-26.9782241129636</v>
      </c>
      <c r="L46" s="11" t="n">
        <f aca="false">-(L23-K23)</f>
        <v>-31.888260901523</v>
      </c>
    </row>
    <row r="47" customFormat="false" ht="15" hidden="false" customHeight="true" outlineLevel="0" collapsed="false">
      <c r="B47" s="0" t="s">
        <v>35</v>
      </c>
      <c r="H47" s="11" t="n">
        <f aca="false">-(H24-G24)</f>
        <v>-0</v>
      </c>
      <c r="I47" s="11" t="n">
        <f aca="false">-(I24-H24)</f>
        <v>-0</v>
      </c>
      <c r="J47" s="11" t="n">
        <f aca="false">-(J24-I24)</f>
        <v>-0</v>
      </c>
      <c r="K47" s="11" t="n">
        <f aca="false">-(K24-J24)</f>
        <v>-0</v>
      </c>
      <c r="L47" s="11" t="n">
        <f aca="false">-(L24-K24)</f>
        <v>-0</v>
      </c>
    </row>
    <row r="48" customFormat="false" ht="15" hidden="false" customHeight="true" outlineLevel="0" collapsed="false">
      <c r="B48" s="0" t="s">
        <v>36</v>
      </c>
      <c r="H48" s="11" t="n">
        <f aca="false">(H26-G26)</f>
        <v>49.3918498231592</v>
      </c>
      <c r="I48" s="11" t="n">
        <f aca="false">(I26-H26)</f>
        <v>40.475316667815</v>
      </c>
      <c r="J48" s="11" t="n">
        <f aca="false">(J26-I26)</f>
        <v>47.8418243013573</v>
      </c>
      <c r="K48" s="11" t="n">
        <f aca="false">(K26-J26)</f>
        <v>56.5490363242043</v>
      </c>
      <c r="L48" s="11" t="n">
        <f aca="false">(L26-K26)</f>
        <v>66.8409609352095</v>
      </c>
    </row>
    <row r="50" customFormat="false" ht="15" hidden="false" customHeight="true" outlineLevel="0" collapsed="false">
      <c r="B50" s="0" t="s">
        <v>37</v>
      </c>
      <c r="H50" s="11" t="n">
        <f aca="false">-H28</f>
        <v>-6.37218587925798</v>
      </c>
      <c r="I50" s="11" t="n">
        <f aca="false">-I28</f>
        <v>-7.53192370928293</v>
      </c>
      <c r="J50" s="11" t="n">
        <f aca="false">-J28</f>
        <v>-8.90273382437242</v>
      </c>
      <c r="K50" s="11" t="n">
        <f aca="false">-K28</f>
        <v>-10.5230313804082</v>
      </c>
      <c r="L50" s="11" t="n">
        <f aca="false">-L28</f>
        <v>-12.4382230916425</v>
      </c>
      <c r="N50" s="3" t="s">
        <v>38</v>
      </c>
    </row>
    <row r="51" customFormat="false" ht="15" hidden="false" customHeight="true" outlineLevel="0" collapsed="false">
      <c r="B51" s="0" t="s">
        <v>39</v>
      </c>
      <c r="H51" s="11" t="n">
        <f aca="false">SUM(H44:H50)</f>
        <v>154.681450155879</v>
      </c>
      <c r="I51" s="11" t="n">
        <f aca="false">SUM(I44:I50)</f>
        <v>145.142580219673</v>
      </c>
      <c r="J51" s="11" t="n">
        <f aca="false">SUM(J44:J50)</f>
        <v>171.558529819653</v>
      </c>
      <c r="K51" s="11" t="n">
        <f aca="false">SUM(K44:K50)</f>
        <v>202.78218224683</v>
      </c>
      <c r="L51" s="11" t="n">
        <f aca="false">SUM(L44:L50)</f>
        <v>239.688539415754</v>
      </c>
      <c r="N51" s="8" t="n">
        <f aca="false">L51/K51-1</f>
        <v>0.182</v>
      </c>
    </row>
    <row r="52" customFormat="false" ht="15" hidden="false" customHeight="true" outlineLevel="0" collapsed="false">
      <c r="B52" s="0" t="s">
        <v>40</v>
      </c>
      <c r="H52" s="8" t="n">
        <f aca="false">$C$86</f>
        <v>0.07556</v>
      </c>
      <c r="I52" s="8" t="n">
        <f aca="false">$C$86</f>
        <v>0.07556</v>
      </c>
      <c r="J52" s="8" t="n">
        <f aca="false">$C$86</f>
        <v>0.07556</v>
      </c>
      <c r="K52" s="8" t="n">
        <f aca="false">$C$86</f>
        <v>0.07556</v>
      </c>
      <c r="L52" s="8" t="n">
        <f aca="false">$C$86</f>
        <v>0.07556</v>
      </c>
    </row>
    <row r="53" customFormat="false" ht="15" hidden="false" customHeight="true" outlineLevel="0" collapsed="false">
      <c r="B53" s="0" t="s">
        <v>41</v>
      </c>
      <c r="H53" s="11" t="n">
        <f aca="false">H51/(1+H52)^H40</f>
        <v>143.814803596154</v>
      </c>
      <c r="I53" s="11" t="n">
        <f aca="false">I51/(1+I52)^I40</f>
        <v>125.465856123576</v>
      </c>
      <c r="J53" s="11" t="n">
        <f aca="false">J51/(1+J52)^J40</f>
        <v>137.882258486804</v>
      </c>
      <c r="K53" s="11" t="n">
        <f aca="false">K51/(1+K52)^K40</f>
        <v>151.527417839453</v>
      </c>
      <c r="L53" s="11" t="n">
        <f aca="false">L51/(1+L52)^L40</f>
        <v>166.52293492342</v>
      </c>
    </row>
    <row r="54" customFormat="false" ht="15" hidden="false" customHeight="true" outlineLevel="0" collapsed="false">
      <c r="B54" s="0" t="s">
        <v>42</v>
      </c>
      <c r="C54" s="16" t="n">
        <f aca="false">SUM(H53:L53)</f>
        <v>725.213270969408</v>
      </c>
    </row>
    <row r="56" customFormat="false" ht="15" hidden="false" customHeight="true" outlineLevel="0" collapsed="false">
      <c r="B56" s="6" t="s">
        <v>43</v>
      </c>
    </row>
    <row r="57" customFormat="false" ht="15" hidden="false" customHeight="true" outlineLevel="0" collapsed="false">
      <c r="B57" s="0" t="s">
        <v>44</v>
      </c>
    </row>
    <row r="58" customFormat="false" ht="15" hidden="false" customHeight="true" outlineLevel="0" collapsed="false">
      <c r="B58" s="0" t="s">
        <v>45</v>
      </c>
      <c r="C58" s="17" t="n">
        <v>0.035</v>
      </c>
    </row>
    <row r="59" customFormat="false" ht="15" hidden="false" customHeight="true" outlineLevel="0" collapsed="false">
      <c r="B59" s="0" t="s">
        <v>46</v>
      </c>
      <c r="C59" s="13" t="n">
        <f aca="false">C86</f>
        <v>0.07556</v>
      </c>
    </row>
    <row r="60" customFormat="false" ht="15" hidden="false" customHeight="true" outlineLevel="0" collapsed="false">
      <c r="B60" s="0" t="s">
        <v>47</v>
      </c>
      <c r="C60" s="16" t="n">
        <f aca="false">L51*(1+C58)</f>
        <v>248.077638295305</v>
      </c>
    </row>
    <row r="61" customFormat="false" ht="15" hidden="false" customHeight="true" outlineLevel="0" collapsed="false">
      <c r="B61" s="0" t="s">
        <v>43</v>
      </c>
      <c r="C61" s="16" t="n">
        <f aca="false">C60/(C59-C58)</f>
        <v>6116.31258124519</v>
      </c>
    </row>
    <row r="62" customFormat="false" ht="15" hidden="false" customHeight="true" outlineLevel="0" collapsed="false">
      <c r="B62" s="0" t="s">
        <v>48</v>
      </c>
      <c r="C62" s="16" t="n">
        <f aca="false">C61/(1+L52)^L40</f>
        <v>4249.29086897781</v>
      </c>
    </row>
    <row r="67" customFormat="false" ht="15" hidden="false" customHeight="true" outlineLevel="0" collapsed="false">
      <c r="B67" s="6" t="s">
        <v>46</v>
      </c>
    </row>
    <row r="68" customFormat="false" ht="15" hidden="false" customHeight="true" outlineLevel="0" collapsed="false">
      <c r="B68" s="0" t="s">
        <v>49</v>
      </c>
      <c r="C68" s="18" t="n">
        <f aca="false">F4</f>
        <v>575.16</v>
      </c>
    </row>
    <row r="69" customFormat="false" ht="15" hidden="false" customHeight="true" outlineLevel="0" collapsed="false">
      <c r="B69" s="0" t="s">
        <v>4</v>
      </c>
      <c r="C69" s="18" t="n">
        <f aca="false">F5</f>
        <v>13.95</v>
      </c>
    </row>
    <row r="70" customFormat="false" ht="15" hidden="false" customHeight="true" outlineLevel="0" collapsed="false">
      <c r="B70" s="0" t="s">
        <v>50</v>
      </c>
      <c r="C70" s="17" t="n">
        <v>0</v>
      </c>
    </row>
    <row r="71" customFormat="false" ht="15" hidden="false" customHeight="true" outlineLevel="0" collapsed="false">
      <c r="B71" s="0" t="s">
        <v>51</v>
      </c>
      <c r="C71" s="13" t="n">
        <f aca="false">H43</f>
        <v>0.21</v>
      </c>
    </row>
    <row r="72" customFormat="false" ht="15" hidden="false" customHeight="true" outlineLevel="0" collapsed="false">
      <c r="B72" s="0" t="s">
        <v>52</v>
      </c>
      <c r="C72" s="13" t="n">
        <f aca="false">C70*(1-C71)</f>
        <v>0</v>
      </c>
    </row>
    <row r="73" customFormat="false" ht="15" hidden="false" customHeight="true" outlineLevel="0" collapsed="false">
      <c r="B73" s="0" t="s">
        <v>53</v>
      </c>
      <c r="C73" s="13" t="n">
        <f aca="false">C74+C77*C75</f>
        <v>0.07556</v>
      </c>
    </row>
    <row r="74" customFormat="false" ht="15" hidden="false" customHeight="true" outlineLevel="0" collapsed="false">
      <c r="B74" s="0" t="s">
        <v>54</v>
      </c>
      <c r="C74" s="17" t="n">
        <v>0.041</v>
      </c>
    </row>
    <row r="75" customFormat="false" ht="15" hidden="false" customHeight="true" outlineLevel="0" collapsed="false">
      <c r="B75" s="0" t="s">
        <v>55</v>
      </c>
      <c r="C75" s="17" t="n">
        <v>0.054</v>
      </c>
    </row>
    <row r="76" customFormat="false" ht="15" hidden="false" customHeight="true" outlineLevel="0" collapsed="false">
      <c r="B76" s="0" t="s">
        <v>56</v>
      </c>
      <c r="C76" s="5" t="n">
        <v>0.46</v>
      </c>
    </row>
    <row r="77" customFormat="false" ht="15" hidden="false" customHeight="true" outlineLevel="0" collapsed="false">
      <c r="B77" s="0" t="s">
        <v>57</v>
      </c>
      <c r="C77" s="18" t="n">
        <f aca="false">2/3*C76+1/3</f>
        <v>0.64</v>
      </c>
    </row>
    <row r="79" customFormat="false" ht="15" hidden="false" customHeight="true" outlineLevel="0" collapsed="false">
      <c r="B79" s="0" t="s">
        <v>58</v>
      </c>
      <c r="C79" s="19" t="n">
        <v>0</v>
      </c>
    </row>
    <row r="80" customFormat="false" ht="15" hidden="false" customHeight="true" outlineLevel="0" collapsed="false">
      <c r="B80" s="0" t="s">
        <v>59</v>
      </c>
      <c r="C80" s="16" t="n">
        <f aca="false">C68*C69</f>
        <v>8023.482</v>
      </c>
    </row>
    <row r="81" customFormat="false" ht="15" hidden="false" customHeight="true" outlineLevel="0" collapsed="false">
      <c r="B81" s="0" t="s">
        <v>60</v>
      </c>
      <c r="C81" s="16" t="n">
        <f aca="false">C79+C80</f>
        <v>8023.482</v>
      </c>
    </row>
    <row r="83" customFormat="false" ht="15" hidden="false" customHeight="true" outlineLevel="0" collapsed="false">
      <c r="B83" s="0" t="s">
        <v>61</v>
      </c>
      <c r="C83" s="13" t="n">
        <f aca="false">C79/C81</f>
        <v>0</v>
      </c>
    </row>
    <row r="84" customFormat="false" ht="15" hidden="false" customHeight="true" outlineLevel="0" collapsed="false">
      <c r="B84" s="0" t="s">
        <v>62</v>
      </c>
      <c r="C84" s="13" t="n">
        <f aca="false">C80/C81</f>
        <v>1</v>
      </c>
    </row>
    <row r="86" customFormat="false" ht="15" hidden="false" customHeight="true" outlineLevel="0" collapsed="false">
      <c r="B86" s="20" t="s">
        <v>63</v>
      </c>
      <c r="C86" s="21" t="n">
        <f aca="false">C84*C73+C83*C72</f>
        <v>0.07556</v>
      </c>
    </row>
    <row r="88" customFormat="false" ht="15" hidden="false" customHeight="true" outlineLevel="0" collapsed="false">
      <c r="B88" s="6" t="s">
        <v>64</v>
      </c>
    </row>
    <row r="89" customFormat="false" ht="15" hidden="false" customHeight="true" outlineLevel="0" collapsed="false">
      <c r="B89" s="0" t="s">
        <v>65</v>
      </c>
      <c r="F89" s="16" t="n">
        <f aca="false">C62+SUM(H53:L53)</f>
        <v>4974.50413994722</v>
      </c>
    </row>
    <row r="90" customFormat="false" ht="15" hidden="false" customHeight="true" outlineLevel="0" collapsed="false">
      <c r="B90" s="0" t="s">
        <v>66</v>
      </c>
      <c r="F90" s="16" t="n">
        <f aca="false">C79</f>
        <v>0</v>
      </c>
    </row>
    <row r="91" customFormat="false" ht="15" hidden="false" customHeight="true" outlineLevel="0" collapsed="false">
      <c r="B91" s="0" t="s">
        <v>67</v>
      </c>
      <c r="F91" s="22" t="n">
        <v>895</v>
      </c>
    </row>
    <row r="92" customFormat="false" ht="15" hidden="false" customHeight="true" outlineLevel="0" collapsed="false">
      <c r="B92" s="0" t="s">
        <v>68</v>
      </c>
      <c r="F92" s="16" t="n">
        <f aca="false">F89-F90+F91</f>
        <v>5869.50413994722</v>
      </c>
    </row>
    <row r="93" customFormat="false" ht="15" hidden="false" customHeight="true" outlineLevel="0" collapsed="false">
      <c r="B93" s="0" t="s">
        <v>4</v>
      </c>
      <c r="F93" s="18" t="n">
        <f aca="false">C69</f>
        <v>13.95</v>
      </c>
    </row>
    <row r="94" customFormat="false" ht="15" hidden="false" customHeight="true" outlineLevel="0" collapsed="false">
      <c r="B94" s="20" t="s">
        <v>69</v>
      </c>
      <c r="F94" s="23" t="n">
        <f aca="false">F92/F93</f>
        <v>420.752984942453</v>
      </c>
    </row>
    <row r="98" customFormat="false" ht="15" hidden="false" customHeight="true" outlineLevel="0" collapsed="false">
      <c r="B98" s="20" t="s">
        <v>70</v>
      </c>
    </row>
    <row r="99" customFormat="false" ht="15" hidden="false" customHeight="true" outlineLevel="0" collapsed="false">
      <c r="B99" s="0" t="s">
        <v>71</v>
      </c>
    </row>
    <row r="100" customFormat="false" ht="15" hidden="false" customHeight="true" outlineLevel="0" collapsed="false">
      <c r="C100" s="24" t="s">
        <v>72</v>
      </c>
      <c r="D100" s="25" t="n">
        <v>0.182</v>
      </c>
      <c r="E100" s="25" t="n">
        <v>0.202</v>
      </c>
      <c r="F100" s="25" t="n">
        <v>0.222</v>
      </c>
      <c r="G100" s="25" t="n">
        <v>0.242</v>
      </c>
      <c r="H100" s="25" t="n">
        <v>0.262</v>
      </c>
    </row>
    <row r="101" customFormat="false" ht="15" hidden="false" customHeight="true" outlineLevel="0" collapsed="false">
      <c r="C101" s="25" t="n">
        <v>0.16</v>
      </c>
      <c r="D101" s="26" t="n">
        <v>491.45</v>
      </c>
      <c r="E101" s="26" t="n">
        <v>531.84</v>
      </c>
      <c r="F101" s="26" t="n">
        <v>575.25</v>
      </c>
      <c r="G101" s="26" t="n">
        <v>621.85</v>
      </c>
      <c r="H101" s="26" t="n">
        <v>671.79</v>
      </c>
    </row>
    <row r="102" customFormat="false" ht="15" hidden="false" customHeight="true" outlineLevel="0" collapsed="false">
      <c r="C102" s="25" t="n">
        <v>0.15</v>
      </c>
      <c r="D102" s="26" t="n">
        <v>467.88</v>
      </c>
      <c r="E102" s="26" t="n">
        <v>506.32</v>
      </c>
      <c r="F102" s="26" t="n">
        <v>547.65</v>
      </c>
      <c r="G102" s="26" t="n">
        <v>592.02</v>
      </c>
      <c r="H102" s="26" t="n">
        <v>639.59</v>
      </c>
    </row>
    <row r="103" customFormat="false" ht="15" hidden="false" customHeight="true" outlineLevel="0" collapsed="false">
      <c r="C103" s="25" t="n">
        <v>0.14</v>
      </c>
      <c r="D103" s="26" t="n">
        <v>444.32</v>
      </c>
      <c r="E103" s="26" t="n">
        <v>480.8</v>
      </c>
      <c r="F103" s="27" t="n">
        <v>520</v>
      </c>
      <c r="G103" s="26" t="n">
        <v>562.19</v>
      </c>
      <c r="H103" s="26" t="n">
        <v>607.4</v>
      </c>
    </row>
    <row r="104" customFormat="false" ht="15" hidden="false" customHeight="true" outlineLevel="0" collapsed="false">
      <c r="C104" s="25" t="n">
        <v>0.13</v>
      </c>
      <c r="D104" s="26" t="n">
        <v>420.75</v>
      </c>
      <c r="E104" s="26" t="n">
        <v>455.28</v>
      </c>
      <c r="F104" s="26" t="n">
        <v>492.44</v>
      </c>
      <c r="G104" s="26" t="n">
        <v>532.36</v>
      </c>
      <c r="H104" s="26" t="n">
        <v>575.2</v>
      </c>
    </row>
    <row r="105" customFormat="false" ht="15" hidden="false" customHeight="true" outlineLevel="0" collapsed="false">
      <c r="C105" s="25" t="n">
        <v>0.12</v>
      </c>
      <c r="D105" s="26" t="n">
        <v>397.19</v>
      </c>
      <c r="E105" s="26" t="n">
        <v>429.76</v>
      </c>
      <c r="F105" s="26" t="n">
        <v>464.83</v>
      </c>
      <c r="G105" s="26" t="n">
        <v>502.53</v>
      </c>
      <c r="H105" s="26" t="n">
        <v>543</v>
      </c>
    </row>
    <row r="108" customFormat="false" ht="15" hidden="false" customHeight="true" outlineLevel="0" collapsed="false">
      <c r="B108" s="20" t="s">
        <v>73</v>
      </c>
    </row>
    <row r="109" customFormat="false" ht="15" hidden="false" customHeight="true" outlineLevel="0" collapsed="false">
      <c r="B109" s="0" t="s">
        <v>74</v>
      </c>
    </row>
    <row r="110" customFormat="false" ht="15" hidden="false" customHeight="true" outlineLevel="0" collapsed="false">
      <c r="B110" s="0" t="s">
        <v>75</v>
      </c>
    </row>
    <row r="111" customFormat="false" ht="15" hidden="false" customHeight="true" outlineLevel="0" collapsed="false">
      <c r="B111" s="0" t="s">
        <v>76</v>
      </c>
    </row>
    <row r="112" customFormat="false" ht="15" hidden="false" customHeight="true" outlineLevel="0" collapsed="false">
      <c r="B112" s="0" t="s">
        <v>77</v>
      </c>
    </row>
    <row r="113" customFormat="false" ht="15" hidden="false" customHeight="true" outlineLevel="0" collapsed="false">
      <c r="B113" s="0" t="s">
        <v>78</v>
      </c>
    </row>
    <row r="114" customFormat="false" ht="15" hidden="false" customHeight="true" outlineLevel="0" collapsed="false">
      <c r="B114" s="0" t="s">
        <v>79</v>
      </c>
    </row>
    <row r="115" customFormat="false" ht="15" hidden="false" customHeight="true" outlineLevel="0" collapsed="false">
      <c r="B115" s="0" t="s">
        <v>80</v>
      </c>
    </row>
    <row r="116" customFormat="false" ht="15" hidden="false" customHeight="true" outlineLevel="0" collapsed="false">
      <c r="B116" s="0" t="s">
        <v>81</v>
      </c>
    </row>
  </sheetData>
  <mergeCells count="2">
    <mergeCell ref="H8:L8"/>
    <mergeCell ref="H21:L21"/>
  </mergeCells>
  <conditionalFormatting sqref="D101:H10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2026-07-09T13:19:40Z</dcterms:created>
  <dc:creator>openpyxl</dc:creator>
  <dc:description/>
  <dc:language>en-US</dc:language>
  <cp:lastModifiedBy>Joe Marfisi</cp:lastModifiedBy>
  <dcterms:modified xsi:type="dcterms:W3CDTF">2026-07-09T18:24:34Z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